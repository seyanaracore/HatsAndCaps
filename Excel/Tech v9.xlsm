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C827F94-9492-4D2E-B459-88BBA8E390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Table!$A$1:$BF$1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'1C'!$AF$1</definedName>
    <definedName name="PipolakiCountriesCodes">Manufactures!$BM$3:$BM$11</definedName>
    <definedName name="PipolakiManufactures">Manufactures!$BM:$BO</definedName>
    <definedName name="ProductsMaterialsColName">Table!$P$1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'1C'!$AJ$1</definedName>
    <definedName name="Table">Table!$A$2:$BC$288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3" i="8" l="1"/>
  <c r="M2" i="1"/>
  <c r="AH1" i="8"/>
  <c r="BB24" i="1" l="1"/>
  <c r="AX50" i="1"/>
  <c r="AX45" i="1"/>
  <c r="AX42" i="1"/>
  <c r="AX34" i="1"/>
  <c r="AX29" i="1"/>
  <c r="AX26" i="1"/>
  <c r="AX18" i="1"/>
  <c r="AX13" i="1"/>
  <c r="AX10" i="1"/>
  <c r="AW52" i="1"/>
  <c r="AY52" i="1" s="1"/>
  <c r="AW51" i="1"/>
  <c r="AX51" i="1" s="1"/>
  <c r="AW50" i="1"/>
  <c r="AW49" i="1"/>
  <c r="AX49" i="1" s="1"/>
  <c r="AW48" i="1"/>
  <c r="AX48" i="1" s="1"/>
  <c r="AW47" i="1"/>
  <c r="AX47" i="1" s="1"/>
  <c r="AW46" i="1"/>
  <c r="AX46" i="1" s="1"/>
  <c r="AW45" i="1"/>
  <c r="AW44" i="1"/>
  <c r="AY44" i="1" s="1"/>
  <c r="AW43" i="1"/>
  <c r="AX43" i="1" s="1"/>
  <c r="AW42" i="1"/>
  <c r="AW41" i="1"/>
  <c r="AX41" i="1" s="1"/>
  <c r="AW40" i="1"/>
  <c r="AX40" i="1" s="1"/>
  <c r="AW39" i="1"/>
  <c r="AY39" i="1" s="1"/>
  <c r="AW38" i="1"/>
  <c r="AW37" i="1"/>
  <c r="AW36" i="1"/>
  <c r="AY36" i="1" s="1"/>
  <c r="AW35" i="1"/>
  <c r="AX35" i="1" s="1"/>
  <c r="AW34" i="1"/>
  <c r="AW33" i="1"/>
  <c r="AX33" i="1" s="1"/>
  <c r="AW32" i="1"/>
  <c r="AX32" i="1" s="1"/>
  <c r="AW31" i="1"/>
  <c r="AX31" i="1" s="1"/>
  <c r="AW30" i="1"/>
  <c r="AX30" i="1" s="1"/>
  <c r="AW29" i="1"/>
  <c r="AY29" i="1" s="1"/>
  <c r="AW28" i="1"/>
  <c r="AY28" i="1" s="1"/>
  <c r="AW27" i="1"/>
  <c r="AX27" i="1" s="1"/>
  <c r="AW26" i="1"/>
  <c r="AW25" i="1"/>
  <c r="AX25" i="1" s="1"/>
  <c r="AW24" i="1"/>
  <c r="AX24" i="1" s="1"/>
  <c r="AW23" i="1"/>
  <c r="AY23" i="1" s="1"/>
  <c r="AW22" i="1"/>
  <c r="AW21" i="1"/>
  <c r="AW20" i="1"/>
  <c r="AY20" i="1" s="1"/>
  <c r="AW19" i="1"/>
  <c r="AX19" i="1" s="1"/>
  <c r="AW18" i="1"/>
  <c r="AW17" i="1"/>
  <c r="AX17" i="1" s="1"/>
  <c r="AW16" i="1"/>
  <c r="AX16" i="1" s="1"/>
  <c r="AW15" i="1"/>
  <c r="AX15" i="1" s="1"/>
  <c r="AW14" i="1"/>
  <c r="AX14" i="1" s="1"/>
  <c r="AW13" i="1"/>
  <c r="AY13" i="1" s="1"/>
  <c r="AW12" i="1"/>
  <c r="AY12" i="1" s="1"/>
  <c r="AW11" i="1"/>
  <c r="AX11" i="1" s="1"/>
  <c r="AW10" i="1"/>
  <c r="AW9" i="1"/>
  <c r="AX9" i="1" s="1"/>
  <c r="AW8" i="1"/>
  <c r="AX8" i="1" s="1"/>
  <c r="AW7" i="1"/>
  <c r="AY7" i="1" s="1"/>
  <c r="AW6" i="1"/>
  <c r="AW5" i="1"/>
  <c r="AW4" i="1"/>
  <c r="AY4" i="1" s="1"/>
  <c r="AW3" i="1"/>
  <c r="AX3" i="1" s="1"/>
  <c r="AS52" i="1"/>
  <c r="BB52" i="1" s="1"/>
  <c r="AS51" i="1"/>
  <c r="AS50" i="1"/>
  <c r="AS49" i="1"/>
  <c r="AS48" i="1"/>
  <c r="AS47" i="1"/>
  <c r="BB47" i="1" s="1"/>
  <c r="AS46" i="1"/>
  <c r="BB46" i="1" s="1"/>
  <c r="AS45" i="1"/>
  <c r="BB45" i="1" s="1"/>
  <c r="AS44" i="1"/>
  <c r="AS43" i="1"/>
  <c r="AS42" i="1"/>
  <c r="BB42" i="1" s="1"/>
  <c r="AS41" i="1"/>
  <c r="AS40" i="1"/>
  <c r="AS39" i="1"/>
  <c r="BB39" i="1" s="1"/>
  <c r="AS38" i="1"/>
  <c r="BB38" i="1" s="1"/>
  <c r="AS37" i="1"/>
  <c r="BB37" i="1" s="1"/>
  <c r="AS36" i="1"/>
  <c r="AS35" i="1"/>
  <c r="AS34" i="1"/>
  <c r="AS33" i="1"/>
  <c r="AS32" i="1"/>
  <c r="AS31" i="1"/>
  <c r="BB31" i="1" s="1"/>
  <c r="AS30" i="1"/>
  <c r="BB30" i="1" s="1"/>
  <c r="AS29" i="1"/>
  <c r="BB29" i="1" s="1"/>
  <c r="AS28" i="1"/>
  <c r="AS27" i="1"/>
  <c r="AS26" i="1"/>
  <c r="BB26" i="1" s="1"/>
  <c r="AS25" i="1"/>
  <c r="AS24" i="1"/>
  <c r="AS23" i="1"/>
  <c r="BB23" i="1" s="1"/>
  <c r="AS22" i="1"/>
  <c r="BB22" i="1" s="1"/>
  <c r="AS21" i="1"/>
  <c r="BB21" i="1" s="1"/>
  <c r="AS20" i="1"/>
  <c r="BB20" i="1" s="1"/>
  <c r="AS19" i="1"/>
  <c r="AS18" i="1"/>
  <c r="AS17" i="1"/>
  <c r="AS16" i="1"/>
  <c r="AS15" i="1"/>
  <c r="BB15" i="1" s="1"/>
  <c r="AS14" i="1"/>
  <c r="BB14" i="1" s="1"/>
  <c r="AS13" i="1"/>
  <c r="BB13" i="1" s="1"/>
  <c r="AS12" i="1"/>
  <c r="AS11" i="1"/>
  <c r="AS10" i="1"/>
  <c r="BB10" i="1" s="1"/>
  <c r="AS9" i="1"/>
  <c r="AS8" i="1"/>
  <c r="AS7" i="1"/>
  <c r="BB7" i="1" s="1"/>
  <c r="AS6" i="1"/>
  <c r="BB6" i="1" s="1"/>
  <c r="AS5" i="1"/>
  <c r="AS4" i="1"/>
  <c r="AS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D2" i="1"/>
  <c r="AY5" i="1" l="1"/>
  <c r="AY21" i="1"/>
  <c r="AY37" i="1"/>
  <c r="AX5" i="1"/>
  <c r="AZ5" i="1" s="1"/>
  <c r="AX21" i="1"/>
  <c r="AX37" i="1"/>
  <c r="AZ37" i="1" s="1"/>
  <c r="AZ8" i="1"/>
  <c r="AZ16" i="1"/>
  <c r="AZ24" i="1"/>
  <c r="AZ32" i="1"/>
  <c r="AZ40" i="1"/>
  <c r="AZ48" i="1"/>
  <c r="AY6" i="1"/>
  <c r="AY22" i="1"/>
  <c r="AY38" i="1"/>
  <c r="AZ9" i="1"/>
  <c r="AZ17" i="1"/>
  <c r="AZ25" i="1"/>
  <c r="AZ33" i="1"/>
  <c r="AZ41" i="1"/>
  <c r="AZ49" i="1"/>
  <c r="AY45" i="1"/>
  <c r="AY14" i="1"/>
  <c r="AY30" i="1"/>
  <c r="AY46" i="1"/>
  <c r="BB25" i="1"/>
  <c r="AX4" i="1"/>
  <c r="AX12" i="1"/>
  <c r="AX20" i="1"/>
  <c r="AZ20" i="1" s="1"/>
  <c r="AX28" i="1"/>
  <c r="AZ28" i="1" s="1"/>
  <c r="AX36" i="1"/>
  <c r="AX44" i="1"/>
  <c r="AZ44" i="1" s="1"/>
  <c r="AX52" i="1"/>
  <c r="AZ52" i="1" s="1"/>
  <c r="AY15" i="1"/>
  <c r="AY31" i="1"/>
  <c r="AY47" i="1"/>
  <c r="BB32" i="1"/>
  <c r="BB33" i="1"/>
  <c r="AY18" i="1"/>
  <c r="AZ34" i="1"/>
  <c r="AY50" i="1"/>
  <c r="AX6" i="1"/>
  <c r="AZ6" i="1" s="1"/>
  <c r="AX22" i="1"/>
  <c r="AX38" i="1"/>
  <c r="AZ38" i="1" s="1"/>
  <c r="BB8" i="1"/>
  <c r="BB40" i="1"/>
  <c r="AY3" i="1"/>
  <c r="AY11" i="1"/>
  <c r="AY19" i="1"/>
  <c r="AY27" i="1"/>
  <c r="AY35" i="1"/>
  <c r="AY43" i="1"/>
  <c r="AY51" i="1"/>
  <c r="AX7" i="1"/>
  <c r="AX23" i="1"/>
  <c r="AX39" i="1"/>
  <c r="AZ39" i="1" s="1"/>
  <c r="BB9" i="1"/>
  <c r="BB41" i="1"/>
  <c r="AZ4" i="1"/>
  <c r="AZ12" i="1"/>
  <c r="AZ36" i="1"/>
  <c r="BB16" i="1"/>
  <c r="BB48" i="1"/>
  <c r="BB17" i="1"/>
  <c r="BB49" i="1"/>
  <c r="AZ10" i="1"/>
  <c r="AZ13" i="1"/>
  <c r="AZ45" i="1"/>
  <c r="BB3" i="1"/>
  <c r="BB11" i="1"/>
  <c r="BB19" i="1"/>
  <c r="BB27" i="1"/>
  <c r="BB35" i="1"/>
  <c r="BB43" i="1"/>
  <c r="BB51" i="1"/>
  <c r="AZ42" i="1"/>
  <c r="AZ3" i="1"/>
  <c r="AZ35" i="1"/>
  <c r="AZ51" i="1"/>
  <c r="BB18" i="1"/>
  <c r="BB50" i="1"/>
  <c r="AZ29" i="1"/>
  <c r="AY8" i="1"/>
  <c r="AY16" i="1"/>
  <c r="AY24" i="1"/>
  <c r="AY32" i="1"/>
  <c r="AY40" i="1"/>
  <c r="AY48" i="1"/>
  <c r="AZ14" i="1"/>
  <c r="AZ22" i="1"/>
  <c r="AZ30" i="1"/>
  <c r="AZ46" i="1"/>
  <c r="BB4" i="1"/>
  <c r="BB12" i="1"/>
  <c r="BB28" i="1"/>
  <c r="BB36" i="1"/>
  <c r="BB44" i="1"/>
  <c r="AZ26" i="1"/>
  <c r="AZ19" i="1"/>
  <c r="AZ21" i="1"/>
  <c r="AY9" i="1"/>
  <c r="AY17" i="1"/>
  <c r="AY25" i="1"/>
  <c r="AY33" i="1"/>
  <c r="AY41" i="1"/>
  <c r="AY49" i="1"/>
  <c r="AZ7" i="1"/>
  <c r="AZ15" i="1"/>
  <c r="AZ23" i="1"/>
  <c r="AZ31" i="1"/>
  <c r="AZ47" i="1"/>
  <c r="BB5" i="1"/>
  <c r="AZ18" i="1"/>
  <c r="AZ50" i="1"/>
  <c r="AZ27" i="1"/>
  <c r="BB34" i="1"/>
  <c r="AY10" i="1"/>
  <c r="AY26" i="1"/>
  <c r="AY34" i="1"/>
  <c r="AY42" i="1"/>
  <c r="AZ11" i="1"/>
  <c r="AZ43" i="1"/>
  <c r="D29" i="4"/>
  <c r="D24" i="4"/>
  <c r="D25" i="4"/>
  <c r="D26" i="4"/>
  <c r="D27" i="4"/>
  <c r="D28" i="4"/>
  <c r="BE2" i="1" l="1"/>
  <c r="U4148" i="8"/>
  <c r="U4149" i="8"/>
  <c r="U4150" i="8"/>
  <c r="U4151" i="8"/>
  <c r="U4152" i="8"/>
  <c r="U4153" i="8"/>
  <c r="U4154" i="8"/>
  <c r="B2" i="1"/>
  <c r="J49" i="1" l="1"/>
  <c r="J41" i="1"/>
  <c r="J33" i="1"/>
  <c r="J25" i="1"/>
  <c r="J17" i="1"/>
  <c r="J9" i="1"/>
  <c r="J48" i="1"/>
  <c r="J40" i="1"/>
  <c r="J32" i="1"/>
  <c r="J24" i="1"/>
  <c r="J16" i="1"/>
  <c r="J8" i="1"/>
  <c r="J47" i="1"/>
  <c r="J39" i="1"/>
  <c r="J31" i="1"/>
  <c r="J23" i="1"/>
  <c r="J15" i="1"/>
  <c r="J7" i="1"/>
  <c r="J46" i="1"/>
  <c r="J38" i="1"/>
  <c r="J30" i="1"/>
  <c r="J22" i="1"/>
  <c r="J14" i="1"/>
  <c r="J6" i="1"/>
  <c r="J45" i="1"/>
  <c r="J37" i="1"/>
  <c r="J29" i="1"/>
  <c r="J21" i="1"/>
  <c r="J13" i="1"/>
  <c r="J5" i="1"/>
  <c r="J52" i="1"/>
  <c r="J44" i="1"/>
  <c r="J36" i="1"/>
  <c r="J28" i="1"/>
  <c r="J20" i="1"/>
  <c r="J12" i="1"/>
  <c r="J4" i="1"/>
  <c r="J51" i="1"/>
  <c r="J43" i="1"/>
  <c r="J35" i="1"/>
  <c r="J27" i="1"/>
  <c r="J19" i="1"/>
  <c r="J11" i="1"/>
  <c r="J3" i="1"/>
  <c r="J50" i="1"/>
  <c r="J42" i="1"/>
  <c r="J34" i="1"/>
  <c r="J26" i="1"/>
  <c r="J18" i="1"/>
  <c r="J10" i="1"/>
  <c r="U3" i="8"/>
  <c r="U4" i="8"/>
  <c r="U5" i="8"/>
  <c r="U6" i="8"/>
  <c r="U7" i="8"/>
  <c r="U8" i="8"/>
  <c r="A8" i="8" s="1"/>
  <c r="V8" i="8" s="1"/>
  <c r="U9" i="8"/>
  <c r="U10" i="8"/>
  <c r="A10" i="8" s="1"/>
  <c r="V10" i="8" s="1"/>
  <c r="U11" i="8"/>
  <c r="U12" i="8"/>
  <c r="U13" i="8"/>
  <c r="U14" i="8"/>
  <c r="U15" i="8"/>
  <c r="U16" i="8"/>
  <c r="A16" i="8" s="1"/>
  <c r="V16" i="8" s="1"/>
  <c r="U17" i="8"/>
  <c r="U18" i="8"/>
  <c r="A18" i="8" s="1"/>
  <c r="V18" i="8" s="1"/>
  <c r="U19" i="8"/>
  <c r="U20" i="8"/>
  <c r="U21" i="8"/>
  <c r="U22" i="8"/>
  <c r="U23" i="8"/>
  <c r="U24" i="8"/>
  <c r="A24" i="8" s="1"/>
  <c r="V24" i="8" s="1"/>
  <c r="U25" i="8"/>
  <c r="U26" i="8"/>
  <c r="A26" i="8" s="1"/>
  <c r="V26" i="8" s="1"/>
  <c r="U27" i="8"/>
  <c r="U28" i="8"/>
  <c r="U29" i="8"/>
  <c r="U30" i="8"/>
  <c r="U31" i="8"/>
  <c r="U32" i="8"/>
  <c r="A32" i="8" s="1"/>
  <c r="V32" i="8" s="1"/>
  <c r="U33" i="8"/>
  <c r="U34" i="8"/>
  <c r="A34" i="8" s="1"/>
  <c r="V34" i="8" s="1"/>
  <c r="U35" i="8"/>
  <c r="U36" i="8"/>
  <c r="U37" i="8"/>
  <c r="U38" i="8"/>
  <c r="U39" i="8"/>
  <c r="U40" i="8"/>
  <c r="A40" i="8" s="1"/>
  <c r="V40" i="8" s="1"/>
  <c r="U41" i="8"/>
  <c r="U42" i="8"/>
  <c r="A42" i="8" s="1"/>
  <c r="V42" i="8" s="1"/>
  <c r="U43" i="8"/>
  <c r="U44" i="8"/>
  <c r="U45" i="8"/>
  <c r="U46" i="8"/>
  <c r="U47" i="8"/>
  <c r="U48" i="8"/>
  <c r="U49" i="8"/>
  <c r="U50" i="8"/>
  <c r="A50" i="8" s="1"/>
  <c r="V50" i="8" s="1"/>
  <c r="U51" i="8"/>
  <c r="U52" i="8"/>
  <c r="U53" i="8"/>
  <c r="U54" i="8"/>
  <c r="U55" i="8"/>
  <c r="U56" i="8"/>
  <c r="U57" i="8"/>
  <c r="U58" i="8"/>
  <c r="A58" i="8" s="1"/>
  <c r="V58" i="8" s="1"/>
  <c r="U59" i="8"/>
  <c r="U60" i="8"/>
  <c r="U61" i="8"/>
  <c r="U62" i="8"/>
  <c r="U63" i="8"/>
  <c r="U64" i="8"/>
  <c r="U65" i="8"/>
  <c r="U66" i="8"/>
  <c r="A66" i="8" s="1"/>
  <c r="V66" i="8" s="1"/>
  <c r="U67" i="8"/>
  <c r="U68" i="8"/>
  <c r="U69" i="8"/>
  <c r="U70" i="8"/>
  <c r="U71" i="8"/>
  <c r="U72" i="8"/>
  <c r="U73" i="8"/>
  <c r="U74" i="8"/>
  <c r="A74" i="8" s="1"/>
  <c r="V74" i="8" s="1"/>
  <c r="U75" i="8"/>
  <c r="U76" i="8"/>
  <c r="U77" i="8"/>
  <c r="U78" i="8"/>
  <c r="U79" i="8"/>
  <c r="U80" i="8"/>
  <c r="U81" i="8"/>
  <c r="U82" i="8"/>
  <c r="A82" i="8" s="1"/>
  <c r="V82" i="8" s="1"/>
  <c r="U83" i="8"/>
  <c r="U84" i="8"/>
  <c r="U85" i="8"/>
  <c r="U86" i="8"/>
  <c r="U87" i="8"/>
  <c r="U88" i="8"/>
  <c r="U89" i="8"/>
  <c r="U90" i="8"/>
  <c r="A90" i="8" s="1"/>
  <c r="V90" i="8" s="1"/>
  <c r="U91" i="8"/>
  <c r="U92" i="8"/>
  <c r="U93" i="8"/>
  <c r="U94" i="8"/>
  <c r="U95" i="8"/>
  <c r="U96" i="8"/>
  <c r="U97" i="8"/>
  <c r="U98" i="8"/>
  <c r="A98" i="8" s="1"/>
  <c r="V98" i="8" s="1"/>
  <c r="U99" i="8"/>
  <c r="U100" i="8"/>
  <c r="U101" i="8"/>
  <c r="U102" i="8"/>
  <c r="U103" i="8"/>
  <c r="U104" i="8"/>
  <c r="U105" i="8"/>
  <c r="U106" i="8"/>
  <c r="A106" i="8" s="1"/>
  <c r="V106" i="8" s="1"/>
  <c r="U107" i="8"/>
  <c r="U108" i="8"/>
  <c r="U109" i="8"/>
  <c r="U110" i="8"/>
  <c r="U111" i="8"/>
  <c r="U112" i="8"/>
  <c r="U113" i="8"/>
  <c r="U114" i="8"/>
  <c r="A114" i="8" s="1"/>
  <c r="V114" i="8" s="1"/>
  <c r="U115" i="8"/>
  <c r="U116" i="8"/>
  <c r="U117" i="8"/>
  <c r="U118" i="8"/>
  <c r="U119" i="8"/>
  <c r="U120" i="8"/>
  <c r="U121" i="8"/>
  <c r="U122" i="8"/>
  <c r="A122" i="8" s="1"/>
  <c r="V122" i="8" s="1"/>
  <c r="U123" i="8"/>
  <c r="U124" i="8"/>
  <c r="U125" i="8"/>
  <c r="U126" i="8"/>
  <c r="U127" i="8"/>
  <c r="U128" i="8"/>
  <c r="U129" i="8"/>
  <c r="U130" i="8"/>
  <c r="A130" i="8" s="1"/>
  <c r="V130" i="8" s="1"/>
  <c r="U131" i="8"/>
  <c r="U132" i="8"/>
  <c r="U133" i="8"/>
  <c r="U134" i="8"/>
  <c r="U135" i="8"/>
  <c r="U136" i="8"/>
  <c r="U137" i="8"/>
  <c r="U138" i="8"/>
  <c r="A138" i="8" s="1"/>
  <c r="V138" i="8" s="1"/>
  <c r="U139" i="8"/>
  <c r="U140" i="8"/>
  <c r="U141" i="8"/>
  <c r="U142" i="8"/>
  <c r="U143" i="8"/>
  <c r="U144" i="8"/>
  <c r="U145" i="8"/>
  <c r="U146" i="8"/>
  <c r="A146" i="8" s="1"/>
  <c r="V146" i="8" s="1"/>
  <c r="U147" i="8"/>
  <c r="U148" i="8"/>
  <c r="U149" i="8"/>
  <c r="U150" i="8"/>
  <c r="U151" i="8"/>
  <c r="U152" i="8"/>
  <c r="U153" i="8"/>
  <c r="U154" i="8"/>
  <c r="A154" i="8" s="1"/>
  <c r="V154" i="8" s="1"/>
  <c r="U155" i="8"/>
  <c r="U156" i="8"/>
  <c r="U157" i="8"/>
  <c r="U158" i="8"/>
  <c r="U159" i="8"/>
  <c r="U160" i="8"/>
  <c r="U161" i="8"/>
  <c r="U162" i="8"/>
  <c r="A162" i="8" s="1"/>
  <c r="V162" i="8" s="1"/>
  <c r="U163" i="8"/>
  <c r="U164" i="8"/>
  <c r="U165" i="8"/>
  <c r="U166" i="8"/>
  <c r="U167" i="8"/>
  <c r="U168" i="8"/>
  <c r="U169" i="8"/>
  <c r="U170" i="8"/>
  <c r="A170" i="8" s="1"/>
  <c r="V170" i="8" s="1"/>
  <c r="U171" i="8"/>
  <c r="U172" i="8"/>
  <c r="U173" i="8"/>
  <c r="U174" i="8"/>
  <c r="U175" i="8"/>
  <c r="U176" i="8"/>
  <c r="U177" i="8"/>
  <c r="U178" i="8"/>
  <c r="A178" i="8" s="1"/>
  <c r="V178" i="8" s="1"/>
  <c r="U179" i="8"/>
  <c r="U180" i="8"/>
  <c r="U181" i="8"/>
  <c r="U182" i="8"/>
  <c r="U183" i="8"/>
  <c r="U184" i="8"/>
  <c r="U185" i="8"/>
  <c r="U186" i="8"/>
  <c r="A186" i="8" s="1"/>
  <c r="V186" i="8" s="1"/>
  <c r="U187" i="8"/>
  <c r="U188" i="8"/>
  <c r="U189" i="8"/>
  <c r="U190" i="8"/>
  <c r="U191" i="8"/>
  <c r="U192" i="8"/>
  <c r="U193" i="8"/>
  <c r="U194" i="8"/>
  <c r="A194" i="8" s="1"/>
  <c r="V194" i="8" s="1"/>
  <c r="U195" i="8"/>
  <c r="U196" i="8"/>
  <c r="U197" i="8"/>
  <c r="U198" i="8"/>
  <c r="U199" i="8"/>
  <c r="U200" i="8"/>
  <c r="U201" i="8"/>
  <c r="U202" i="8"/>
  <c r="A202" i="8" s="1"/>
  <c r="V202" i="8" s="1"/>
  <c r="U203" i="8"/>
  <c r="U204" i="8"/>
  <c r="U205" i="8"/>
  <c r="U206" i="8"/>
  <c r="U207" i="8"/>
  <c r="U208" i="8"/>
  <c r="U209" i="8"/>
  <c r="U210" i="8"/>
  <c r="A210" i="8" s="1"/>
  <c r="V210" i="8" s="1"/>
  <c r="U211" i="8"/>
  <c r="U212" i="8"/>
  <c r="U213" i="8"/>
  <c r="U214" i="8"/>
  <c r="U215" i="8"/>
  <c r="U216" i="8"/>
  <c r="U217" i="8"/>
  <c r="U218" i="8"/>
  <c r="A218" i="8" s="1"/>
  <c r="V218" i="8" s="1"/>
  <c r="U219" i="8"/>
  <c r="U220" i="8"/>
  <c r="U221" i="8"/>
  <c r="U222" i="8"/>
  <c r="U223" i="8"/>
  <c r="U224" i="8"/>
  <c r="U225" i="8"/>
  <c r="U226" i="8"/>
  <c r="A226" i="8" s="1"/>
  <c r="V226" i="8" s="1"/>
  <c r="U227" i="8"/>
  <c r="U228" i="8"/>
  <c r="U229" i="8"/>
  <c r="U230" i="8"/>
  <c r="U231" i="8"/>
  <c r="U232" i="8"/>
  <c r="U233" i="8"/>
  <c r="U234" i="8"/>
  <c r="A234" i="8" s="1"/>
  <c r="V234" i="8" s="1"/>
  <c r="U235" i="8"/>
  <c r="U236" i="8"/>
  <c r="U237" i="8"/>
  <c r="U238" i="8"/>
  <c r="U239" i="8"/>
  <c r="U240" i="8"/>
  <c r="U241" i="8"/>
  <c r="U242" i="8"/>
  <c r="A242" i="8" s="1"/>
  <c r="V242" i="8" s="1"/>
  <c r="U243" i="8"/>
  <c r="U244" i="8"/>
  <c r="U245" i="8"/>
  <c r="U246" i="8"/>
  <c r="U247" i="8"/>
  <c r="U248" i="8"/>
  <c r="U249" i="8"/>
  <c r="U250" i="8"/>
  <c r="A250" i="8" s="1"/>
  <c r="V250" i="8" s="1"/>
  <c r="U251" i="8"/>
  <c r="U252" i="8"/>
  <c r="U253" i="8"/>
  <c r="U254" i="8"/>
  <c r="U255" i="8"/>
  <c r="U256" i="8"/>
  <c r="U257" i="8"/>
  <c r="U258" i="8"/>
  <c r="A258" i="8" s="1"/>
  <c r="V258" i="8" s="1"/>
  <c r="U259" i="8"/>
  <c r="U260" i="8"/>
  <c r="U261" i="8"/>
  <c r="U262" i="8"/>
  <c r="U263" i="8"/>
  <c r="U264" i="8"/>
  <c r="U265" i="8"/>
  <c r="U266" i="8"/>
  <c r="A266" i="8" s="1"/>
  <c r="V266" i="8" s="1"/>
  <c r="U267" i="8"/>
  <c r="U268" i="8"/>
  <c r="U269" i="8"/>
  <c r="U270" i="8"/>
  <c r="U271" i="8"/>
  <c r="U272" i="8"/>
  <c r="U273" i="8"/>
  <c r="U274" i="8"/>
  <c r="A274" i="8" s="1"/>
  <c r="V274" i="8" s="1"/>
  <c r="U275" i="8"/>
  <c r="U276" i="8"/>
  <c r="U277" i="8"/>
  <c r="U278" i="8"/>
  <c r="U279" i="8"/>
  <c r="U280" i="8"/>
  <c r="U281" i="8"/>
  <c r="U282" i="8"/>
  <c r="A282" i="8" s="1"/>
  <c r="V282" i="8" s="1"/>
  <c r="U283" i="8"/>
  <c r="U284" i="8"/>
  <c r="U285" i="8"/>
  <c r="U286" i="8"/>
  <c r="U287" i="8"/>
  <c r="U288" i="8"/>
  <c r="U289" i="8"/>
  <c r="U290" i="8"/>
  <c r="A290" i="8" s="1"/>
  <c r="V290" i="8" s="1"/>
  <c r="U291" i="8"/>
  <c r="U292" i="8"/>
  <c r="U293" i="8"/>
  <c r="U294" i="8"/>
  <c r="U295" i="8"/>
  <c r="U296" i="8"/>
  <c r="U297" i="8"/>
  <c r="U298" i="8"/>
  <c r="A298" i="8" s="1"/>
  <c r="V298" i="8" s="1"/>
  <c r="U299" i="8"/>
  <c r="U300" i="8"/>
  <c r="U301" i="8"/>
  <c r="U302" i="8"/>
  <c r="U303" i="8"/>
  <c r="U304" i="8"/>
  <c r="U305" i="8"/>
  <c r="U306" i="8"/>
  <c r="A306" i="8" s="1"/>
  <c r="V306" i="8" s="1"/>
  <c r="U307" i="8"/>
  <c r="U308" i="8"/>
  <c r="U309" i="8"/>
  <c r="U310" i="8"/>
  <c r="U311" i="8"/>
  <c r="U312" i="8"/>
  <c r="U313" i="8"/>
  <c r="U314" i="8"/>
  <c r="A314" i="8" s="1"/>
  <c r="V314" i="8" s="1"/>
  <c r="U315" i="8"/>
  <c r="U316" i="8"/>
  <c r="U317" i="8"/>
  <c r="U318" i="8"/>
  <c r="U319" i="8"/>
  <c r="U320" i="8"/>
  <c r="U321" i="8"/>
  <c r="U322" i="8"/>
  <c r="A322" i="8" s="1"/>
  <c r="V322" i="8" s="1"/>
  <c r="U323" i="8"/>
  <c r="U324" i="8"/>
  <c r="U325" i="8"/>
  <c r="U326" i="8"/>
  <c r="U327" i="8"/>
  <c r="U328" i="8"/>
  <c r="U329" i="8"/>
  <c r="U330" i="8"/>
  <c r="A330" i="8" s="1"/>
  <c r="V330" i="8" s="1"/>
  <c r="U331" i="8"/>
  <c r="U332" i="8"/>
  <c r="U333" i="8"/>
  <c r="U334" i="8"/>
  <c r="U335" i="8"/>
  <c r="U336" i="8"/>
  <c r="U337" i="8"/>
  <c r="U338" i="8"/>
  <c r="A338" i="8" s="1"/>
  <c r="V338" i="8" s="1"/>
  <c r="U339" i="8"/>
  <c r="U340" i="8"/>
  <c r="U341" i="8"/>
  <c r="U342" i="8"/>
  <c r="U343" i="8"/>
  <c r="U344" i="8"/>
  <c r="U345" i="8"/>
  <c r="U346" i="8"/>
  <c r="A346" i="8" s="1"/>
  <c r="V346" i="8" s="1"/>
  <c r="U347" i="8"/>
  <c r="U348" i="8"/>
  <c r="U349" i="8"/>
  <c r="U350" i="8"/>
  <c r="U351" i="8"/>
  <c r="U352" i="8"/>
  <c r="U353" i="8"/>
  <c r="U354" i="8"/>
  <c r="A354" i="8" s="1"/>
  <c r="V354" i="8" s="1"/>
  <c r="U355" i="8"/>
  <c r="U356" i="8"/>
  <c r="U357" i="8"/>
  <c r="U358" i="8"/>
  <c r="U359" i="8"/>
  <c r="U360" i="8"/>
  <c r="U361" i="8"/>
  <c r="U362" i="8"/>
  <c r="A362" i="8" s="1"/>
  <c r="V362" i="8" s="1"/>
  <c r="U363" i="8"/>
  <c r="U364" i="8"/>
  <c r="U365" i="8"/>
  <c r="U366" i="8"/>
  <c r="U367" i="8"/>
  <c r="U368" i="8"/>
  <c r="U369" i="8"/>
  <c r="U370" i="8"/>
  <c r="A370" i="8" s="1"/>
  <c r="V370" i="8" s="1"/>
  <c r="U371" i="8"/>
  <c r="U372" i="8"/>
  <c r="U373" i="8"/>
  <c r="U374" i="8"/>
  <c r="U375" i="8"/>
  <c r="U376" i="8"/>
  <c r="U377" i="8"/>
  <c r="U378" i="8"/>
  <c r="A378" i="8" s="1"/>
  <c r="V378" i="8" s="1"/>
  <c r="U379" i="8"/>
  <c r="U380" i="8"/>
  <c r="U381" i="8"/>
  <c r="U382" i="8"/>
  <c r="U383" i="8"/>
  <c r="U384" i="8"/>
  <c r="U385" i="8"/>
  <c r="U386" i="8"/>
  <c r="A386" i="8" s="1"/>
  <c r="V386" i="8" s="1"/>
  <c r="U387" i="8"/>
  <c r="U388" i="8"/>
  <c r="U389" i="8"/>
  <c r="U390" i="8"/>
  <c r="U391" i="8"/>
  <c r="U392" i="8"/>
  <c r="U393" i="8"/>
  <c r="U394" i="8"/>
  <c r="A394" i="8" s="1"/>
  <c r="V394" i="8" s="1"/>
  <c r="U395" i="8"/>
  <c r="U396" i="8"/>
  <c r="U397" i="8"/>
  <c r="U398" i="8"/>
  <c r="U399" i="8"/>
  <c r="U400" i="8"/>
  <c r="U401" i="8"/>
  <c r="U402" i="8"/>
  <c r="A402" i="8" s="1"/>
  <c r="V402" i="8" s="1"/>
  <c r="U403" i="8"/>
  <c r="U404" i="8"/>
  <c r="U405" i="8"/>
  <c r="U406" i="8"/>
  <c r="U407" i="8"/>
  <c r="U408" i="8"/>
  <c r="U409" i="8"/>
  <c r="U410" i="8"/>
  <c r="A410" i="8" s="1"/>
  <c r="V410" i="8" s="1"/>
  <c r="U411" i="8"/>
  <c r="U412" i="8"/>
  <c r="U413" i="8"/>
  <c r="U414" i="8"/>
  <c r="U415" i="8"/>
  <c r="U416" i="8"/>
  <c r="U417" i="8"/>
  <c r="U418" i="8"/>
  <c r="A418" i="8" s="1"/>
  <c r="V418" i="8" s="1"/>
  <c r="U419" i="8"/>
  <c r="U420" i="8"/>
  <c r="U421" i="8"/>
  <c r="U422" i="8"/>
  <c r="U423" i="8"/>
  <c r="U424" i="8"/>
  <c r="U425" i="8"/>
  <c r="U426" i="8"/>
  <c r="A426" i="8" s="1"/>
  <c r="V426" i="8" s="1"/>
  <c r="U427" i="8"/>
  <c r="U428" i="8"/>
  <c r="U429" i="8"/>
  <c r="U430" i="8"/>
  <c r="U431" i="8"/>
  <c r="U432" i="8"/>
  <c r="U433" i="8"/>
  <c r="U434" i="8"/>
  <c r="A434" i="8" s="1"/>
  <c r="V434" i="8" s="1"/>
  <c r="U435" i="8"/>
  <c r="U436" i="8"/>
  <c r="U437" i="8"/>
  <c r="U438" i="8"/>
  <c r="U439" i="8"/>
  <c r="U440" i="8"/>
  <c r="U441" i="8"/>
  <c r="U442" i="8"/>
  <c r="A442" i="8" s="1"/>
  <c r="V442" i="8" s="1"/>
  <c r="U443" i="8"/>
  <c r="U444" i="8"/>
  <c r="U445" i="8"/>
  <c r="U446" i="8"/>
  <c r="U447" i="8"/>
  <c r="U448" i="8"/>
  <c r="U449" i="8"/>
  <c r="U450" i="8"/>
  <c r="A450" i="8" s="1"/>
  <c r="V450" i="8" s="1"/>
  <c r="U451" i="8"/>
  <c r="U452" i="8"/>
  <c r="U453" i="8"/>
  <c r="U454" i="8"/>
  <c r="U455" i="8"/>
  <c r="U456" i="8"/>
  <c r="U457" i="8"/>
  <c r="U458" i="8"/>
  <c r="A458" i="8" s="1"/>
  <c r="V458" i="8" s="1"/>
  <c r="U459" i="8"/>
  <c r="U460" i="8"/>
  <c r="U461" i="8"/>
  <c r="U462" i="8"/>
  <c r="U463" i="8"/>
  <c r="U464" i="8"/>
  <c r="U465" i="8"/>
  <c r="U466" i="8"/>
  <c r="A466" i="8" s="1"/>
  <c r="V466" i="8" s="1"/>
  <c r="U467" i="8"/>
  <c r="U468" i="8"/>
  <c r="U469" i="8"/>
  <c r="U470" i="8"/>
  <c r="U471" i="8"/>
  <c r="U472" i="8"/>
  <c r="U473" i="8"/>
  <c r="U474" i="8"/>
  <c r="A474" i="8" s="1"/>
  <c r="V474" i="8" s="1"/>
  <c r="U475" i="8"/>
  <c r="U476" i="8"/>
  <c r="U477" i="8"/>
  <c r="U478" i="8"/>
  <c r="U479" i="8"/>
  <c r="U480" i="8"/>
  <c r="U481" i="8"/>
  <c r="U482" i="8"/>
  <c r="A482" i="8" s="1"/>
  <c r="V482" i="8" s="1"/>
  <c r="U483" i="8"/>
  <c r="U484" i="8"/>
  <c r="U485" i="8"/>
  <c r="U486" i="8"/>
  <c r="U487" i="8"/>
  <c r="U488" i="8"/>
  <c r="U489" i="8"/>
  <c r="U490" i="8"/>
  <c r="A490" i="8" s="1"/>
  <c r="V490" i="8" s="1"/>
  <c r="U491" i="8"/>
  <c r="U492" i="8"/>
  <c r="U493" i="8"/>
  <c r="U494" i="8"/>
  <c r="U495" i="8"/>
  <c r="U496" i="8"/>
  <c r="U497" i="8"/>
  <c r="U498" i="8"/>
  <c r="A498" i="8" s="1"/>
  <c r="V498" i="8" s="1"/>
  <c r="U499" i="8"/>
  <c r="U500" i="8"/>
  <c r="U501" i="8"/>
  <c r="U502" i="8"/>
  <c r="U503" i="8"/>
  <c r="U504" i="8"/>
  <c r="U505" i="8"/>
  <c r="U506" i="8"/>
  <c r="A506" i="8" s="1"/>
  <c r="V506" i="8" s="1"/>
  <c r="U507" i="8"/>
  <c r="U508" i="8"/>
  <c r="U509" i="8"/>
  <c r="U510" i="8"/>
  <c r="U511" i="8"/>
  <c r="U512" i="8"/>
  <c r="U513" i="8"/>
  <c r="U514" i="8"/>
  <c r="A514" i="8" s="1"/>
  <c r="V514" i="8" s="1"/>
  <c r="U515" i="8"/>
  <c r="U516" i="8"/>
  <c r="U517" i="8"/>
  <c r="U518" i="8"/>
  <c r="U519" i="8"/>
  <c r="U520" i="8"/>
  <c r="U521" i="8"/>
  <c r="U522" i="8"/>
  <c r="A522" i="8" s="1"/>
  <c r="V522" i="8" s="1"/>
  <c r="U523" i="8"/>
  <c r="U524" i="8"/>
  <c r="U525" i="8"/>
  <c r="U526" i="8"/>
  <c r="U527" i="8"/>
  <c r="U528" i="8"/>
  <c r="U529" i="8"/>
  <c r="U530" i="8"/>
  <c r="A530" i="8" s="1"/>
  <c r="V530" i="8" s="1"/>
  <c r="U531" i="8"/>
  <c r="U532" i="8"/>
  <c r="U533" i="8"/>
  <c r="U534" i="8"/>
  <c r="U535" i="8"/>
  <c r="U536" i="8"/>
  <c r="U537" i="8"/>
  <c r="U538" i="8"/>
  <c r="A538" i="8" s="1"/>
  <c r="V538" i="8" s="1"/>
  <c r="U539" i="8"/>
  <c r="U540" i="8"/>
  <c r="U541" i="8"/>
  <c r="U542" i="8"/>
  <c r="U543" i="8"/>
  <c r="U544" i="8"/>
  <c r="U545" i="8"/>
  <c r="U546" i="8"/>
  <c r="A546" i="8" s="1"/>
  <c r="V546" i="8" s="1"/>
  <c r="U547" i="8"/>
  <c r="U548" i="8"/>
  <c r="U549" i="8"/>
  <c r="U550" i="8"/>
  <c r="U551" i="8"/>
  <c r="U552" i="8"/>
  <c r="U553" i="8"/>
  <c r="U554" i="8"/>
  <c r="A554" i="8" s="1"/>
  <c r="V554" i="8" s="1"/>
  <c r="U555" i="8"/>
  <c r="U556" i="8"/>
  <c r="U557" i="8"/>
  <c r="U558" i="8"/>
  <c r="U559" i="8"/>
  <c r="U560" i="8"/>
  <c r="U561" i="8"/>
  <c r="U562" i="8"/>
  <c r="A562" i="8" s="1"/>
  <c r="V562" i="8" s="1"/>
  <c r="U563" i="8"/>
  <c r="U564" i="8"/>
  <c r="U565" i="8"/>
  <c r="U566" i="8"/>
  <c r="U567" i="8"/>
  <c r="U568" i="8"/>
  <c r="U569" i="8"/>
  <c r="U570" i="8"/>
  <c r="A570" i="8" s="1"/>
  <c r="V570" i="8" s="1"/>
  <c r="U571" i="8"/>
  <c r="U572" i="8"/>
  <c r="U573" i="8"/>
  <c r="U574" i="8"/>
  <c r="U575" i="8"/>
  <c r="U576" i="8"/>
  <c r="U577" i="8"/>
  <c r="U578" i="8"/>
  <c r="A578" i="8" s="1"/>
  <c r="V578" i="8" s="1"/>
  <c r="U579" i="8"/>
  <c r="U580" i="8"/>
  <c r="U581" i="8"/>
  <c r="U582" i="8"/>
  <c r="U583" i="8"/>
  <c r="U584" i="8"/>
  <c r="U585" i="8"/>
  <c r="U586" i="8"/>
  <c r="A586" i="8" s="1"/>
  <c r="V586" i="8" s="1"/>
  <c r="U587" i="8"/>
  <c r="U588" i="8"/>
  <c r="U589" i="8"/>
  <c r="U590" i="8"/>
  <c r="U591" i="8"/>
  <c r="U592" i="8"/>
  <c r="U593" i="8"/>
  <c r="U594" i="8"/>
  <c r="A594" i="8" s="1"/>
  <c r="V594" i="8" s="1"/>
  <c r="U595" i="8"/>
  <c r="U596" i="8"/>
  <c r="U597" i="8"/>
  <c r="U598" i="8"/>
  <c r="U599" i="8"/>
  <c r="U600" i="8"/>
  <c r="U601" i="8"/>
  <c r="U602" i="8"/>
  <c r="A602" i="8" s="1"/>
  <c r="V602" i="8" s="1"/>
  <c r="U603" i="8"/>
  <c r="U604" i="8"/>
  <c r="U605" i="8"/>
  <c r="U606" i="8"/>
  <c r="U607" i="8"/>
  <c r="U608" i="8"/>
  <c r="U609" i="8"/>
  <c r="U610" i="8"/>
  <c r="A610" i="8" s="1"/>
  <c r="V610" i="8" s="1"/>
  <c r="U611" i="8"/>
  <c r="U612" i="8"/>
  <c r="U613" i="8"/>
  <c r="U614" i="8"/>
  <c r="U615" i="8"/>
  <c r="U616" i="8"/>
  <c r="U617" i="8"/>
  <c r="U618" i="8"/>
  <c r="A618" i="8" s="1"/>
  <c r="V618" i="8" s="1"/>
  <c r="U619" i="8"/>
  <c r="U620" i="8"/>
  <c r="U621" i="8"/>
  <c r="U622" i="8"/>
  <c r="U623" i="8"/>
  <c r="U624" i="8"/>
  <c r="U625" i="8"/>
  <c r="U626" i="8"/>
  <c r="A626" i="8" s="1"/>
  <c r="V626" i="8" s="1"/>
  <c r="U627" i="8"/>
  <c r="U628" i="8"/>
  <c r="U629" i="8"/>
  <c r="U630" i="8"/>
  <c r="U631" i="8"/>
  <c r="U632" i="8"/>
  <c r="U633" i="8"/>
  <c r="U634" i="8"/>
  <c r="A634" i="8" s="1"/>
  <c r="V634" i="8" s="1"/>
  <c r="U635" i="8"/>
  <c r="U636" i="8"/>
  <c r="U637" i="8"/>
  <c r="U638" i="8"/>
  <c r="U639" i="8"/>
  <c r="U640" i="8"/>
  <c r="U641" i="8"/>
  <c r="U642" i="8"/>
  <c r="A642" i="8" s="1"/>
  <c r="V642" i="8" s="1"/>
  <c r="U643" i="8"/>
  <c r="U644" i="8"/>
  <c r="U645" i="8"/>
  <c r="U646" i="8"/>
  <c r="U647" i="8"/>
  <c r="U648" i="8"/>
  <c r="U649" i="8"/>
  <c r="U650" i="8"/>
  <c r="A650" i="8" s="1"/>
  <c r="V650" i="8" s="1"/>
  <c r="U651" i="8"/>
  <c r="U652" i="8"/>
  <c r="U653" i="8"/>
  <c r="U654" i="8"/>
  <c r="U655" i="8"/>
  <c r="U656" i="8"/>
  <c r="U657" i="8"/>
  <c r="U658" i="8"/>
  <c r="A658" i="8" s="1"/>
  <c r="V658" i="8" s="1"/>
  <c r="U659" i="8"/>
  <c r="U660" i="8"/>
  <c r="U661" i="8"/>
  <c r="U662" i="8"/>
  <c r="U663" i="8"/>
  <c r="U664" i="8"/>
  <c r="U665" i="8"/>
  <c r="U666" i="8"/>
  <c r="A666" i="8" s="1"/>
  <c r="V666" i="8" s="1"/>
  <c r="U667" i="8"/>
  <c r="U668" i="8"/>
  <c r="U669" i="8"/>
  <c r="U670" i="8"/>
  <c r="U671" i="8"/>
  <c r="U672" i="8"/>
  <c r="U673" i="8"/>
  <c r="U674" i="8"/>
  <c r="A674" i="8" s="1"/>
  <c r="V674" i="8" s="1"/>
  <c r="U675" i="8"/>
  <c r="U676" i="8"/>
  <c r="U677" i="8"/>
  <c r="U678" i="8"/>
  <c r="U679" i="8"/>
  <c r="U680" i="8"/>
  <c r="U681" i="8"/>
  <c r="U682" i="8"/>
  <c r="A682" i="8" s="1"/>
  <c r="V682" i="8" s="1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758" i="8"/>
  <c r="U759" i="8"/>
  <c r="U760" i="8"/>
  <c r="U761" i="8"/>
  <c r="U762" i="8"/>
  <c r="U763" i="8"/>
  <c r="U764" i="8"/>
  <c r="U765" i="8"/>
  <c r="U766" i="8"/>
  <c r="U767" i="8"/>
  <c r="U768" i="8"/>
  <c r="U769" i="8"/>
  <c r="U770" i="8"/>
  <c r="U771" i="8"/>
  <c r="U772" i="8"/>
  <c r="U773" i="8"/>
  <c r="U774" i="8"/>
  <c r="U775" i="8"/>
  <c r="U776" i="8"/>
  <c r="U777" i="8"/>
  <c r="U778" i="8"/>
  <c r="U779" i="8"/>
  <c r="U780" i="8"/>
  <c r="U781" i="8"/>
  <c r="U782" i="8"/>
  <c r="U783" i="8"/>
  <c r="U784" i="8"/>
  <c r="U785" i="8"/>
  <c r="U786" i="8"/>
  <c r="U787" i="8"/>
  <c r="U788" i="8"/>
  <c r="U789" i="8"/>
  <c r="U790" i="8"/>
  <c r="U791" i="8"/>
  <c r="U792" i="8"/>
  <c r="U793" i="8"/>
  <c r="U794" i="8"/>
  <c r="U795" i="8"/>
  <c r="U796" i="8"/>
  <c r="U797" i="8"/>
  <c r="U798" i="8"/>
  <c r="U799" i="8"/>
  <c r="U800" i="8"/>
  <c r="U801" i="8"/>
  <c r="U802" i="8"/>
  <c r="U803" i="8"/>
  <c r="U804" i="8"/>
  <c r="U805" i="8"/>
  <c r="U806" i="8"/>
  <c r="U807" i="8"/>
  <c r="U808" i="8"/>
  <c r="U809" i="8"/>
  <c r="U810" i="8"/>
  <c r="U811" i="8"/>
  <c r="U812" i="8"/>
  <c r="U813" i="8"/>
  <c r="U814" i="8"/>
  <c r="U815" i="8"/>
  <c r="U816" i="8"/>
  <c r="U817" i="8"/>
  <c r="U818" i="8"/>
  <c r="U819" i="8"/>
  <c r="U820" i="8"/>
  <c r="U821" i="8"/>
  <c r="U822" i="8"/>
  <c r="U823" i="8"/>
  <c r="U824" i="8"/>
  <c r="U825" i="8"/>
  <c r="U826" i="8"/>
  <c r="U827" i="8"/>
  <c r="U828" i="8"/>
  <c r="U829" i="8"/>
  <c r="U830" i="8"/>
  <c r="U831" i="8"/>
  <c r="U832" i="8"/>
  <c r="U833" i="8"/>
  <c r="U834" i="8"/>
  <c r="U835" i="8"/>
  <c r="U836" i="8"/>
  <c r="U837" i="8"/>
  <c r="U838" i="8"/>
  <c r="U839" i="8"/>
  <c r="U840" i="8"/>
  <c r="U841" i="8"/>
  <c r="U842" i="8"/>
  <c r="U843" i="8"/>
  <c r="U844" i="8"/>
  <c r="U845" i="8"/>
  <c r="U846" i="8"/>
  <c r="U847" i="8"/>
  <c r="U848" i="8"/>
  <c r="U849" i="8"/>
  <c r="U850" i="8"/>
  <c r="U851" i="8"/>
  <c r="U852" i="8"/>
  <c r="U853" i="8"/>
  <c r="U854" i="8"/>
  <c r="U855" i="8"/>
  <c r="U856" i="8"/>
  <c r="U857" i="8"/>
  <c r="U858" i="8"/>
  <c r="U859" i="8"/>
  <c r="U860" i="8"/>
  <c r="U861" i="8"/>
  <c r="U862" i="8"/>
  <c r="U863" i="8"/>
  <c r="U864" i="8"/>
  <c r="U865" i="8"/>
  <c r="U866" i="8"/>
  <c r="U867" i="8"/>
  <c r="U868" i="8"/>
  <c r="U869" i="8"/>
  <c r="U870" i="8"/>
  <c r="U871" i="8"/>
  <c r="U872" i="8"/>
  <c r="U873" i="8"/>
  <c r="U874" i="8"/>
  <c r="U875" i="8"/>
  <c r="U876" i="8"/>
  <c r="U877" i="8"/>
  <c r="U878" i="8"/>
  <c r="U879" i="8"/>
  <c r="U880" i="8"/>
  <c r="U881" i="8"/>
  <c r="U882" i="8"/>
  <c r="U883" i="8"/>
  <c r="U884" i="8"/>
  <c r="U885" i="8"/>
  <c r="U886" i="8"/>
  <c r="U887" i="8"/>
  <c r="U888" i="8"/>
  <c r="U889" i="8"/>
  <c r="U890" i="8"/>
  <c r="U891" i="8"/>
  <c r="U892" i="8"/>
  <c r="U893" i="8"/>
  <c r="U894" i="8"/>
  <c r="U895" i="8"/>
  <c r="U896" i="8"/>
  <c r="U897" i="8"/>
  <c r="U898" i="8"/>
  <c r="U899" i="8"/>
  <c r="U900" i="8"/>
  <c r="U901" i="8"/>
  <c r="U902" i="8"/>
  <c r="U903" i="8"/>
  <c r="U904" i="8"/>
  <c r="U905" i="8"/>
  <c r="U906" i="8"/>
  <c r="U907" i="8"/>
  <c r="U908" i="8"/>
  <c r="U909" i="8"/>
  <c r="U910" i="8"/>
  <c r="U911" i="8"/>
  <c r="U912" i="8"/>
  <c r="U913" i="8"/>
  <c r="U914" i="8"/>
  <c r="U915" i="8"/>
  <c r="U916" i="8"/>
  <c r="U917" i="8"/>
  <c r="U918" i="8"/>
  <c r="U919" i="8"/>
  <c r="U920" i="8"/>
  <c r="U921" i="8"/>
  <c r="U922" i="8"/>
  <c r="U923" i="8"/>
  <c r="U924" i="8"/>
  <c r="U925" i="8"/>
  <c r="U926" i="8"/>
  <c r="U927" i="8"/>
  <c r="U928" i="8"/>
  <c r="U929" i="8"/>
  <c r="U930" i="8"/>
  <c r="U931" i="8"/>
  <c r="U932" i="8"/>
  <c r="U933" i="8"/>
  <c r="U934" i="8"/>
  <c r="U935" i="8"/>
  <c r="U936" i="8"/>
  <c r="U937" i="8"/>
  <c r="U938" i="8"/>
  <c r="U939" i="8"/>
  <c r="U940" i="8"/>
  <c r="U941" i="8"/>
  <c r="U942" i="8"/>
  <c r="U943" i="8"/>
  <c r="U944" i="8"/>
  <c r="U945" i="8"/>
  <c r="U946" i="8"/>
  <c r="U947" i="8"/>
  <c r="U948" i="8"/>
  <c r="U949" i="8"/>
  <c r="U950" i="8"/>
  <c r="U951" i="8"/>
  <c r="U952" i="8"/>
  <c r="U953" i="8"/>
  <c r="U954" i="8"/>
  <c r="U955" i="8"/>
  <c r="U956" i="8"/>
  <c r="U957" i="8"/>
  <c r="U958" i="8"/>
  <c r="U959" i="8"/>
  <c r="U960" i="8"/>
  <c r="U961" i="8"/>
  <c r="U962" i="8"/>
  <c r="U963" i="8"/>
  <c r="U964" i="8"/>
  <c r="U965" i="8"/>
  <c r="U966" i="8"/>
  <c r="U967" i="8"/>
  <c r="U968" i="8"/>
  <c r="U969" i="8"/>
  <c r="U970" i="8"/>
  <c r="U971" i="8"/>
  <c r="U972" i="8"/>
  <c r="U973" i="8"/>
  <c r="U974" i="8"/>
  <c r="U975" i="8"/>
  <c r="U976" i="8"/>
  <c r="U977" i="8"/>
  <c r="U978" i="8"/>
  <c r="U979" i="8"/>
  <c r="U980" i="8"/>
  <c r="U981" i="8"/>
  <c r="U982" i="8"/>
  <c r="U983" i="8"/>
  <c r="U984" i="8"/>
  <c r="U985" i="8"/>
  <c r="U986" i="8"/>
  <c r="U987" i="8"/>
  <c r="U988" i="8"/>
  <c r="U989" i="8"/>
  <c r="U990" i="8"/>
  <c r="U991" i="8"/>
  <c r="U992" i="8"/>
  <c r="U993" i="8"/>
  <c r="U994" i="8"/>
  <c r="U995" i="8"/>
  <c r="U996" i="8"/>
  <c r="U997" i="8"/>
  <c r="U998" i="8"/>
  <c r="U999" i="8"/>
  <c r="U1000" i="8"/>
  <c r="U1001" i="8"/>
  <c r="U1002" i="8"/>
  <c r="U1003" i="8"/>
  <c r="U1004" i="8"/>
  <c r="U1005" i="8"/>
  <c r="U1006" i="8"/>
  <c r="U1007" i="8"/>
  <c r="U1008" i="8"/>
  <c r="U1009" i="8"/>
  <c r="U1010" i="8"/>
  <c r="U1011" i="8"/>
  <c r="U1012" i="8"/>
  <c r="U1013" i="8"/>
  <c r="U1014" i="8"/>
  <c r="U1015" i="8"/>
  <c r="U1016" i="8"/>
  <c r="U1017" i="8"/>
  <c r="U1018" i="8"/>
  <c r="U1019" i="8"/>
  <c r="U1020" i="8"/>
  <c r="U1021" i="8"/>
  <c r="U1022" i="8"/>
  <c r="U1023" i="8"/>
  <c r="U1024" i="8"/>
  <c r="U1025" i="8"/>
  <c r="U1026" i="8"/>
  <c r="U1027" i="8"/>
  <c r="U1028" i="8"/>
  <c r="U1029" i="8"/>
  <c r="U1030" i="8"/>
  <c r="U1031" i="8"/>
  <c r="U1032" i="8"/>
  <c r="U1033" i="8"/>
  <c r="U1034" i="8"/>
  <c r="U1035" i="8"/>
  <c r="U1036" i="8"/>
  <c r="U1037" i="8"/>
  <c r="U1038" i="8"/>
  <c r="U1039" i="8"/>
  <c r="U1040" i="8"/>
  <c r="U1041" i="8"/>
  <c r="U1042" i="8"/>
  <c r="U1043" i="8"/>
  <c r="U1044" i="8"/>
  <c r="U1045" i="8"/>
  <c r="U1046" i="8"/>
  <c r="U1047" i="8"/>
  <c r="U1048" i="8"/>
  <c r="U1049" i="8"/>
  <c r="U1050" i="8"/>
  <c r="U1051" i="8"/>
  <c r="U1052" i="8"/>
  <c r="U1053" i="8"/>
  <c r="U1054" i="8"/>
  <c r="U1055" i="8"/>
  <c r="U1056" i="8"/>
  <c r="U1057" i="8"/>
  <c r="U1058" i="8"/>
  <c r="U1059" i="8"/>
  <c r="U1060" i="8"/>
  <c r="U1061" i="8"/>
  <c r="U1062" i="8"/>
  <c r="U1063" i="8"/>
  <c r="U1064" i="8"/>
  <c r="U1065" i="8"/>
  <c r="U1066" i="8"/>
  <c r="U1067" i="8"/>
  <c r="U1068" i="8"/>
  <c r="U1069" i="8"/>
  <c r="U1070" i="8"/>
  <c r="U1071" i="8"/>
  <c r="U1072" i="8"/>
  <c r="U1073" i="8"/>
  <c r="U1074" i="8"/>
  <c r="U1075" i="8"/>
  <c r="U1076" i="8"/>
  <c r="U1077" i="8"/>
  <c r="U1078" i="8"/>
  <c r="U1079" i="8"/>
  <c r="U1080" i="8"/>
  <c r="U1081" i="8"/>
  <c r="U1082" i="8"/>
  <c r="U1083" i="8"/>
  <c r="U1084" i="8"/>
  <c r="U1085" i="8"/>
  <c r="U1086" i="8"/>
  <c r="U1087" i="8"/>
  <c r="U1088" i="8"/>
  <c r="U1089" i="8"/>
  <c r="U1090" i="8"/>
  <c r="U1091" i="8"/>
  <c r="U1092" i="8"/>
  <c r="U1093" i="8"/>
  <c r="U1094" i="8"/>
  <c r="U1095" i="8"/>
  <c r="U1096" i="8"/>
  <c r="U1097" i="8"/>
  <c r="U1098" i="8"/>
  <c r="U1099" i="8"/>
  <c r="U1100" i="8"/>
  <c r="U1101" i="8"/>
  <c r="U1102" i="8"/>
  <c r="U1103" i="8"/>
  <c r="U1104" i="8"/>
  <c r="U1105" i="8"/>
  <c r="U1106" i="8"/>
  <c r="U1107" i="8"/>
  <c r="U1108" i="8"/>
  <c r="U1109" i="8"/>
  <c r="U1110" i="8"/>
  <c r="U1111" i="8"/>
  <c r="U1112" i="8"/>
  <c r="U1113" i="8"/>
  <c r="U1114" i="8"/>
  <c r="U1115" i="8"/>
  <c r="U1116" i="8"/>
  <c r="U1117" i="8"/>
  <c r="U1118" i="8"/>
  <c r="U1119" i="8"/>
  <c r="U1120" i="8"/>
  <c r="U1121" i="8"/>
  <c r="U1122" i="8"/>
  <c r="U1123" i="8"/>
  <c r="U1124" i="8"/>
  <c r="U1125" i="8"/>
  <c r="U1126" i="8"/>
  <c r="U1127" i="8"/>
  <c r="U1128" i="8"/>
  <c r="U1129" i="8"/>
  <c r="U1130" i="8"/>
  <c r="U1131" i="8"/>
  <c r="U1132" i="8"/>
  <c r="U1133" i="8"/>
  <c r="U1134" i="8"/>
  <c r="U1135" i="8"/>
  <c r="U1136" i="8"/>
  <c r="U1137" i="8"/>
  <c r="U1138" i="8"/>
  <c r="U1139" i="8"/>
  <c r="U1140" i="8"/>
  <c r="U1141" i="8"/>
  <c r="U1142" i="8"/>
  <c r="U1143" i="8"/>
  <c r="U1144" i="8"/>
  <c r="U1145" i="8"/>
  <c r="U1146" i="8"/>
  <c r="U1147" i="8"/>
  <c r="U1148" i="8"/>
  <c r="U1149" i="8"/>
  <c r="U1150" i="8"/>
  <c r="U1151" i="8"/>
  <c r="U1152" i="8"/>
  <c r="U1153" i="8"/>
  <c r="U1154" i="8"/>
  <c r="U1155" i="8"/>
  <c r="U1156" i="8"/>
  <c r="U1157" i="8"/>
  <c r="U1158" i="8"/>
  <c r="U1159" i="8"/>
  <c r="U1160" i="8"/>
  <c r="U1161" i="8"/>
  <c r="U1162" i="8"/>
  <c r="U1163" i="8"/>
  <c r="U1164" i="8"/>
  <c r="U1165" i="8"/>
  <c r="U1166" i="8"/>
  <c r="U1167" i="8"/>
  <c r="U1168" i="8"/>
  <c r="U1169" i="8"/>
  <c r="U1170" i="8"/>
  <c r="U1171" i="8"/>
  <c r="U1172" i="8"/>
  <c r="U1173" i="8"/>
  <c r="U1174" i="8"/>
  <c r="U1175" i="8"/>
  <c r="U1176" i="8"/>
  <c r="U1177" i="8"/>
  <c r="U1178" i="8"/>
  <c r="U1179" i="8"/>
  <c r="U1180" i="8"/>
  <c r="U1181" i="8"/>
  <c r="U1182" i="8"/>
  <c r="U1183" i="8"/>
  <c r="U1184" i="8"/>
  <c r="U1185" i="8"/>
  <c r="U1186" i="8"/>
  <c r="U1187" i="8"/>
  <c r="U1188" i="8"/>
  <c r="U1189" i="8"/>
  <c r="U1190" i="8"/>
  <c r="U1191" i="8"/>
  <c r="U1192" i="8"/>
  <c r="U1193" i="8"/>
  <c r="U1194" i="8"/>
  <c r="U1195" i="8"/>
  <c r="U1196" i="8"/>
  <c r="U1197" i="8"/>
  <c r="U1198" i="8"/>
  <c r="U1199" i="8"/>
  <c r="U1200" i="8"/>
  <c r="U1201" i="8"/>
  <c r="U1202" i="8"/>
  <c r="U1203" i="8"/>
  <c r="U1204" i="8"/>
  <c r="U1205" i="8"/>
  <c r="U1206" i="8"/>
  <c r="U1207" i="8"/>
  <c r="U1208" i="8"/>
  <c r="U1209" i="8"/>
  <c r="U1210" i="8"/>
  <c r="U1211" i="8"/>
  <c r="U1212" i="8"/>
  <c r="U1213" i="8"/>
  <c r="U1214" i="8"/>
  <c r="U1215" i="8"/>
  <c r="U1216" i="8"/>
  <c r="U1217" i="8"/>
  <c r="U1218" i="8"/>
  <c r="U1219" i="8"/>
  <c r="U1220" i="8"/>
  <c r="U1221" i="8"/>
  <c r="U1222" i="8"/>
  <c r="U1223" i="8"/>
  <c r="U1224" i="8"/>
  <c r="U1225" i="8"/>
  <c r="U1226" i="8"/>
  <c r="U1227" i="8"/>
  <c r="U1228" i="8"/>
  <c r="U1229" i="8"/>
  <c r="U1230" i="8"/>
  <c r="U1231" i="8"/>
  <c r="U1232" i="8"/>
  <c r="U1233" i="8"/>
  <c r="U1234" i="8"/>
  <c r="U1235" i="8"/>
  <c r="U1236" i="8"/>
  <c r="U1237" i="8"/>
  <c r="U1238" i="8"/>
  <c r="U1239" i="8"/>
  <c r="U1240" i="8"/>
  <c r="U1241" i="8"/>
  <c r="U1242" i="8"/>
  <c r="U1243" i="8"/>
  <c r="U1244" i="8"/>
  <c r="U1245" i="8"/>
  <c r="U1246" i="8"/>
  <c r="U1247" i="8"/>
  <c r="U1248" i="8"/>
  <c r="U1249" i="8"/>
  <c r="U1250" i="8"/>
  <c r="U1251" i="8"/>
  <c r="U1252" i="8"/>
  <c r="U1253" i="8"/>
  <c r="U1254" i="8"/>
  <c r="U1255" i="8"/>
  <c r="U1256" i="8"/>
  <c r="U1257" i="8"/>
  <c r="U1258" i="8"/>
  <c r="U1259" i="8"/>
  <c r="U1260" i="8"/>
  <c r="U1261" i="8"/>
  <c r="U1262" i="8"/>
  <c r="U1263" i="8"/>
  <c r="U1264" i="8"/>
  <c r="U1265" i="8"/>
  <c r="U1266" i="8"/>
  <c r="U1267" i="8"/>
  <c r="U1268" i="8"/>
  <c r="U1269" i="8"/>
  <c r="U1270" i="8"/>
  <c r="U1271" i="8"/>
  <c r="U1272" i="8"/>
  <c r="U1273" i="8"/>
  <c r="U1274" i="8"/>
  <c r="U1275" i="8"/>
  <c r="U1276" i="8"/>
  <c r="U1277" i="8"/>
  <c r="U1278" i="8"/>
  <c r="U1279" i="8"/>
  <c r="U1280" i="8"/>
  <c r="U1281" i="8"/>
  <c r="U1282" i="8"/>
  <c r="U1283" i="8"/>
  <c r="U1284" i="8"/>
  <c r="U1285" i="8"/>
  <c r="U1286" i="8"/>
  <c r="U1287" i="8"/>
  <c r="U1288" i="8"/>
  <c r="U1289" i="8"/>
  <c r="U1290" i="8"/>
  <c r="U1291" i="8"/>
  <c r="U1292" i="8"/>
  <c r="U1293" i="8"/>
  <c r="U1294" i="8"/>
  <c r="U1295" i="8"/>
  <c r="U1296" i="8"/>
  <c r="U1297" i="8"/>
  <c r="U1298" i="8"/>
  <c r="U1299" i="8"/>
  <c r="U1300" i="8"/>
  <c r="U1301" i="8"/>
  <c r="U1302" i="8"/>
  <c r="U1303" i="8"/>
  <c r="U1304" i="8"/>
  <c r="U1305" i="8"/>
  <c r="U1306" i="8"/>
  <c r="U1307" i="8"/>
  <c r="U1308" i="8"/>
  <c r="U1309" i="8"/>
  <c r="U1310" i="8"/>
  <c r="U1311" i="8"/>
  <c r="U1312" i="8"/>
  <c r="U1313" i="8"/>
  <c r="U1314" i="8"/>
  <c r="U1315" i="8"/>
  <c r="U1316" i="8"/>
  <c r="U1317" i="8"/>
  <c r="U1318" i="8"/>
  <c r="U1319" i="8"/>
  <c r="U1320" i="8"/>
  <c r="U1321" i="8"/>
  <c r="U1322" i="8"/>
  <c r="U1323" i="8"/>
  <c r="U1324" i="8"/>
  <c r="U1325" i="8"/>
  <c r="U1326" i="8"/>
  <c r="U1327" i="8"/>
  <c r="U1328" i="8"/>
  <c r="U1329" i="8"/>
  <c r="U1330" i="8"/>
  <c r="U1331" i="8"/>
  <c r="U1332" i="8"/>
  <c r="U1333" i="8"/>
  <c r="U1334" i="8"/>
  <c r="U1335" i="8"/>
  <c r="U1336" i="8"/>
  <c r="U1337" i="8"/>
  <c r="U1338" i="8"/>
  <c r="U1339" i="8"/>
  <c r="U1340" i="8"/>
  <c r="U1341" i="8"/>
  <c r="U1342" i="8"/>
  <c r="U1343" i="8"/>
  <c r="U1344" i="8"/>
  <c r="U1345" i="8"/>
  <c r="U1346" i="8"/>
  <c r="U1347" i="8"/>
  <c r="U1348" i="8"/>
  <c r="U1349" i="8"/>
  <c r="U1350" i="8"/>
  <c r="U1351" i="8"/>
  <c r="U1352" i="8"/>
  <c r="U1353" i="8"/>
  <c r="U1354" i="8"/>
  <c r="U1355" i="8"/>
  <c r="U1356" i="8"/>
  <c r="U1357" i="8"/>
  <c r="U1358" i="8"/>
  <c r="U1359" i="8"/>
  <c r="U1360" i="8"/>
  <c r="U1361" i="8"/>
  <c r="U1362" i="8"/>
  <c r="U1363" i="8"/>
  <c r="U1364" i="8"/>
  <c r="U1365" i="8"/>
  <c r="U1366" i="8"/>
  <c r="U1367" i="8"/>
  <c r="U1368" i="8"/>
  <c r="U1369" i="8"/>
  <c r="U1370" i="8"/>
  <c r="U1371" i="8"/>
  <c r="U1372" i="8"/>
  <c r="U1373" i="8"/>
  <c r="U1374" i="8"/>
  <c r="U1375" i="8"/>
  <c r="U1376" i="8"/>
  <c r="U1377" i="8"/>
  <c r="U1378" i="8"/>
  <c r="U1379" i="8"/>
  <c r="U1380" i="8"/>
  <c r="U1381" i="8"/>
  <c r="U1382" i="8"/>
  <c r="U1383" i="8"/>
  <c r="U1384" i="8"/>
  <c r="U1385" i="8"/>
  <c r="U1386" i="8"/>
  <c r="U1387" i="8"/>
  <c r="U1388" i="8"/>
  <c r="U1389" i="8"/>
  <c r="U1390" i="8"/>
  <c r="U1391" i="8"/>
  <c r="U1392" i="8"/>
  <c r="U1393" i="8"/>
  <c r="U1394" i="8"/>
  <c r="U1395" i="8"/>
  <c r="U1396" i="8"/>
  <c r="U1397" i="8"/>
  <c r="U1398" i="8"/>
  <c r="U1399" i="8"/>
  <c r="U1400" i="8"/>
  <c r="U1401" i="8"/>
  <c r="U1402" i="8"/>
  <c r="U1403" i="8"/>
  <c r="U1404" i="8"/>
  <c r="U1405" i="8"/>
  <c r="U1406" i="8"/>
  <c r="U1407" i="8"/>
  <c r="U1408" i="8"/>
  <c r="U1409" i="8"/>
  <c r="U1410" i="8"/>
  <c r="U1411" i="8"/>
  <c r="U1412" i="8"/>
  <c r="U1413" i="8"/>
  <c r="U1414" i="8"/>
  <c r="U1415" i="8"/>
  <c r="U1416" i="8"/>
  <c r="U1417" i="8"/>
  <c r="U1418" i="8"/>
  <c r="U1419" i="8"/>
  <c r="U1420" i="8"/>
  <c r="U1421" i="8"/>
  <c r="U1422" i="8"/>
  <c r="U1423" i="8"/>
  <c r="U1424" i="8"/>
  <c r="U1425" i="8"/>
  <c r="U1426" i="8"/>
  <c r="U1427" i="8"/>
  <c r="U1428" i="8"/>
  <c r="U1429" i="8"/>
  <c r="U1430" i="8"/>
  <c r="U1431" i="8"/>
  <c r="U1432" i="8"/>
  <c r="U1433" i="8"/>
  <c r="U1434" i="8"/>
  <c r="U1435" i="8"/>
  <c r="U1436" i="8"/>
  <c r="U1437" i="8"/>
  <c r="U1438" i="8"/>
  <c r="U1439" i="8"/>
  <c r="U1440" i="8"/>
  <c r="U1441" i="8"/>
  <c r="U1442" i="8"/>
  <c r="U1443" i="8"/>
  <c r="U1444" i="8"/>
  <c r="U1445" i="8"/>
  <c r="U1446" i="8"/>
  <c r="U1447" i="8"/>
  <c r="U1448" i="8"/>
  <c r="U1449" i="8"/>
  <c r="U1450" i="8"/>
  <c r="U1451" i="8"/>
  <c r="U1452" i="8"/>
  <c r="U1453" i="8"/>
  <c r="U1454" i="8"/>
  <c r="U1455" i="8"/>
  <c r="U1456" i="8"/>
  <c r="U1457" i="8"/>
  <c r="U1458" i="8"/>
  <c r="U1459" i="8"/>
  <c r="U1460" i="8"/>
  <c r="U1461" i="8"/>
  <c r="U1462" i="8"/>
  <c r="U1463" i="8"/>
  <c r="U1464" i="8"/>
  <c r="U1465" i="8"/>
  <c r="U1466" i="8"/>
  <c r="U1467" i="8"/>
  <c r="U1468" i="8"/>
  <c r="U1469" i="8"/>
  <c r="U1470" i="8"/>
  <c r="U1471" i="8"/>
  <c r="U1472" i="8"/>
  <c r="U1473" i="8"/>
  <c r="U1474" i="8"/>
  <c r="U1475" i="8"/>
  <c r="U1476" i="8"/>
  <c r="U1477" i="8"/>
  <c r="U1478" i="8"/>
  <c r="U1479" i="8"/>
  <c r="U1480" i="8"/>
  <c r="U1481" i="8"/>
  <c r="U1482" i="8"/>
  <c r="U1483" i="8"/>
  <c r="U1484" i="8"/>
  <c r="U1485" i="8"/>
  <c r="U1486" i="8"/>
  <c r="U1487" i="8"/>
  <c r="U1488" i="8"/>
  <c r="U1489" i="8"/>
  <c r="U1490" i="8"/>
  <c r="U1491" i="8"/>
  <c r="U1492" i="8"/>
  <c r="U1493" i="8"/>
  <c r="U1494" i="8"/>
  <c r="U1495" i="8"/>
  <c r="U1496" i="8"/>
  <c r="U1497" i="8"/>
  <c r="U1498" i="8"/>
  <c r="U1499" i="8"/>
  <c r="U1500" i="8"/>
  <c r="U1501" i="8"/>
  <c r="U1502" i="8"/>
  <c r="U1503" i="8"/>
  <c r="U1504" i="8"/>
  <c r="U1505" i="8"/>
  <c r="U1506" i="8"/>
  <c r="U1507" i="8"/>
  <c r="U1508" i="8"/>
  <c r="U1509" i="8"/>
  <c r="U1510" i="8"/>
  <c r="U1511" i="8"/>
  <c r="U1512" i="8"/>
  <c r="U1513" i="8"/>
  <c r="U1514" i="8"/>
  <c r="U1515" i="8"/>
  <c r="U1516" i="8"/>
  <c r="U1517" i="8"/>
  <c r="U1518" i="8"/>
  <c r="U1519" i="8"/>
  <c r="U1520" i="8"/>
  <c r="U1521" i="8"/>
  <c r="U1522" i="8"/>
  <c r="U1523" i="8"/>
  <c r="U1524" i="8"/>
  <c r="U1525" i="8"/>
  <c r="U1526" i="8"/>
  <c r="U1527" i="8"/>
  <c r="U1528" i="8"/>
  <c r="U1529" i="8"/>
  <c r="U1530" i="8"/>
  <c r="U1531" i="8"/>
  <c r="U1532" i="8"/>
  <c r="U1533" i="8"/>
  <c r="U1534" i="8"/>
  <c r="U1535" i="8"/>
  <c r="U1536" i="8"/>
  <c r="U1537" i="8"/>
  <c r="U1538" i="8"/>
  <c r="U1539" i="8"/>
  <c r="U1540" i="8"/>
  <c r="U1541" i="8"/>
  <c r="U1542" i="8"/>
  <c r="U1543" i="8"/>
  <c r="U1544" i="8"/>
  <c r="U1545" i="8"/>
  <c r="U1546" i="8"/>
  <c r="U1547" i="8"/>
  <c r="U1548" i="8"/>
  <c r="U1549" i="8"/>
  <c r="U1550" i="8"/>
  <c r="U1551" i="8"/>
  <c r="U1552" i="8"/>
  <c r="U1553" i="8"/>
  <c r="U1554" i="8"/>
  <c r="U1555" i="8"/>
  <c r="U1556" i="8"/>
  <c r="U1557" i="8"/>
  <c r="U1558" i="8"/>
  <c r="U1559" i="8"/>
  <c r="U1560" i="8"/>
  <c r="U1561" i="8"/>
  <c r="U1562" i="8"/>
  <c r="U1563" i="8"/>
  <c r="U1564" i="8"/>
  <c r="U1565" i="8"/>
  <c r="U1566" i="8"/>
  <c r="U1567" i="8"/>
  <c r="U1568" i="8"/>
  <c r="U1569" i="8"/>
  <c r="U1570" i="8"/>
  <c r="U1571" i="8"/>
  <c r="U1572" i="8"/>
  <c r="U1573" i="8"/>
  <c r="U1574" i="8"/>
  <c r="U1575" i="8"/>
  <c r="U1576" i="8"/>
  <c r="U1577" i="8"/>
  <c r="U1578" i="8"/>
  <c r="U1579" i="8"/>
  <c r="U1580" i="8"/>
  <c r="U1581" i="8"/>
  <c r="U1582" i="8"/>
  <c r="U1583" i="8"/>
  <c r="U1584" i="8"/>
  <c r="U1585" i="8"/>
  <c r="U1586" i="8"/>
  <c r="U1587" i="8"/>
  <c r="U1588" i="8"/>
  <c r="U1589" i="8"/>
  <c r="U1590" i="8"/>
  <c r="U1591" i="8"/>
  <c r="U1592" i="8"/>
  <c r="U1593" i="8"/>
  <c r="U1594" i="8"/>
  <c r="U1595" i="8"/>
  <c r="U1596" i="8"/>
  <c r="U1597" i="8"/>
  <c r="U1598" i="8"/>
  <c r="U1599" i="8"/>
  <c r="U1600" i="8"/>
  <c r="U1601" i="8"/>
  <c r="U1602" i="8"/>
  <c r="U1603" i="8"/>
  <c r="U1604" i="8"/>
  <c r="U1605" i="8"/>
  <c r="U1606" i="8"/>
  <c r="U1607" i="8"/>
  <c r="U1608" i="8"/>
  <c r="U1609" i="8"/>
  <c r="U1610" i="8"/>
  <c r="U1611" i="8"/>
  <c r="U1612" i="8"/>
  <c r="U1613" i="8"/>
  <c r="U1614" i="8"/>
  <c r="U1615" i="8"/>
  <c r="U1616" i="8"/>
  <c r="U1617" i="8"/>
  <c r="U1618" i="8"/>
  <c r="U1619" i="8"/>
  <c r="U1620" i="8"/>
  <c r="U1621" i="8"/>
  <c r="U1622" i="8"/>
  <c r="U1623" i="8"/>
  <c r="U1624" i="8"/>
  <c r="U1625" i="8"/>
  <c r="U1626" i="8"/>
  <c r="U1627" i="8"/>
  <c r="U1628" i="8"/>
  <c r="U1629" i="8"/>
  <c r="U1630" i="8"/>
  <c r="U1631" i="8"/>
  <c r="U1632" i="8"/>
  <c r="U1633" i="8"/>
  <c r="U1634" i="8"/>
  <c r="U1635" i="8"/>
  <c r="U1636" i="8"/>
  <c r="U1637" i="8"/>
  <c r="U1638" i="8"/>
  <c r="U1639" i="8"/>
  <c r="U1640" i="8"/>
  <c r="U1641" i="8"/>
  <c r="U1642" i="8"/>
  <c r="U1643" i="8"/>
  <c r="U1644" i="8"/>
  <c r="U1645" i="8"/>
  <c r="U1646" i="8"/>
  <c r="U1647" i="8"/>
  <c r="U1648" i="8"/>
  <c r="U1649" i="8"/>
  <c r="U1650" i="8"/>
  <c r="U1651" i="8"/>
  <c r="U1652" i="8"/>
  <c r="U1653" i="8"/>
  <c r="U1654" i="8"/>
  <c r="U1655" i="8"/>
  <c r="U1656" i="8"/>
  <c r="U1657" i="8"/>
  <c r="U1658" i="8"/>
  <c r="U1659" i="8"/>
  <c r="U1660" i="8"/>
  <c r="U1661" i="8"/>
  <c r="U1662" i="8"/>
  <c r="U1663" i="8"/>
  <c r="U1664" i="8"/>
  <c r="U1665" i="8"/>
  <c r="U1666" i="8"/>
  <c r="U1667" i="8"/>
  <c r="U1668" i="8"/>
  <c r="U1669" i="8"/>
  <c r="U1670" i="8"/>
  <c r="U1671" i="8"/>
  <c r="U1672" i="8"/>
  <c r="U1673" i="8"/>
  <c r="U1674" i="8"/>
  <c r="U1675" i="8"/>
  <c r="U1676" i="8"/>
  <c r="U1677" i="8"/>
  <c r="U1678" i="8"/>
  <c r="U1679" i="8"/>
  <c r="U1680" i="8"/>
  <c r="U1681" i="8"/>
  <c r="U1682" i="8"/>
  <c r="U1683" i="8"/>
  <c r="U1684" i="8"/>
  <c r="U1685" i="8"/>
  <c r="U1686" i="8"/>
  <c r="U1687" i="8"/>
  <c r="U1688" i="8"/>
  <c r="U1689" i="8"/>
  <c r="U1690" i="8"/>
  <c r="U1691" i="8"/>
  <c r="U1692" i="8"/>
  <c r="U1693" i="8"/>
  <c r="U1694" i="8"/>
  <c r="U1695" i="8"/>
  <c r="U1696" i="8"/>
  <c r="U1697" i="8"/>
  <c r="U1698" i="8"/>
  <c r="U1699" i="8"/>
  <c r="U1700" i="8"/>
  <c r="U1701" i="8"/>
  <c r="U1702" i="8"/>
  <c r="U1703" i="8"/>
  <c r="U1704" i="8"/>
  <c r="U1705" i="8"/>
  <c r="U1706" i="8"/>
  <c r="U1707" i="8"/>
  <c r="U1708" i="8"/>
  <c r="U1709" i="8"/>
  <c r="U1710" i="8"/>
  <c r="U1711" i="8"/>
  <c r="U1712" i="8"/>
  <c r="U1713" i="8"/>
  <c r="U1714" i="8"/>
  <c r="U1715" i="8"/>
  <c r="U1716" i="8"/>
  <c r="U1717" i="8"/>
  <c r="U1718" i="8"/>
  <c r="U1719" i="8"/>
  <c r="U1720" i="8"/>
  <c r="U1721" i="8"/>
  <c r="U1722" i="8"/>
  <c r="U1723" i="8"/>
  <c r="U1724" i="8"/>
  <c r="U1725" i="8"/>
  <c r="U1726" i="8"/>
  <c r="U1727" i="8"/>
  <c r="U1728" i="8"/>
  <c r="U1729" i="8"/>
  <c r="U1730" i="8"/>
  <c r="U1731" i="8"/>
  <c r="U1732" i="8"/>
  <c r="U1733" i="8"/>
  <c r="U1734" i="8"/>
  <c r="U1735" i="8"/>
  <c r="U1736" i="8"/>
  <c r="U1737" i="8"/>
  <c r="U1738" i="8"/>
  <c r="U1739" i="8"/>
  <c r="U1740" i="8"/>
  <c r="U1741" i="8"/>
  <c r="U1742" i="8"/>
  <c r="U1743" i="8"/>
  <c r="U1744" i="8"/>
  <c r="U1745" i="8"/>
  <c r="U1746" i="8"/>
  <c r="U1747" i="8"/>
  <c r="U1748" i="8"/>
  <c r="U1749" i="8"/>
  <c r="U1750" i="8"/>
  <c r="U1751" i="8"/>
  <c r="U1752" i="8"/>
  <c r="U1753" i="8"/>
  <c r="U1754" i="8"/>
  <c r="U1755" i="8"/>
  <c r="U1756" i="8"/>
  <c r="U1757" i="8"/>
  <c r="U1758" i="8"/>
  <c r="U1759" i="8"/>
  <c r="U1760" i="8"/>
  <c r="U1761" i="8"/>
  <c r="U1762" i="8"/>
  <c r="U1763" i="8"/>
  <c r="U1764" i="8"/>
  <c r="U1765" i="8"/>
  <c r="U1766" i="8"/>
  <c r="U1767" i="8"/>
  <c r="U1768" i="8"/>
  <c r="U1769" i="8"/>
  <c r="U1770" i="8"/>
  <c r="U1771" i="8"/>
  <c r="U1772" i="8"/>
  <c r="U1773" i="8"/>
  <c r="U1774" i="8"/>
  <c r="U1775" i="8"/>
  <c r="U1776" i="8"/>
  <c r="U1777" i="8"/>
  <c r="U1778" i="8"/>
  <c r="U1779" i="8"/>
  <c r="U1780" i="8"/>
  <c r="U1781" i="8"/>
  <c r="U1782" i="8"/>
  <c r="U1783" i="8"/>
  <c r="U1784" i="8"/>
  <c r="U1785" i="8"/>
  <c r="U1786" i="8"/>
  <c r="U1787" i="8"/>
  <c r="U1788" i="8"/>
  <c r="U1789" i="8"/>
  <c r="U1790" i="8"/>
  <c r="U1791" i="8"/>
  <c r="U1792" i="8"/>
  <c r="U1793" i="8"/>
  <c r="U1794" i="8"/>
  <c r="U1795" i="8"/>
  <c r="U1796" i="8"/>
  <c r="U1797" i="8"/>
  <c r="U1798" i="8"/>
  <c r="U1799" i="8"/>
  <c r="U1800" i="8"/>
  <c r="U1801" i="8"/>
  <c r="U1802" i="8"/>
  <c r="U1803" i="8"/>
  <c r="U1804" i="8"/>
  <c r="U1805" i="8"/>
  <c r="U1806" i="8"/>
  <c r="U1807" i="8"/>
  <c r="U1808" i="8"/>
  <c r="U1809" i="8"/>
  <c r="U1810" i="8"/>
  <c r="U1811" i="8"/>
  <c r="U1812" i="8"/>
  <c r="U1813" i="8"/>
  <c r="U1814" i="8"/>
  <c r="U1815" i="8"/>
  <c r="U1816" i="8"/>
  <c r="U1817" i="8"/>
  <c r="U1818" i="8"/>
  <c r="U1819" i="8"/>
  <c r="U1820" i="8"/>
  <c r="U1821" i="8"/>
  <c r="U1822" i="8"/>
  <c r="U1823" i="8"/>
  <c r="U1824" i="8"/>
  <c r="U1825" i="8"/>
  <c r="U1826" i="8"/>
  <c r="U1827" i="8"/>
  <c r="U1828" i="8"/>
  <c r="U1829" i="8"/>
  <c r="U1830" i="8"/>
  <c r="U1831" i="8"/>
  <c r="U1832" i="8"/>
  <c r="U1833" i="8"/>
  <c r="U1834" i="8"/>
  <c r="U1835" i="8"/>
  <c r="U1836" i="8"/>
  <c r="U1837" i="8"/>
  <c r="U1838" i="8"/>
  <c r="U1839" i="8"/>
  <c r="U1840" i="8"/>
  <c r="U1841" i="8"/>
  <c r="U1842" i="8"/>
  <c r="U1843" i="8"/>
  <c r="U1844" i="8"/>
  <c r="U1845" i="8"/>
  <c r="U1846" i="8"/>
  <c r="U1847" i="8"/>
  <c r="U1848" i="8"/>
  <c r="U1849" i="8"/>
  <c r="U1850" i="8"/>
  <c r="U1851" i="8"/>
  <c r="U1852" i="8"/>
  <c r="U1853" i="8"/>
  <c r="U1854" i="8"/>
  <c r="U1855" i="8"/>
  <c r="U1856" i="8"/>
  <c r="U1857" i="8"/>
  <c r="U1858" i="8"/>
  <c r="U1859" i="8"/>
  <c r="U1860" i="8"/>
  <c r="U1861" i="8"/>
  <c r="U1862" i="8"/>
  <c r="U1863" i="8"/>
  <c r="U1864" i="8"/>
  <c r="U1865" i="8"/>
  <c r="U1866" i="8"/>
  <c r="U1867" i="8"/>
  <c r="U1868" i="8"/>
  <c r="U1869" i="8"/>
  <c r="U1870" i="8"/>
  <c r="U1871" i="8"/>
  <c r="U1872" i="8"/>
  <c r="U1873" i="8"/>
  <c r="U1874" i="8"/>
  <c r="U1875" i="8"/>
  <c r="U1876" i="8"/>
  <c r="U1877" i="8"/>
  <c r="U1878" i="8"/>
  <c r="U1879" i="8"/>
  <c r="U1880" i="8"/>
  <c r="U1881" i="8"/>
  <c r="U1882" i="8"/>
  <c r="U1883" i="8"/>
  <c r="U1884" i="8"/>
  <c r="U1885" i="8"/>
  <c r="U1886" i="8"/>
  <c r="U1887" i="8"/>
  <c r="U1888" i="8"/>
  <c r="U1889" i="8"/>
  <c r="U1890" i="8"/>
  <c r="U1891" i="8"/>
  <c r="U1892" i="8"/>
  <c r="U1893" i="8"/>
  <c r="U1894" i="8"/>
  <c r="U1895" i="8"/>
  <c r="U1896" i="8"/>
  <c r="U1897" i="8"/>
  <c r="U1898" i="8"/>
  <c r="U1899" i="8"/>
  <c r="U1900" i="8"/>
  <c r="U1901" i="8"/>
  <c r="U1902" i="8"/>
  <c r="U1903" i="8"/>
  <c r="U1904" i="8"/>
  <c r="U1905" i="8"/>
  <c r="U1906" i="8"/>
  <c r="U1907" i="8"/>
  <c r="U1908" i="8"/>
  <c r="U1909" i="8"/>
  <c r="U1910" i="8"/>
  <c r="U1911" i="8"/>
  <c r="U1912" i="8"/>
  <c r="U1913" i="8"/>
  <c r="U1914" i="8"/>
  <c r="U1915" i="8"/>
  <c r="U1916" i="8"/>
  <c r="U1917" i="8"/>
  <c r="U1918" i="8"/>
  <c r="U1919" i="8"/>
  <c r="U1920" i="8"/>
  <c r="U1921" i="8"/>
  <c r="U1922" i="8"/>
  <c r="U1923" i="8"/>
  <c r="U1924" i="8"/>
  <c r="U1925" i="8"/>
  <c r="U1926" i="8"/>
  <c r="U1927" i="8"/>
  <c r="U1928" i="8"/>
  <c r="U1929" i="8"/>
  <c r="U1930" i="8"/>
  <c r="U1931" i="8"/>
  <c r="U1932" i="8"/>
  <c r="U1933" i="8"/>
  <c r="U1934" i="8"/>
  <c r="U1935" i="8"/>
  <c r="U1936" i="8"/>
  <c r="U1937" i="8"/>
  <c r="U1938" i="8"/>
  <c r="U1939" i="8"/>
  <c r="U1940" i="8"/>
  <c r="U1941" i="8"/>
  <c r="U1942" i="8"/>
  <c r="U1943" i="8"/>
  <c r="U1944" i="8"/>
  <c r="U1945" i="8"/>
  <c r="U1946" i="8"/>
  <c r="U1947" i="8"/>
  <c r="U1948" i="8"/>
  <c r="U1949" i="8"/>
  <c r="U1950" i="8"/>
  <c r="U1951" i="8"/>
  <c r="U1952" i="8"/>
  <c r="U1953" i="8"/>
  <c r="U1954" i="8"/>
  <c r="U1955" i="8"/>
  <c r="U1956" i="8"/>
  <c r="U1957" i="8"/>
  <c r="U1958" i="8"/>
  <c r="U1959" i="8"/>
  <c r="U1960" i="8"/>
  <c r="U1961" i="8"/>
  <c r="U1962" i="8"/>
  <c r="U1963" i="8"/>
  <c r="U1964" i="8"/>
  <c r="U1965" i="8"/>
  <c r="U1966" i="8"/>
  <c r="U1967" i="8"/>
  <c r="U1968" i="8"/>
  <c r="U1969" i="8"/>
  <c r="U1970" i="8"/>
  <c r="U1971" i="8"/>
  <c r="U1972" i="8"/>
  <c r="U1973" i="8"/>
  <c r="U1974" i="8"/>
  <c r="U1975" i="8"/>
  <c r="U1976" i="8"/>
  <c r="U1977" i="8"/>
  <c r="U1978" i="8"/>
  <c r="U1979" i="8"/>
  <c r="U1980" i="8"/>
  <c r="U1981" i="8"/>
  <c r="U1982" i="8"/>
  <c r="U1983" i="8"/>
  <c r="U1984" i="8"/>
  <c r="U1985" i="8"/>
  <c r="U1986" i="8"/>
  <c r="U1987" i="8"/>
  <c r="U1988" i="8"/>
  <c r="U1989" i="8"/>
  <c r="U1990" i="8"/>
  <c r="U1991" i="8"/>
  <c r="U1992" i="8"/>
  <c r="U1993" i="8"/>
  <c r="U1994" i="8"/>
  <c r="U1995" i="8"/>
  <c r="U1996" i="8"/>
  <c r="U1997" i="8"/>
  <c r="U1998" i="8"/>
  <c r="U1999" i="8"/>
  <c r="U2000" i="8"/>
  <c r="U2001" i="8"/>
  <c r="U2002" i="8"/>
  <c r="U2003" i="8"/>
  <c r="U2004" i="8"/>
  <c r="U2005" i="8"/>
  <c r="U2006" i="8"/>
  <c r="U2007" i="8"/>
  <c r="U2008" i="8"/>
  <c r="U2009" i="8"/>
  <c r="U2010" i="8"/>
  <c r="U2011" i="8"/>
  <c r="U2012" i="8"/>
  <c r="U2013" i="8"/>
  <c r="U2014" i="8"/>
  <c r="U2015" i="8"/>
  <c r="U2016" i="8"/>
  <c r="U2017" i="8"/>
  <c r="U2018" i="8"/>
  <c r="U2019" i="8"/>
  <c r="U2020" i="8"/>
  <c r="U2021" i="8"/>
  <c r="U2022" i="8"/>
  <c r="U2023" i="8"/>
  <c r="U2024" i="8"/>
  <c r="U2025" i="8"/>
  <c r="U2026" i="8"/>
  <c r="U2027" i="8"/>
  <c r="U2028" i="8"/>
  <c r="U2029" i="8"/>
  <c r="U2030" i="8"/>
  <c r="U2031" i="8"/>
  <c r="U2032" i="8"/>
  <c r="U2033" i="8"/>
  <c r="U2034" i="8"/>
  <c r="U2035" i="8"/>
  <c r="U2036" i="8"/>
  <c r="U2037" i="8"/>
  <c r="U2038" i="8"/>
  <c r="U2039" i="8"/>
  <c r="U2040" i="8"/>
  <c r="U2041" i="8"/>
  <c r="U2042" i="8"/>
  <c r="U2043" i="8"/>
  <c r="U2044" i="8"/>
  <c r="U2045" i="8"/>
  <c r="U2046" i="8"/>
  <c r="U2047" i="8"/>
  <c r="U2048" i="8"/>
  <c r="U2049" i="8"/>
  <c r="U2050" i="8"/>
  <c r="U2051" i="8"/>
  <c r="U2052" i="8"/>
  <c r="U2053" i="8"/>
  <c r="U2054" i="8"/>
  <c r="U2055" i="8"/>
  <c r="U2056" i="8"/>
  <c r="U2057" i="8"/>
  <c r="U2058" i="8"/>
  <c r="U2059" i="8"/>
  <c r="U2060" i="8"/>
  <c r="U2061" i="8"/>
  <c r="U2062" i="8"/>
  <c r="U2063" i="8"/>
  <c r="U2064" i="8"/>
  <c r="U2065" i="8"/>
  <c r="U2066" i="8"/>
  <c r="U2067" i="8"/>
  <c r="U2068" i="8"/>
  <c r="U2069" i="8"/>
  <c r="U2070" i="8"/>
  <c r="U2071" i="8"/>
  <c r="U2072" i="8"/>
  <c r="U2073" i="8"/>
  <c r="U2074" i="8"/>
  <c r="U2075" i="8"/>
  <c r="U2076" i="8"/>
  <c r="U2077" i="8"/>
  <c r="U2078" i="8"/>
  <c r="U2079" i="8"/>
  <c r="U2080" i="8"/>
  <c r="U2081" i="8"/>
  <c r="U2082" i="8"/>
  <c r="U2083" i="8"/>
  <c r="U2084" i="8"/>
  <c r="U2085" i="8"/>
  <c r="U2086" i="8"/>
  <c r="U2087" i="8"/>
  <c r="U2088" i="8"/>
  <c r="U2089" i="8"/>
  <c r="U2090" i="8"/>
  <c r="U2091" i="8"/>
  <c r="U2092" i="8"/>
  <c r="U2093" i="8"/>
  <c r="U2094" i="8"/>
  <c r="U2095" i="8"/>
  <c r="U2096" i="8"/>
  <c r="U2097" i="8"/>
  <c r="U2098" i="8"/>
  <c r="U2099" i="8"/>
  <c r="U2100" i="8"/>
  <c r="U2101" i="8"/>
  <c r="U2102" i="8"/>
  <c r="U2103" i="8"/>
  <c r="U2104" i="8"/>
  <c r="U2105" i="8"/>
  <c r="U2106" i="8"/>
  <c r="U2107" i="8"/>
  <c r="U2108" i="8"/>
  <c r="U2109" i="8"/>
  <c r="U2110" i="8"/>
  <c r="U2111" i="8"/>
  <c r="U2112" i="8"/>
  <c r="U2113" i="8"/>
  <c r="U2114" i="8"/>
  <c r="U2115" i="8"/>
  <c r="U2116" i="8"/>
  <c r="U2117" i="8"/>
  <c r="U2118" i="8"/>
  <c r="U2119" i="8"/>
  <c r="U2120" i="8"/>
  <c r="U2121" i="8"/>
  <c r="U2122" i="8"/>
  <c r="U2123" i="8"/>
  <c r="U2124" i="8"/>
  <c r="U2125" i="8"/>
  <c r="U2126" i="8"/>
  <c r="U2127" i="8"/>
  <c r="U2128" i="8"/>
  <c r="U2129" i="8"/>
  <c r="U2130" i="8"/>
  <c r="U2131" i="8"/>
  <c r="U2132" i="8"/>
  <c r="U2133" i="8"/>
  <c r="U2134" i="8"/>
  <c r="U2135" i="8"/>
  <c r="U2136" i="8"/>
  <c r="U2137" i="8"/>
  <c r="U2138" i="8"/>
  <c r="U2139" i="8"/>
  <c r="U2140" i="8"/>
  <c r="U2141" i="8"/>
  <c r="U2142" i="8"/>
  <c r="U2143" i="8"/>
  <c r="U2144" i="8"/>
  <c r="U2145" i="8"/>
  <c r="U2146" i="8"/>
  <c r="U2147" i="8"/>
  <c r="U2148" i="8"/>
  <c r="U2149" i="8"/>
  <c r="U2150" i="8"/>
  <c r="U2151" i="8"/>
  <c r="U2152" i="8"/>
  <c r="U2153" i="8"/>
  <c r="U2154" i="8"/>
  <c r="U2155" i="8"/>
  <c r="U2156" i="8"/>
  <c r="U2157" i="8"/>
  <c r="U2158" i="8"/>
  <c r="U2159" i="8"/>
  <c r="U2160" i="8"/>
  <c r="U2161" i="8"/>
  <c r="U2162" i="8"/>
  <c r="U2163" i="8"/>
  <c r="U2164" i="8"/>
  <c r="U2165" i="8"/>
  <c r="U2166" i="8"/>
  <c r="U2167" i="8"/>
  <c r="U2168" i="8"/>
  <c r="U2169" i="8"/>
  <c r="U2170" i="8"/>
  <c r="U2171" i="8"/>
  <c r="U2172" i="8"/>
  <c r="U2173" i="8"/>
  <c r="U2174" i="8"/>
  <c r="U2175" i="8"/>
  <c r="U2176" i="8"/>
  <c r="U2177" i="8"/>
  <c r="U2178" i="8"/>
  <c r="U2179" i="8"/>
  <c r="U2180" i="8"/>
  <c r="U2181" i="8"/>
  <c r="U2182" i="8"/>
  <c r="U2183" i="8"/>
  <c r="U2184" i="8"/>
  <c r="U2185" i="8"/>
  <c r="U2186" i="8"/>
  <c r="U2187" i="8"/>
  <c r="U2188" i="8"/>
  <c r="U2189" i="8"/>
  <c r="U2190" i="8"/>
  <c r="U2191" i="8"/>
  <c r="U2192" i="8"/>
  <c r="U2193" i="8"/>
  <c r="U2194" i="8"/>
  <c r="U2195" i="8"/>
  <c r="U2196" i="8"/>
  <c r="U2197" i="8"/>
  <c r="U2198" i="8"/>
  <c r="U2199" i="8"/>
  <c r="U2200" i="8"/>
  <c r="U2201" i="8"/>
  <c r="U2202" i="8"/>
  <c r="U2203" i="8"/>
  <c r="U2204" i="8"/>
  <c r="U2205" i="8"/>
  <c r="U2206" i="8"/>
  <c r="U2207" i="8"/>
  <c r="U2208" i="8"/>
  <c r="U2209" i="8"/>
  <c r="U2210" i="8"/>
  <c r="U2211" i="8"/>
  <c r="U2212" i="8"/>
  <c r="U2213" i="8"/>
  <c r="U2214" i="8"/>
  <c r="U2215" i="8"/>
  <c r="U2216" i="8"/>
  <c r="U2217" i="8"/>
  <c r="U2218" i="8"/>
  <c r="U2219" i="8"/>
  <c r="U2220" i="8"/>
  <c r="U2221" i="8"/>
  <c r="U2222" i="8"/>
  <c r="U2223" i="8"/>
  <c r="U2224" i="8"/>
  <c r="U2225" i="8"/>
  <c r="U2226" i="8"/>
  <c r="U2227" i="8"/>
  <c r="U2228" i="8"/>
  <c r="U2229" i="8"/>
  <c r="U2230" i="8"/>
  <c r="U2231" i="8"/>
  <c r="U2232" i="8"/>
  <c r="U2233" i="8"/>
  <c r="U2234" i="8"/>
  <c r="U2235" i="8"/>
  <c r="U2236" i="8"/>
  <c r="U2237" i="8"/>
  <c r="U2238" i="8"/>
  <c r="U2239" i="8"/>
  <c r="U2240" i="8"/>
  <c r="U2241" i="8"/>
  <c r="U2242" i="8"/>
  <c r="U2243" i="8"/>
  <c r="U2244" i="8"/>
  <c r="U2245" i="8"/>
  <c r="U2246" i="8"/>
  <c r="U2247" i="8"/>
  <c r="U2248" i="8"/>
  <c r="U2249" i="8"/>
  <c r="U2250" i="8"/>
  <c r="U2251" i="8"/>
  <c r="U2252" i="8"/>
  <c r="U2253" i="8"/>
  <c r="U2254" i="8"/>
  <c r="U2255" i="8"/>
  <c r="U2256" i="8"/>
  <c r="U2257" i="8"/>
  <c r="U2258" i="8"/>
  <c r="U2259" i="8"/>
  <c r="U2260" i="8"/>
  <c r="U2261" i="8"/>
  <c r="U2262" i="8"/>
  <c r="U2263" i="8"/>
  <c r="U2264" i="8"/>
  <c r="U2265" i="8"/>
  <c r="U2266" i="8"/>
  <c r="U2267" i="8"/>
  <c r="U2268" i="8"/>
  <c r="U2269" i="8"/>
  <c r="U2270" i="8"/>
  <c r="U2271" i="8"/>
  <c r="U2272" i="8"/>
  <c r="U2273" i="8"/>
  <c r="U2274" i="8"/>
  <c r="U2275" i="8"/>
  <c r="U2276" i="8"/>
  <c r="U2277" i="8"/>
  <c r="U2278" i="8"/>
  <c r="U2279" i="8"/>
  <c r="U2280" i="8"/>
  <c r="U2281" i="8"/>
  <c r="U2282" i="8"/>
  <c r="U2283" i="8"/>
  <c r="U2284" i="8"/>
  <c r="U2285" i="8"/>
  <c r="U2286" i="8"/>
  <c r="U2287" i="8"/>
  <c r="U2288" i="8"/>
  <c r="U2289" i="8"/>
  <c r="U2290" i="8"/>
  <c r="U2291" i="8"/>
  <c r="U2292" i="8"/>
  <c r="U2293" i="8"/>
  <c r="U2294" i="8"/>
  <c r="U2295" i="8"/>
  <c r="U2296" i="8"/>
  <c r="U2297" i="8"/>
  <c r="U2298" i="8"/>
  <c r="U2299" i="8"/>
  <c r="U2300" i="8"/>
  <c r="U2301" i="8"/>
  <c r="U2302" i="8"/>
  <c r="U2303" i="8"/>
  <c r="U2304" i="8"/>
  <c r="U2305" i="8"/>
  <c r="U2306" i="8"/>
  <c r="U2307" i="8"/>
  <c r="U2308" i="8"/>
  <c r="U2309" i="8"/>
  <c r="U2310" i="8"/>
  <c r="U2311" i="8"/>
  <c r="U2312" i="8"/>
  <c r="U2313" i="8"/>
  <c r="U2314" i="8"/>
  <c r="U2315" i="8"/>
  <c r="U2316" i="8"/>
  <c r="U2317" i="8"/>
  <c r="U2318" i="8"/>
  <c r="U2319" i="8"/>
  <c r="U2320" i="8"/>
  <c r="U2321" i="8"/>
  <c r="U2322" i="8"/>
  <c r="U2323" i="8"/>
  <c r="U2324" i="8"/>
  <c r="U2325" i="8"/>
  <c r="U2326" i="8"/>
  <c r="U2327" i="8"/>
  <c r="U2328" i="8"/>
  <c r="U2329" i="8"/>
  <c r="U2330" i="8"/>
  <c r="U2331" i="8"/>
  <c r="U2332" i="8"/>
  <c r="U2333" i="8"/>
  <c r="U2334" i="8"/>
  <c r="U2335" i="8"/>
  <c r="U2336" i="8"/>
  <c r="U2337" i="8"/>
  <c r="U2338" i="8"/>
  <c r="U2339" i="8"/>
  <c r="U2340" i="8"/>
  <c r="U2341" i="8"/>
  <c r="U2342" i="8"/>
  <c r="U2343" i="8"/>
  <c r="U2344" i="8"/>
  <c r="U2345" i="8"/>
  <c r="U2346" i="8"/>
  <c r="U2347" i="8"/>
  <c r="U2348" i="8"/>
  <c r="U2349" i="8"/>
  <c r="U2350" i="8"/>
  <c r="U2351" i="8"/>
  <c r="U2352" i="8"/>
  <c r="U2353" i="8"/>
  <c r="U2354" i="8"/>
  <c r="U2355" i="8"/>
  <c r="U2356" i="8"/>
  <c r="U2357" i="8"/>
  <c r="U2358" i="8"/>
  <c r="U2359" i="8"/>
  <c r="U2360" i="8"/>
  <c r="U2361" i="8"/>
  <c r="U2362" i="8"/>
  <c r="U2363" i="8"/>
  <c r="U2364" i="8"/>
  <c r="U2365" i="8"/>
  <c r="U2366" i="8"/>
  <c r="U2367" i="8"/>
  <c r="U2368" i="8"/>
  <c r="U2369" i="8"/>
  <c r="U2370" i="8"/>
  <c r="U2371" i="8"/>
  <c r="U2372" i="8"/>
  <c r="U2373" i="8"/>
  <c r="U2374" i="8"/>
  <c r="U2375" i="8"/>
  <c r="U2376" i="8"/>
  <c r="U2377" i="8"/>
  <c r="U2378" i="8"/>
  <c r="U2379" i="8"/>
  <c r="U2380" i="8"/>
  <c r="U2381" i="8"/>
  <c r="U2382" i="8"/>
  <c r="U2383" i="8"/>
  <c r="U2384" i="8"/>
  <c r="U2385" i="8"/>
  <c r="U2386" i="8"/>
  <c r="U2387" i="8"/>
  <c r="U2388" i="8"/>
  <c r="U2389" i="8"/>
  <c r="U2390" i="8"/>
  <c r="U2391" i="8"/>
  <c r="U2392" i="8"/>
  <c r="U2393" i="8"/>
  <c r="U2394" i="8"/>
  <c r="U2395" i="8"/>
  <c r="U2396" i="8"/>
  <c r="U2397" i="8"/>
  <c r="U2398" i="8"/>
  <c r="U2399" i="8"/>
  <c r="U2400" i="8"/>
  <c r="U2401" i="8"/>
  <c r="U2402" i="8"/>
  <c r="U2403" i="8"/>
  <c r="U2404" i="8"/>
  <c r="U2405" i="8"/>
  <c r="U2406" i="8"/>
  <c r="U2407" i="8"/>
  <c r="U2408" i="8"/>
  <c r="U2409" i="8"/>
  <c r="U2410" i="8"/>
  <c r="U2411" i="8"/>
  <c r="U2412" i="8"/>
  <c r="U2413" i="8"/>
  <c r="U2414" i="8"/>
  <c r="U2415" i="8"/>
  <c r="U2416" i="8"/>
  <c r="U2417" i="8"/>
  <c r="U2418" i="8"/>
  <c r="U2419" i="8"/>
  <c r="U2420" i="8"/>
  <c r="U2421" i="8"/>
  <c r="U2422" i="8"/>
  <c r="U2423" i="8"/>
  <c r="U2424" i="8"/>
  <c r="U2425" i="8"/>
  <c r="U2426" i="8"/>
  <c r="U2427" i="8"/>
  <c r="U2428" i="8"/>
  <c r="U2429" i="8"/>
  <c r="U2430" i="8"/>
  <c r="U2431" i="8"/>
  <c r="U2432" i="8"/>
  <c r="U2433" i="8"/>
  <c r="U2434" i="8"/>
  <c r="U2435" i="8"/>
  <c r="U2436" i="8"/>
  <c r="U2437" i="8"/>
  <c r="U2438" i="8"/>
  <c r="U2439" i="8"/>
  <c r="U2440" i="8"/>
  <c r="U2441" i="8"/>
  <c r="U2442" i="8"/>
  <c r="U2443" i="8"/>
  <c r="U2444" i="8"/>
  <c r="U2445" i="8"/>
  <c r="U2446" i="8"/>
  <c r="U2447" i="8"/>
  <c r="U2448" i="8"/>
  <c r="U2449" i="8"/>
  <c r="U2450" i="8"/>
  <c r="U2451" i="8"/>
  <c r="U2452" i="8"/>
  <c r="U2453" i="8"/>
  <c r="U2454" i="8"/>
  <c r="U2455" i="8"/>
  <c r="U2456" i="8"/>
  <c r="U2457" i="8"/>
  <c r="U2458" i="8"/>
  <c r="U2459" i="8"/>
  <c r="U2460" i="8"/>
  <c r="U2461" i="8"/>
  <c r="U2462" i="8"/>
  <c r="U2463" i="8"/>
  <c r="U2464" i="8"/>
  <c r="U2465" i="8"/>
  <c r="U2466" i="8"/>
  <c r="U2467" i="8"/>
  <c r="U2468" i="8"/>
  <c r="U2469" i="8"/>
  <c r="U2470" i="8"/>
  <c r="U2471" i="8"/>
  <c r="U2472" i="8"/>
  <c r="U2473" i="8"/>
  <c r="U2474" i="8"/>
  <c r="U2475" i="8"/>
  <c r="U2476" i="8"/>
  <c r="U2477" i="8"/>
  <c r="U2478" i="8"/>
  <c r="U2479" i="8"/>
  <c r="U2480" i="8"/>
  <c r="U2481" i="8"/>
  <c r="U2482" i="8"/>
  <c r="U2483" i="8"/>
  <c r="U2484" i="8"/>
  <c r="U2485" i="8"/>
  <c r="U2486" i="8"/>
  <c r="U2487" i="8"/>
  <c r="U2488" i="8"/>
  <c r="U2489" i="8"/>
  <c r="U2490" i="8"/>
  <c r="U2491" i="8"/>
  <c r="U2492" i="8"/>
  <c r="U2493" i="8"/>
  <c r="U2494" i="8"/>
  <c r="U2495" i="8"/>
  <c r="U2496" i="8"/>
  <c r="U2497" i="8"/>
  <c r="U2498" i="8"/>
  <c r="U2499" i="8"/>
  <c r="U2500" i="8"/>
  <c r="U2501" i="8"/>
  <c r="U2502" i="8"/>
  <c r="U2503" i="8"/>
  <c r="U2504" i="8"/>
  <c r="U2505" i="8"/>
  <c r="U2506" i="8"/>
  <c r="U2507" i="8"/>
  <c r="U2508" i="8"/>
  <c r="U2509" i="8"/>
  <c r="U2510" i="8"/>
  <c r="U2511" i="8"/>
  <c r="U2512" i="8"/>
  <c r="U2513" i="8"/>
  <c r="U2514" i="8"/>
  <c r="U2515" i="8"/>
  <c r="U2516" i="8"/>
  <c r="U2517" i="8"/>
  <c r="U2518" i="8"/>
  <c r="U2519" i="8"/>
  <c r="U2520" i="8"/>
  <c r="U2521" i="8"/>
  <c r="U2522" i="8"/>
  <c r="U2523" i="8"/>
  <c r="U2524" i="8"/>
  <c r="U2525" i="8"/>
  <c r="U2526" i="8"/>
  <c r="U2527" i="8"/>
  <c r="U2528" i="8"/>
  <c r="U2529" i="8"/>
  <c r="U2530" i="8"/>
  <c r="U2531" i="8"/>
  <c r="U2532" i="8"/>
  <c r="U2533" i="8"/>
  <c r="U2534" i="8"/>
  <c r="U2535" i="8"/>
  <c r="U2536" i="8"/>
  <c r="U2537" i="8"/>
  <c r="U2538" i="8"/>
  <c r="U2539" i="8"/>
  <c r="U2540" i="8"/>
  <c r="U2541" i="8"/>
  <c r="U2542" i="8"/>
  <c r="U2543" i="8"/>
  <c r="U2544" i="8"/>
  <c r="U2545" i="8"/>
  <c r="U2546" i="8"/>
  <c r="U2547" i="8"/>
  <c r="U2548" i="8"/>
  <c r="U2549" i="8"/>
  <c r="U2550" i="8"/>
  <c r="U2551" i="8"/>
  <c r="U2552" i="8"/>
  <c r="U2553" i="8"/>
  <c r="U2554" i="8"/>
  <c r="U2555" i="8"/>
  <c r="U2556" i="8"/>
  <c r="U2557" i="8"/>
  <c r="U2558" i="8"/>
  <c r="U2559" i="8"/>
  <c r="U2560" i="8"/>
  <c r="U2561" i="8"/>
  <c r="U2562" i="8"/>
  <c r="U2563" i="8"/>
  <c r="U2564" i="8"/>
  <c r="U2565" i="8"/>
  <c r="U2566" i="8"/>
  <c r="U2567" i="8"/>
  <c r="U2568" i="8"/>
  <c r="U2569" i="8"/>
  <c r="U2570" i="8"/>
  <c r="U2571" i="8"/>
  <c r="U2572" i="8"/>
  <c r="U2573" i="8"/>
  <c r="U2574" i="8"/>
  <c r="U2575" i="8"/>
  <c r="U2576" i="8"/>
  <c r="U2577" i="8"/>
  <c r="U2578" i="8"/>
  <c r="U2579" i="8"/>
  <c r="U2580" i="8"/>
  <c r="U2581" i="8"/>
  <c r="U2582" i="8"/>
  <c r="U2583" i="8"/>
  <c r="U2584" i="8"/>
  <c r="U2585" i="8"/>
  <c r="U2586" i="8"/>
  <c r="U2587" i="8"/>
  <c r="U2588" i="8"/>
  <c r="U2589" i="8"/>
  <c r="U2590" i="8"/>
  <c r="U2591" i="8"/>
  <c r="U2592" i="8"/>
  <c r="U2593" i="8"/>
  <c r="U2594" i="8"/>
  <c r="U2595" i="8"/>
  <c r="U2596" i="8"/>
  <c r="U2597" i="8"/>
  <c r="U2598" i="8"/>
  <c r="U2599" i="8"/>
  <c r="U2600" i="8"/>
  <c r="U2601" i="8"/>
  <c r="U2602" i="8"/>
  <c r="U2603" i="8"/>
  <c r="U2604" i="8"/>
  <c r="U2605" i="8"/>
  <c r="U2606" i="8"/>
  <c r="U2607" i="8"/>
  <c r="U2608" i="8"/>
  <c r="U2609" i="8"/>
  <c r="U2610" i="8"/>
  <c r="U2611" i="8"/>
  <c r="U2612" i="8"/>
  <c r="U2613" i="8"/>
  <c r="U2614" i="8"/>
  <c r="U2615" i="8"/>
  <c r="U2616" i="8"/>
  <c r="U2617" i="8"/>
  <c r="U2618" i="8"/>
  <c r="U2619" i="8"/>
  <c r="U2620" i="8"/>
  <c r="U2621" i="8"/>
  <c r="U2622" i="8"/>
  <c r="U2623" i="8"/>
  <c r="U2624" i="8"/>
  <c r="U2625" i="8"/>
  <c r="U2626" i="8"/>
  <c r="U2627" i="8"/>
  <c r="U2628" i="8"/>
  <c r="U2629" i="8"/>
  <c r="U2630" i="8"/>
  <c r="U2631" i="8"/>
  <c r="U2632" i="8"/>
  <c r="U2633" i="8"/>
  <c r="U2634" i="8"/>
  <c r="U2635" i="8"/>
  <c r="U2636" i="8"/>
  <c r="U2637" i="8"/>
  <c r="U2638" i="8"/>
  <c r="U2639" i="8"/>
  <c r="U2640" i="8"/>
  <c r="U2641" i="8"/>
  <c r="U2642" i="8"/>
  <c r="U2643" i="8"/>
  <c r="U2644" i="8"/>
  <c r="U2645" i="8"/>
  <c r="U2646" i="8"/>
  <c r="U2647" i="8"/>
  <c r="U2648" i="8"/>
  <c r="U2649" i="8"/>
  <c r="U2650" i="8"/>
  <c r="U2651" i="8"/>
  <c r="U2652" i="8"/>
  <c r="U2653" i="8"/>
  <c r="U2654" i="8"/>
  <c r="U2655" i="8"/>
  <c r="U2656" i="8"/>
  <c r="U2657" i="8"/>
  <c r="U2658" i="8"/>
  <c r="U2659" i="8"/>
  <c r="U2660" i="8"/>
  <c r="U2661" i="8"/>
  <c r="U2662" i="8"/>
  <c r="U2663" i="8"/>
  <c r="U2664" i="8"/>
  <c r="U2665" i="8"/>
  <c r="U2666" i="8"/>
  <c r="U2667" i="8"/>
  <c r="U2668" i="8"/>
  <c r="U2669" i="8"/>
  <c r="U2670" i="8"/>
  <c r="U2671" i="8"/>
  <c r="U2672" i="8"/>
  <c r="U2673" i="8"/>
  <c r="U2674" i="8"/>
  <c r="U2675" i="8"/>
  <c r="U2676" i="8"/>
  <c r="U2677" i="8"/>
  <c r="U2678" i="8"/>
  <c r="U2679" i="8"/>
  <c r="U2680" i="8"/>
  <c r="U2681" i="8"/>
  <c r="U2682" i="8"/>
  <c r="U2683" i="8"/>
  <c r="U2684" i="8"/>
  <c r="U2685" i="8"/>
  <c r="U2686" i="8"/>
  <c r="U2687" i="8"/>
  <c r="U2688" i="8"/>
  <c r="U2689" i="8"/>
  <c r="U2690" i="8"/>
  <c r="U2691" i="8"/>
  <c r="U2692" i="8"/>
  <c r="U2693" i="8"/>
  <c r="U2694" i="8"/>
  <c r="U2695" i="8"/>
  <c r="U2696" i="8"/>
  <c r="U2697" i="8"/>
  <c r="U2698" i="8"/>
  <c r="U2699" i="8"/>
  <c r="U2700" i="8"/>
  <c r="U2701" i="8"/>
  <c r="U2702" i="8"/>
  <c r="U2703" i="8"/>
  <c r="U2704" i="8"/>
  <c r="U2705" i="8"/>
  <c r="U2706" i="8"/>
  <c r="U2707" i="8"/>
  <c r="U2708" i="8"/>
  <c r="U2709" i="8"/>
  <c r="U2710" i="8"/>
  <c r="U2711" i="8"/>
  <c r="U2712" i="8"/>
  <c r="U2713" i="8"/>
  <c r="U2714" i="8"/>
  <c r="U2715" i="8"/>
  <c r="U2716" i="8"/>
  <c r="U2717" i="8"/>
  <c r="U2718" i="8"/>
  <c r="U2719" i="8"/>
  <c r="U2720" i="8"/>
  <c r="U2721" i="8"/>
  <c r="U2722" i="8"/>
  <c r="U2723" i="8"/>
  <c r="U2724" i="8"/>
  <c r="U2725" i="8"/>
  <c r="U2726" i="8"/>
  <c r="U2727" i="8"/>
  <c r="U2728" i="8"/>
  <c r="U2729" i="8"/>
  <c r="U2730" i="8"/>
  <c r="U2731" i="8"/>
  <c r="U2732" i="8"/>
  <c r="U2733" i="8"/>
  <c r="U2734" i="8"/>
  <c r="U2735" i="8"/>
  <c r="U2736" i="8"/>
  <c r="U2737" i="8"/>
  <c r="U2738" i="8"/>
  <c r="U2739" i="8"/>
  <c r="U2740" i="8"/>
  <c r="U2741" i="8"/>
  <c r="U2742" i="8"/>
  <c r="U2743" i="8"/>
  <c r="U2744" i="8"/>
  <c r="U2745" i="8"/>
  <c r="U2746" i="8"/>
  <c r="U2747" i="8"/>
  <c r="U2748" i="8"/>
  <c r="U2749" i="8"/>
  <c r="U2750" i="8"/>
  <c r="U2751" i="8"/>
  <c r="U2752" i="8"/>
  <c r="U2753" i="8"/>
  <c r="U2754" i="8"/>
  <c r="U2755" i="8"/>
  <c r="U2756" i="8"/>
  <c r="U2757" i="8"/>
  <c r="U2758" i="8"/>
  <c r="U2759" i="8"/>
  <c r="U2760" i="8"/>
  <c r="U2761" i="8"/>
  <c r="U2762" i="8"/>
  <c r="U2763" i="8"/>
  <c r="U2764" i="8"/>
  <c r="U2765" i="8"/>
  <c r="U2766" i="8"/>
  <c r="U2767" i="8"/>
  <c r="U2768" i="8"/>
  <c r="U2769" i="8"/>
  <c r="U2770" i="8"/>
  <c r="U2771" i="8"/>
  <c r="U2772" i="8"/>
  <c r="U2773" i="8"/>
  <c r="U2774" i="8"/>
  <c r="U2775" i="8"/>
  <c r="U2776" i="8"/>
  <c r="U2777" i="8"/>
  <c r="U2778" i="8"/>
  <c r="U2779" i="8"/>
  <c r="U2780" i="8"/>
  <c r="U2781" i="8"/>
  <c r="U2782" i="8"/>
  <c r="U2783" i="8"/>
  <c r="U2784" i="8"/>
  <c r="U2785" i="8"/>
  <c r="U2786" i="8"/>
  <c r="U2787" i="8"/>
  <c r="U2788" i="8"/>
  <c r="U2789" i="8"/>
  <c r="U2790" i="8"/>
  <c r="U2791" i="8"/>
  <c r="U2792" i="8"/>
  <c r="U2793" i="8"/>
  <c r="U2794" i="8"/>
  <c r="U2795" i="8"/>
  <c r="U2796" i="8"/>
  <c r="U2797" i="8"/>
  <c r="U2798" i="8"/>
  <c r="U2799" i="8"/>
  <c r="U2800" i="8"/>
  <c r="U2801" i="8"/>
  <c r="U2802" i="8"/>
  <c r="U2803" i="8"/>
  <c r="U2804" i="8"/>
  <c r="U2805" i="8"/>
  <c r="U2806" i="8"/>
  <c r="U2807" i="8"/>
  <c r="U2808" i="8"/>
  <c r="U2809" i="8"/>
  <c r="U2810" i="8"/>
  <c r="U2811" i="8"/>
  <c r="U2812" i="8"/>
  <c r="U2813" i="8"/>
  <c r="U2814" i="8"/>
  <c r="U2815" i="8"/>
  <c r="U2816" i="8"/>
  <c r="U2817" i="8"/>
  <c r="U2818" i="8"/>
  <c r="U2819" i="8"/>
  <c r="U2820" i="8"/>
  <c r="U2821" i="8"/>
  <c r="U2822" i="8"/>
  <c r="U2823" i="8"/>
  <c r="U2824" i="8"/>
  <c r="U2825" i="8"/>
  <c r="U2826" i="8"/>
  <c r="U2827" i="8"/>
  <c r="U2828" i="8"/>
  <c r="U2829" i="8"/>
  <c r="U2830" i="8"/>
  <c r="U2831" i="8"/>
  <c r="U2832" i="8"/>
  <c r="U2833" i="8"/>
  <c r="U2834" i="8"/>
  <c r="U2835" i="8"/>
  <c r="U2836" i="8"/>
  <c r="U2837" i="8"/>
  <c r="U2838" i="8"/>
  <c r="U2839" i="8"/>
  <c r="U2840" i="8"/>
  <c r="U2841" i="8"/>
  <c r="U2842" i="8"/>
  <c r="U2843" i="8"/>
  <c r="U2844" i="8"/>
  <c r="U2845" i="8"/>
  <c r="U2846" i="8"/>
  <c r="U2847" i="8"/>
  <c r="U2848" i="8"/>
  <c r="U2849" i="8"/>
  <c r="U2850" i="8"/>
  <c r="U2851" i="8"/>
  <c r="U2852" i="8"/>
  <c r="U2853" i="8"/>
  <c r="U2854" i="8"/>
  <c r="U2855" i="8"/>
  <c r="U2856" i="8"/>
  <c r="U2857" i="8"/>
  <c r="U2858" i="8"/>
  <c r="U2859" i="8"/>
  <c r="U2860" i="8"/>
  <c r="U2861" i="8"/>
  <c r="U2862" i="8"/>
  <c r="U2863" i="8"/>
  <c r="U2864" i="8"/>
  <c r="U2865" i="8"/>
  <c r="U2866" i="8"/>
  <c r="U2867" i="8"/>
  <c r="U2868" i="8"/>
  <c r="U2869" i="8"/>
  <c r="U2870" i="8"/>
  <c r="U2871" i="8"/>
  <c r="U2872" i="8"/>
  <c r="U2873" i="8"/>
  <c r="U2874" i="8"/>
  <c r="U2875" i="8"/>
  <c r="U2876" i="8"/>
  <c r="U2877" i="8"/>
  <c r="U2878" i="8"/>
  <c r="U2879" i="8"/>
  <c r="U2880" i="8"/>
  <c r="U2881" i="8"/>
  <c r="U2882" i="8"/>
  <c r="U2883" i="8"/>
  <c r="U2884" i="8"/>
  <c r="U2885" i="8"/>
  <c r="U2886" i="8"/>
  <c r="U2887" i="8"/>
  <c r="U2888" i="8"/>
  <c r="U2889" i="8"/>
  <c r="U2890" i="8"/>
  <c r="U2891" i="8"/>
  <c r="U2892" i="8"/>
  <c r="U2893" i="8"/>
  <c r="U2894" i="8"/>
  <c r="U2895" i="8"/>
  <c r="U2896" i="8"/>
  <c r="U2897" i="8"/>
  <c r="U2898" i="8"/>
  <c r="U2899" i="8"/>
  <c r="U2900" i="8"/>
  <c r="U2901" i="8"/>
  <c r="U2902" i="8"/>
  <c r="U2903" i="8"/>
  <c r="U2904" i="8"/>
  <c r="U2905" i="8"/>
  <c r="U2906" i="8"/>
  <c r="U2907" i="8"/>
  <c r="U2908" i="8"/>
  <c r="U2909" i="8"/>
  <c r="U2910" i="8"/>
  <c r="U2911" i="8"/>
  <c r="U2912" i="8"/>
  <c r="U2913" i="8"/>
  <c r="U2914" i="8"/>
  <c r="U2915" i="8"/>
  <c r="U2916" i="8"/>
  <c r="U2917" i="8"/>
  <c r="U2918" i="8"/>
  <c r="U2919" i="8"/>
  <c r="U2920" i="8"/>
  <c r="U2921" i="8"/>
  <c r="U2922" i="8"/>
  <c r="U2923" i="8"/>
  <c r="U2924" i="8"/>
  <c r="U2925" i="8"/>
  <c r="U2926" i="8"/>
  <c r="U2927" i="8"/>
  <c r="U2928" i="8"/>
  <c r="U2929" i="8"/>
  <c r="U2930" i="8"/>
  <c r="U2931" i="8"/>
  <c r="U2932" i="8"/>
  <c r="U2933" i="8"/>
  <c r="U2934" i="8"/>
  <c r="U2935" i="8"/>
  <c r="U2936" i="8"/>
  <c r="U2937" i="8"/>
  <c r="U2938" i="8"/>
  <c r="U2939" i="8"/>
  <c r="U2940" i="8"/>
  <c r="U2941" i="8"/>
  <c r="U2942" i="8"/>
  <c r="U2943" i="8"/>
  <c r="U2944" i="8"/>
  <c r="U2945" i="8"/>
  <c r="U2946" i="8"/>
  <c r="U2947" i="8"/>
  <c r="U2948" i="8"/>
  <c r="U2949" i="8"/>
  <c r="U2950" i="8"/>
  <c r="U2951" i="8"/>
  <c r="U2952" i="8"/>
  <c r="U2953" i="8"/>
  <c r="U2954" i="8"/>
  <c r="U2955" i="8"/>
  <c r="U2956" i="8"/>
  <c r="U2957" i="8"/>
  <c r="U2958" i="8"/>
  <c r="U2959" i="8"/>
  <c r="U2960" i="8"/>
  <c r="U2961" i="8"/>
  <c r="U2962" i="8"/>
  <c r="U2963" i="8"/>
  <c r="U2964" i="8"/>
  <c r="U2965" i="8"/>
  <c r="U2966" i="8"/>
  <c r="U2967" i="8"/>
  <c r="U2968" i="8"/>
  <c r="U2969" i="8"/>
  <c r="U2970" i="8"/>
  <c r="U2971" i="8"/>
  <c r="U2972" i="8"/>
  <c r="U2973" i="8"/>
  <c r="U2974" i="8"/>
  <c r="U2975" i="8"/>
  <c r="U2976" i="8"/>
  <c r="U2977" i="8"/>
  <c r="U2978" i="8"/>
  <c r="U2979" i="8"/>
  <c r="U2980" i="8"/>
  <c r="U2981" i="8"/>
  <c r="U2982" i="8"/>
  <c r="U2983" i="8"/>
  <c r="U2984" i="8"/>
  <c r="U2985" i="8"/>
  <c r="U2986" i="8"/>
  <c r="U2987" i="8"/>
  <c r="U2988" i="8"/>
  <c r="U2989" i="8"/>
  <c r="U2990" i="8"/>
  <c r="U2991" i="8"/>
  <c r="U2992" i="8"/>
  <c r="U2993" i="8"/>
  <c r="U2994" i="8"/>
  <c r="U2995" i="8"/>
  <c r="U2996" i="8"/>
  <c r="U2997" i="8"/>
  <c r="U2998" i="8"/>
  <c r="U2999" i="8"/>
  <c r="U3000" i="8"/>
  <c r="U3001" i="8"/>
  <c r="U3002" i="8"/>
  <c r="U3003" i="8"/>
  <c r="U3004" i="8"/>
  <c r="U3005" i="8"/>
  <c r="U3006" i="8"/>
  <c r="U3007" i="8"/>
  <c r="U3008" i="8"/>
  <c r="U3009" i="8"/>
  <c r="U3010" i="8"/>
  <c r="U3011" i="8"/>
  <c r="U3012" i="8"/>
  <c r="U3013" i="8"/>
  <c r="U3014" i="8"/>
  <c r="U3015" i="8"/>
  <c r="U3016" i="8"/>
  <c r="U3017" i="8"/>
  <c r="U3018" i="8"/>
  <c r="U3019" i="8"/>
  <c r="U3020" i="8"/>
  <c r="U3021" i="8"/>
  <c r="U3022" i="8"/>
  <c r="U3023" i="8"/>
  <c r="U3024" i="8"/>
  <c r="U3025" i="8"/>
  <c r="U3026" i="8"/>
  <c r="U3027" i="8"/>
  <c r="U3028" i="8"/>
  <c r="U3029" i="8"/>
  <c r="U3030" i="8"/>
  <c r="U3031" i="8"/>
  <c r="U3032" i="8"/>
  <c r="U3033" i="8"/>
  <c r="U3034" i="8"/>
  <c r="U3035" i="8"/>
  <c r="U3036" i="8"/>
  <c r="U3037" i="8"/>
  <c r="U3038" i="8"/>
  <c r="U3039" i="8"/>
  <c r="U3040" i="8"/>
  <c r="U3041" i="8"/>
  <c r="U3042" i="8"/>
  <c r="U3043" i="8"/>
  <c r="U3044" i="8"/>
  <c r="U3045" i="8"/>
  <c r="U3046" i="8"/>
  <c r="U3047" i="8"/>
  <c r="U3048" i="8"/>
  <c r="U3049" i="8"/>
  <c r="U3050" i="8"/>
  <c r="U3051" i="8"/>
  <c r="U3052" i="8"/>
  <c r="U3053" i="8"/>
  <c r="U3054" i="8"/>
  <c r="U3055" i="8"/>
  <c r="U3056" i="8"/>
  <c r="U3057" i="8"/>
  <c r="U3058" i="8"/>
  <c r="U3059" i="8"/>
  <c r="U3060" i="8"/>
  <c r="U3061" i="8"/>
  <c r="U3062" i="8"/>
  <c r="U3063" i="8"/>
  <c r="U3064" i="8"/>
  <c r="U3065" i="8"/>
  <c r="U3066" i="8"/>
  <c r="U3067" i="8"/>
  <c r="U3068" i="8"/>
  <c r="U3069" i="8"/>
  <c r="U3070" i="8"/>
  <c r="U3071" i="8"/>
  <c r="U3072" i="8"/>
  <c r="U3073" i="8"/>
  <c r="U3074" i="8"/>
  <c r="U3075" i="8"/>
  <c r="U3076" i="8"/>
  <c r="U3077" i="8"/>
  <c r="U3078" i="8"/>
  <c r="U3079" i="8"/>
  <c r="U3080" i="8"/>
  <c r="U3081" i="8"/>
  <c r="U3082" i="8"/>
  <c r="U3083" i="8"/>
  <c r="U3084" i="8"/>
  <c r="U3085" i="8"/>
  <c r="U3086" i="8"/>
  <c r="U3087" i="8"/>
  <c r="U3088" i="8"/>
  <c r="U3089" i="8"/>
  <c r="U3090" i="8"/>
  <c r="U3091" i="8"/>
  <c r="U3092" i="8"/>
  <c r="U3093" i="8"/>
  <c r="U3094" i="8"/>
  <c r="U3095" i="8"/>
  <c r="U3096" i="8"/>
  <c r="U3097" i="8"/>
  <c r="U3098" i="8"/>
  <c r="U3099" i="8"/>
  <c r="U3100" i="8"/>
  <c r="U3101" i="8"/>
  <c r="U3102" i="8"/>
  <c r="U3103" i="8"/>
  <c r="U3104" i="8"/>
  <c r="U3105" i="8"/>
  <c r="U3106" i="8"/>
  <c r="U3107" i="8"/>
  <c r="U3108" i="8"/>
  <c r="U3109" i="8"/>
  <c r="U3110" i="8"/>
  <c r="U3111" i="8"/>
  <c r="U3112" i="8"/>
  <c r="U3113" i="8"/>
  <c r="U3114" i="8"/>
  <c r="U3115" i="8"/>
  <c r="U3116" i="8"/>
  <c r="U3117" i="8"/>
  <c r="U3118" i="8"/>
  <c r="U3119" i="8"/>
  <c r="U3120" i="8"/>
  <c r="U3121" i="8"/>
  <c r="U3122" i="8"/>
  <c r="U3123" i="8"/>
  <c r="U3124" i="8"/>
  <c r="U3125" i="8"/>
  <c r="U3126" i="8"/>
  <c r="U3127" i="8"/>
  <c r="U3128" i="8"/>
  <c r="U3129" i="8"/>
  <c r="U3130" i="8"/>
  <c r="U3131" i="8"/>
  <c r="U3132" i="8"/>
  <c r="U3133" i="8"/>
  <c r="U3134" i="8"/>
  <c r="U3135" i="8"/>
  <c r="U3136" i="8"/>
  <c r="U3137" i="8"/>
  <c r="U3138" i="8"/>
  <c r="U3139" i="8"/>
  <c r="U3140" i="8"/>
  <c r="U3141" i="8"/>
  <c r="U3142" i="8"/>
  <c r="U3143" i="8"/>
  <c r="U3144" i="8"/>
  <c r="U3145" i="8"/>
  <c r="U3146" i="8"/>
  <c r="U3147" i="8"/>
  <c r="U3148" i="8"/>
  <c r="U3149" i="8"/>
  <c r="U3150" i="8"/>
  <c r="U3151" i="8"/>
  <c r="U3152" i="8"/>
  <c r="U3153" i="8"/>
  <c r="U3154" i="8"/>
  <c r="U3155" i="8"/>
  <c r="U3156" i="8"/>
  <c r="U3157" i="8"/>
  <c r="U3158" i="8"/>
  <c r="U3159" i="8"/>
  <c r="U3160" i="8"/>
  <c r="U3161" i="8"/>
  <c r="U3162" i="8"/>
  <c r="U3163" i="8"/>
  <c r="U3164" i="8"/>
  <c r="U3165" i="8"/>
  <c r="U3166" i="8"/>
  <c r="U3167" i="8"/>
  <c r="U3168" i="8"/>
  <c r="U3169" i="8"/>
  <c r="U3170" i="8"/>
  <c r="U3171" i="8"/>
  <c r="U3172" i="8"/>
  <c r="U3173" i="8"/>
  <c r="U3174" i="8"/>
  <c r="U3175" i="8"/>
  <c r="U3176" i="8"/>
  <c r="U3177" i="8"/>
  <c r="U3178" i="8"/>
  <c r="U3179" i="8"/>
  <c r="U3180" i="8"/>
  <c r="U3181" i="8"/>
  <c r="U3182" i="8"/>
  <c r="U3183" i="8"/>
  <c r="U3184" i="8"/>
  <c r="U3185" i="8"/>
  <c r="U3186" i="8"/>
  <c r="U3187" i="8"/>
  <c r="U3188" i="8"/>
  <c r="U3189" i="8"/>
  <c r="U3190" i="8"/>
  <c r="U3191" i="8"/>
  <c r="U3192" i="8"/>
  <c r="U3193" i="8"/>
  <c r="U3194" i="8"/>
  <c r="U3195" i="8"/>
  <c r="U3196" i="8"/>
  <c r="U3197" i="8"/>
  <c r="U3198" i="8"/>
  <c r="U3199" i="8"/>
  <c r="U3200" i="8"/>
  <c r="U3201" i="8"/>
  <c r="U3202" i="8"/>
  <c r="U3203" i="8"/>
  <c r="U3204" i="8"/>
  <c r="U3205" i="8"/>
  <c r="U3206" i="8"/>
  <c r="U3207" i="8"/>
  <c r="U3208" i="8"/>
  <c r="U3209" i="8"/>
  <c r="U3210" i="8"/>
  <c r="U3211" i="8"/>
  <c r="U3212" i="8"/>
  <c r="U3213" i="8"/>
  <c r="U3214" i="8"/>
  <c r="U3215" i="8"/>
  <c r="U3216" i="8"/>
  <c r="U3217" i="8"/>
  <c r="U3218" i="8"/>
  <c r="U3219" i="8"/>
  <c r="U3220" i="8"/>
  <c r="U3221" i="8"/>
  <c r="U3222" i="8"/>
  <c r="U3223" i="8"/>
  <c r="U3224" i="8"/>
  <c r="U3225" i="8"/>
  <c r="U3226" i="8"/>
  <c r="U3227" i="8"/>
  <c r="U3228" i="8"/>
  <c r="U3229" i="8"/>
  <c r="U3230" i="8"/>
  <c r="U3231" i="8"/>
  <c r="U3232" i="8"/>
  <c r="U3233" i="8"/>
  <c r="U3234" i="8"/>
  <c r="U3235" i="8"/>
  <c r="U3236" i="8"/>
  <c r="U3237" i="8"/>
  <c r="U3238" i="8"/>
  <c r="U3239" i="8"/>
  <c r="U3240" i="8"/>
  <c r="U3241" i="8"/>
  <c r="U3242" i="8"/>
  <c r="U3243" i="8"/>
  <c r="U3244" i="8"/>
  <c r="U3245" i="8"/>
  <c r="U3246" i="8"/>
  <c r="U3247" i="8"/>
  <c r="U3248" i="8"/>
  <c r="U3249" i="8"/>
  <c r="U3250" i="8"/>
  <c r="U3251" i="8"/>
  <c r="U3252" i="8"/>
  <c r="U3253" i="8"/>
  <c r="U3254" i="8"/>
  <c r="U3255" i="8"/>
  <c r="U3256" i="8"/>
  <c r="U3257" i="8"/>
  <c r="U3258" i="8"/>
  <c r="U3259" i="8"/>
  <c r="U3260" i="8"/>
  <c r="U3261" i="8"/>
  <c r="U3262" i="8"/>
  <c r="U3263" i="8"/>
  <c r="U3264" i="8"/>
  <c r="U3265" i="8"/>
  <c r="U3266" i="8"/>
  <c r="U3267" i="8"/>
  <c r="U3268" i="8"/>
  <c r="U3269" i="8"/>
  <c r="U3270" i="8"/>
  <c r="U3271" i="8"/>
  <c r="U3272" i="8"/>
  <c r="U3273" i="8"/>
  <c r="U3274" i="8"/>
  <c r="U3275" i="8"/>
  <c r="U3276" i="8"/>
  <c r="U3277" i="8"/>
  <c r="U3278" i="8"/>
  <c r="U3279" i="8"/>
  <c r="U3280" i="8"/>
  <c r="U3281" i="8"/>
  <c r="U3282" i="8"/>
  <c r="U3283" i="8"/>
  <c r="U3284" i="8"/>
  <c r="U3285" i="8"/>
  <c r="U3286" i="8"/>
  <c r="U3287" i="8"/>
  <c r="U3288" i="8"/>
  <c r="U3289" i="8"/>
  <c r="U3290" i="8"/>
  <c r="U3291" i="8"/>
  <c r="U3292" i="8"/>
  <c r="U3293" i="8"/>
  <c r="U3294" i="8"/>
  <c r="U3295" i="8"/>
  <c r="U3296" i="8"/>
  <c r="U3297" i="8"/>
  <c r="U3298" i="8"/>
  <c r="U3299" i="8"/>
  <c r="U3300" i="8"/>
  <c r="U3301" i="8"/>
  <c r="U3302" i="8"/>
  <c r="U3303" i="8"/>
  <c r="U3304" i="8"/>
  <c r="U3305" i="8"/>
  <c r="U3306" i="8"/>
  <c r="U3307" i="8"/>
  <c r="U3308" i="8"/>
  <c r="U3309" i="8"/>
  <c r="U3310" i="8"/>
  <c r="U3311" i="8"/>
  <c r="U3312" i="8"/>
  <c r="U3313" i="8"/>
  <c r="U3314" i="8"/>
  <c r="U3315" i="8"/>
  <c r="U3316" i="8"/>
  <c r="U3317" i="8"/>
  <c r="U3318" i="8"/>
  <c r="U3319" i="8"/>
  <c r="U3320" i="8"/>
  <c r="U3321" i="8"/>
  <c r="U3322" i="8"/>
  <c r="U3323" i="8"/>
  <c r="U3324" i="8"/>
  <c r="U3325" i="8"/>
  <c r="U3326" i="8"/>
  <c r="U3327" i="8"/>
  <c r="U3328" i="8"/>
  <c r="U3329" i="8"/>
  <c r="U3330" i="8"/>
  <c r="U3331" i="8"/>
  <c r="U3332" i="8"/>
  <c r="U3333" i="8"/>
  <c r="U3334" i="8"/>
  <c r="U3335" i="8"/>
  <c r="U3336" i="8"/>
  <c r="U3337" i="8"/>
  <c r="U3338" i="8"/>
  <c r="U3339" i="8"/>
  <c r="U3340" i="8"/>
  <c r="U3341" i="8"/>
  <c r="U3342" i="8"/>
  <c r="U3343" i="8"/>
  <c r="U3344" i="8"/>
  <c r="U3345" i="8"/>
  <c r="U3346" i="8"/>
  <c r="U3347" i="8"/>
  <c r="U3348" i="8"/>
  <c r="U3349" i="8"/>
  <c r="U3350" i="8"/>
  <c r="U3351" i="8"/>
  <c r="U3352" i="8"/>
  <c r="U3353" i="8"/>
  <c r="U3354" i="8"/>
  <c r="U3355" i="8"/>
  <c r="U3356" i="8"/>
  <c r="U3357" i="8"/>
  <c r="U3358" i="8"/>
  <c r="U3359" i="8"/>
  <c r="U3360" i="8"/>
  <c r="U3361" i="8"/>
  <c r="U3362" i="8"/>
  <c r="U3363" i="8"/>
  <c r="U3364" i="8"/>
  <c r="U3365" i="8"/>
  <c r="U3366" i="8"/>
  <c r="U3367" i="8"/>
  <c r="U3368" i="8"/>
  <c r="U3369" i="8"/>
  <c r="U3370" i="8"/>
  <c r="U3371" i="8"/>
  <c r="U3372" i="8"/>
  <c r="U3373" i="8"/>
  <c r="U3374" i="8"/>
  <c r="U3375" i="8"/>
  <c r="U3376" i="8"/>
  <c r="U3377" i="8"/>
  <c r="U3378" i="8"/>
  <c r="U3379" i="8"/>
  <c r="U3380" i="8"/>
  <c r="U3381" i="8"/>
  <c r="U3382" i="8"/>
  <c r="U3383" i="8"/>
  <c r="U3384" i="8"/>
  <c r="U3385" i="8"/>
  <c r="U3386" i="8"/>
  <c r="U3387" i="8"/>
  <c r="U3388" i="8"/>
  <c r="U3389" i="8"/>
  <c r="U3390" i="8"/>
  <c r="U3391" i="8"/>
  <c r="U3392" i="8"/>
  <c r="U3393" i="8"/>
  <c r="U3394" i="8"/>
  <c r="U3395" i="8"/>
  <c r="U3396" i="8"/>
  <c r="U3397" i="8"/>
  <c r="U3398" i="8"/>
  <c r="U3399" i="8"/>
  <c r="U3400" i="8"/>
  <c r="U3401" i="8"/>
  <c r="U3402" i="8"/>
  <c r="U3403" i="8"/>
  <c r="U3404" i="8"/>
  <c r="U3405" i="8"/>
  <c r="U3406" i="8"/>
  <c r="U3407" i="8"/>
  <c r="U3408" i="8"/>
  <c r="U3409" i="8"/>
  <c r="U3410" i="8"/>
  <c r="U3411" i="8"/>
  <c r="U3412" i="8"/>
  <c r="U3413" i="8"/>
  <c r="U3414" i="8"/>
  <c r="U3415" i="8"/>
  <c r="U3416" i="8"/>
  <c r="U3417" i="8"/>
  <c r="U3418" i="8"/>
  <c r="U3419" i="8"/>
  <c r="U3420" i="8"/>
  <c r="U3421" i="8"/>
  <c r="U3422" i="8"/>
  <c r="U3423" i="8"/>
  <c r="U3424" i="8"/>
  <c r="U3425" i="8"/>
  <c r="U3426" i="8"/>
  <c r="U3427" i="8"/>
  <c r="U3428" i="8"/>
  <c r="U3429" i="8"/>
  <c r="U3430" i="8"/>
  <c r="U3431" i="8"/>
  <c r="U3432" i="8"/>
  <c r="U3433" i="8"/>
  <c r="U3434" i="8"/>
  <c r="U3435" i="8"/>
  <c r="U3436" i="8"/>
  <c r="U3437" i="8"/>
  <c r="U3438" i="8"/>
  <c r="U3439" i="8"/>
  <c r="U3440" i="8"/>
  <c r="U3441" i="8"/>
  <c r="U3442" i="8"/>
  <c r="U3443" i="8"/>
  <c r="U3444" i="8"/>
  <c r="U3445" i="8"/>
  <c r="U3446" i="8"/>
  <c r="U3447" i="8"/>
  <c r="U3448" i="8"/>
  <c r="U3449" i="8"/>
  <c r="U3450" i="8"/>
  <c r="U3451" i="8"/>
  <c r="U3452" i="8"/>
  <c r="U3453" i="8"/>
  <c r="U3454" i="8"/>
  <c r="U3455" i="8"/>
  <c r="U3456" i="8"/>
  <c r="U3457" i="8"/>
  <c r="U3458" i="8"/>
  <c r="U3459" i="8"/>
  <c r="U3460" i="8"/>
  <c r="U3461" i="8"/>
  <c r="U3462" i="8"/>
  <c r="U3463" i="8"/>
  <c r="U3464" i="8"/>
  <c r="U3465" i="8"/>
  <c r="U3466" i="8"/>
  <c r="U3467" i="8"/>
  <c r="U3468" i="8"/>
  <c r="U3469" i="8"/>
  <c r="U3470" i="8"/>
  <c r="U3471" i="8"/>
  <c r="U3472" i="8"/>
  <c r="U3473" i="8"/>
  <c r="U3474" i="8"/>
  <c r="U3475" i="8"/>
  <c r="U3476" i="8"/>
  <c r="U3477" i="8"/>
  <c r="U3478" i="8"/>
  <c r="U3479" i="8"/>
  <c r="U3480" i="8"/>
  <c r="U3481" i="8"/>
  <c r="U3482" i="8"/>
  <c r="U3483" i="8"/>
  <c r="U3484" i="8"/>
  <c r="U3485" i="8"/>
  <c r="U3486" i="8"/>
  <c r="U3487" i="8"/>
  <c r="U3488" i="8"/>
  <c r="U3489" i="8"/>
  <c r="U3490" i="8"/>
  <c r="U3491" i="8"/>
  <c r="U3492" i="8"/>
  <c r="U3493" i="8"/>
  <c r="U3494" i="8"/>
  <c r="U3495" i="8"/>
  <c r="U3496" i="8"/>
  <c r="U3497" i="8"/>
  <c r="U3498" i="8"/>
  <c r="U3499" i="8"/>
  <c r="U3500" i="8"/>
  <c r="U3501" i="8"/>
  <c r="U3502" i="8"/>
  <c r="U3503" i="8"/>
  <c r="U3504" i="8"/>
  <c r="U3505" i="8"/>
  <c r="U3506" i="8"/>
  <c r="U3507" i="8"/>
  <c r="U3508" i="8"/>
  <c r="U3509" i="8"/>
  <c r="U3510" i="8"/>
  <c r="U3511" i="8"/>
  <c r="U3512" i="8"/>
  <c r="U3513" i="8"/>
  <c r="U3514" i="8"/>
  <c r="U3515" i="8"/>
  <c r="U3516" i="8"/>
  <c r="U3517" i="8"/>
  <c r="U3518" i="8"/>
  <c r="U3519" i="8"/>
  <c r="U3520" i="8"/>
  <c r="U3521" i="8"/>
  <c r="U3522" i="8"/>
  <c r="U3523" i="8"/>
  <c r="U3524" i="8"/>
  <c r="U3525" i="8"/>
  <c r="U3526" i="8"/>
  <c r="U3527" i="8"/>
  <c r="U3528" i="8"/>
  <c r="U3529" i="8"/>
  <c r="U3530" i="8"/>
  <c r="U3531" i="8"/>
  <c r="U3532" i="8"/>
  <c r="U3533" i="8"/>
  <c r="U3534" i="8"/>
  <c r="U3535" i="8"/>
  <c r="U3536" i="8"/>
  <c r="U3537" i="8"/>
  <c r="U3538" i="8"/>
  <c r="U3539" i="8"/>
  <c r="U3540" i="8"/>
  <c r="U3541" i="8"/>
  <c r="U3542" i="8"/>
  <c r="U3543" i="8"/>
  <c r="U3544" i="8"/>
  <c r="U3545" i="8"/>
  <c r="U3546" i="8"/>
  <c r="U3547" i="8"/>
  <c r="U3548" i="8"/>
  <c r="U3549" i="8"/>
  <c r="U3550" i="8"/>
  <c r="U3551" i="8"/>
  <c r="U3552" i="8"/>
  <c r="U3553" i="8"/>
  <c r="U3554" i="8"/>
  <c r="U3555" i="8"/>
  <c r="U3556" i="8"/>
  <c r="U3557" i="8"/>
  <c r="U3558" i="8"/>
  <c r="U3559" i="8"/>
  <c r="U3560" i="8"/>
  <c r="U3561" i="8"/>
  <c r="U3562" i="8"/>
  <c r="U3563" i="8"/>
  <c r="U3564" i="8"/>
  <c r="U3565" i="8"/>
  <c r="U3566" i="8"/>
  <c r="U3567" i="8"/>
  <c r="U3568" i="8"/>
  <c r="U3569" i="8"/>
  <c r="U3570" i="8"/>
  <c r="U3571" i="8"/>
  <c r="U3572" i="8"/>
  <c r="U3573" i="8"/>
  <c r="U3574" i="8"/>
  <c r="U3575" i="8"/>
  <c r="U3576" i="8"/>
  <c r="U3577" i="8"/>
  <c r="U3578" i="8"/>
  <c r="U3579" i="8"/>
  <c r="U3580" i="8"/>
  <c r="U3581" i="8"/>
  <c r="U3582" i="8"/>
  <c r="U3583" i="8"/>
  <c r="U3584" i="8"/>
  <c r="U3585" i="8"/>
  <c r="U3586" i="8"/>
  <c r="U3587" i="8"/>
  <c r="U3588" i="8"/>
  <c r="U3589" i="8"/>
  <c r="U3590" i="8"/>
  <c r="U3591" i="8"/>
  <c r="U3592" i="8"/>
  <c r="U3593" i="8"/>
  <c r="U3594" i="8"/>
  <c r="U3595" i="8"/>
  <c r="U3596" i="8"/>
  <c r="U3597" i="8"/>
  <c r="U3598" i="8"/>
  <c r="U3599" i="8"/>
  <c r="U3600" i="8"/>
  <c r="U3601" i="8"/>
  <c r="U3602" i="8"/>
  <c r="U3603" i="8"/>
  <c r="U3604" i="8"/>
  <c r="U3605" i="8"/>
  <c r="U3606" i="8"/>
  <c r="U3607" i="8"/>
  <c r="U3608" i="8"/>
  <c r="U3609" i="8"/>
  <c r="U3610" i="8"/>
  <c r="U3611" i="8"/>
  <c r="U3612" i="8"/>
  <c r="U3613" i="8"/>
  <c r="U3614" i="8"/>
  <c r="U3615" i="8"/>
  <c r="U3616" i="8"/>
  <c r="U3617" i="8"/>
  <c r="U3618" i="8"/>
  <c r="U3619" i="8"/>
  <c r="U3620" i="8"/>
  <c r="U3621" i="8"/>
  <c r="U3622" i="8"/>
  <c r="U3623" i="8"/>
  <c r="U3624" i="8"/>
  <c r="U3625" i="8"/>
  <c r="U3626" i="8"/>
  <c r="U3627" i="8"/>
  <c r="U3628" i="8"/>
  <c r="U3629" i="8"/>
  <c r="U3630" i="8"/>
  <c r="U3631" i="8"/>
  <c r="U3632" i="8"/>
  <c r="U3633" i="8"/>
  <c r="U3634" i="8"/>
  <c r="U3635" i="8"/>
  <c r="U3636" i="8"/>
  <c r="U3637" i="8"/>
  <c r="U3638" i="8"/>
  <c r="U3639" i="8"/>
  <c r="U3640" i="8"/>
  <c r="U3641" i="8"/>
  <c r="U3642" i="8"/>
  <c r="U3643" i="8"/>
  <c r="U3644" i="8"/>
  <c r="U3645" i="8"/>
  <c r="U3646" i="8"/>
  <c r="U3647" i="8"/>
  <c r="U3648" i="8"/>
  <c r="U3649" i="8"/>
  <c r="U3650" i="8"/>
  <c r="U3651" i="8"/>
  <c r="U3652" i="8"/>
  <c r="U3653" i="8"/>
  <c r="U3654" i="8"/>
  <c r="U3655" i="8"/>
  <c r="U3656" i="8"/>
  <c r="U3657" i="8"/>
  <c r="U3658" i="8"/>
  <c r="U3659" i="8"/>
  <c r="U3660" i="8"/>
  <c r="U3661" i="8"/>
  <c r="U3662" i="8"/>
  <c r="U3663" i="8"/>
  <c r="U3664" i="8"/>
  <c r="U3665" i="8"/>
  <c r="U3666" i="8"/>
  <c r="U3667" i="8"/>
  <c r="U3668" i="8"/>
  <c r="U3669" i="8"/>
  <c r="U3670" i="8"/>
  <c r="U3671" i="8"/>
  <c r="U3672" i="8"/>
  <c r="U3673" i="8"/>
  <c r="U3674" i="8"/>
  <c r="U3675" i="8"/>
  <c r="U3676" i="8"/>
  <c r="U3677" i="8"/>
  <c r="U3678" i="8"/>
  <c r="U3679" i="8"/>
  <c r="U3680" i="8"/>
  <c r="U3681" i="8"/>
  <c r="U3682" i="8"/>
  <c r="U3683" i="8"/>
  <c r="U3684" i="8"/>
  <c r="U3685" i="8"/>
  <c r="U3686" i="8"/>
  <c r="U3687" i="8"/>
  <c r="U3688" i="8"/>
  <c r="U3689" i="8"/>
  <c r="U3690" i="8"/>
  <c r="U3691" i="8"/>
  <c r="U3692" i="8"/>
  <c r="U3693" i="8"/>
  <c r="U3694" i="8"/>
  <c r="U3695" i="8"/>
  <c r="U3696" i="8"/>
  <c r="U3697" i="8"/>
  <c r="U3698" i="8"/>
  <c r="U3699" i="8"/>
  <c r="U3700" i="8"/>
  <c r="U3701" i="8"/>
  <c r="U3702" i="8"/>
  <c r="U3703" i="8"/>
  <c r="U3704" i="8"/>
  <c r="U3705" i="8"/>
  <c r="U3706" i="8"/>
  <c r="U3707" i="8"/>
  <c r="U3708" i="8"/>
  <c r="U3709" i="8"/>
  <c r="U3710" i="8"/>
  <c r="U3711" i="8"/>
  <c r="U3712" i="8"/>
  <c r="U3713" i="8"/>
  <c r="U3714" i="8"/>
  <c r="U3715" i="8"/>
  <c r="U3716" i="8"/>
  <c r="U3717" i="8"/>
  <c r="U3718" i="8"/>
  <c r="U3719" i="8"/>
  <c r="U3720" i="8"/>
  <c r="U3721" i="8"/>
  <c r="U3722" i="8"/>
  <c r="U3723" i="8"/>
  <c r="U3724" i="8"/>
  <c r="U3725" i="8"/>
  <c r="U3726" i="8"/>
  <c r="U3727" i="8"/>
  <c r="U3728" i="8"/>
  <c r="U3729" i="8"/>
  <c r="U3730" i="8"/>
  <c r="U3731" i="8"/>
  <c r="U3732" i="8"/>
  <c r="U3733" i="8"/>
  <c r="U3734" i="8"/>
  <c r="U3735" i="8"/>
  <c r="U3736" i="8"/>
  <c r="U3737" i="8"/>
  <c r="U3738" i="8"/>
  <c r="U3739" i="8"/>
  <c r="U3740" i="8"/>
  <c r="U3741" i="8"/>
  <c r="U3742" i="8"/>
  <c r="U3743" i="8"/>
  <c r="U3744" i="8"/>
  <c r="U3745" i="8"/>
  <c r="U3746" i="8"/>
  <c r="U3747" i="8"/>
  <c r="U3748" i="8"/>
  <c r="U3749" i="8"/>
  <c r="U3750" i="8"/>
  <c r="U3751" i="8"/>
  <c r="U3752" i="8"/>
  <c r="U3753" i="8"/>
  <c r="U3754" i="8"/>
  <c r="U3755" i="8"/>
  <c r="U3756" i="8"/>
  <c r="U3757" i="8"/>
  <c r="U3758" i="8"/>
  <c r="U3759" i="8"/>
  <c r="U3760" i="8"/>
  <c r="U3761" i="8"/>
  <c r="U3762" i="8"/>
  <c r="U3763" i="8"/>
  <c r="U3764" i="8"/>
  <c r="U3765" i="8"/>
  <c r="U3766" i="8"/>
  <c r="U3767" i="8"/>
  <c r="U3768" i="8"/>
  <c r="U3769" i="8"/>
  <c r="U3770" i="8"/>
  <c r="U3771" i="8"/>
  <c r="U3772" i="8"/>
  <c r="U3773" i="8"/>
  <c r="U3774" i="8"/>
  <c r="U3775" i="8"/>
  <c r="U3776" i="8"/>
  <c r="U3777" i="8"/>
  <c r="U3778" i="8"/>
  <c r="U3779" i="8"/>
  <c r="U3780" i="8"/>
  <c r="U3781" i="8"/>
  <c r="U3782" i="8"/>
  <c r="U3783" i="8"/>
  <c r="U3784" i="8"/>
  <c r="U3785" i="8"/>
  <c r="U3786" i="8"/>
  <c r="U3787" i="8"/>
  <c r="U3788" i="8"/>
  <c r="U3789" i="8"/>
  <c r="U3790" i="8"/>
  <c r="U3791" i="8"/>
  <c r="U3792" i="8"/>
  <c r="U3793" i="8"/>
  <c r="U3794" i="8"/>
  <c r="U3795" i="8"/>
  <c r="U3796" i="8"/>
  <c r="U3797" i="8"/>
  <c r="U3798" i="8"/>
  <c r="U3799" i="8"/>
  <c r="U3800" i="8"/>
  <c r="U3801" i="8"/>
  <c r="U3802" i="8"/>
  <c r="U3803" i="8"/>
  <c r="U3804" i="8"/>
  <c r="U3805" i="8"/>
  <c r="U3806" i="8"/>
  <c r="U3807" i="8"/>
  <c r="U3808" i="8"/>
  <c r="U3809" i="8"/>
  <c r="U3810" i="8"/>
  <c r="U3811" i="8"/>
  <c r="U3812" i="8"/>
  <c r="U3813" i="8"/>
  <c r="U3814" i="8"/>
  <c r="U3815" i="8"/>
  <c r="U3816" i="8"/>
  <c r="U3817" i="8"/>
  <c r="U3818" i="8"/>
  <c r="U3819" i="8"/>
  <c r="U3820" i="8"/>
  <c r="U3821" i="8"/>
  <c r="U3822" i="8"/>
  <c r="U3823" i="8"/>
  <c r="U3824" i="8"/>
  <c r="U3825" i="8"/>
  <c r="U3826" i="8"/>
  <c r="U3827" i="8"/>
  <c r="U3828" i="8"/>
  <c r="U3829" i="8"/>
  <c r="U3830" i="8"/>
  <c r="U3831" i="8"/>
  <c r="U3832" i="8"/>
  <c r="U3833" i="8"/>
  <c r="U3834" i="8"/>
  <c r="U3835" i="8"/>
  <c r="U3836" i="8"/>
  <c r="U3837" i="8"/>
  <c r="U3838" i="8"/>
  <c r="U3839" i="8"/>
  <c r="U3840" i="8"/>
  <c r="U3841" i="8"/>
  <c r="U3842" i="8"/>
  <c r="U3843" i="8"/>
  <c r="U3844" i="8"/>
  <c r="U3845" i="8"/>
  <c r="U3846" i="8"/>
  <c r="U3847" i="8"/>
  <c r="U3848" i="8"/>
  <c r="U3849" i="8"/>
  <c r="U3850" i="8"/>
  <c r="U3851" i="8"/>
  <c r="U3852" i="8"/>
  <c r="U3853" i="8"/>
  <c r="U3854" i="8"/>
  <c r="U3855" i="8"/>
  <c r="U3856" i="8"/>
  <c r="U3857" i="8"/>
  <c r="U3858" i="8"/>
  <c r="U3859" i="8"/>
  <c r="U3860" i="8"/>
  <c r="U3861" i="8"/>
  <c r="U3862" i="8"/>
  <c r="U3863" i="8"/>
  <c r="U3864" i="8"/>
  <c r="U3865" i="8"/>
  <c r="U3866" i="8"/>
  <c r="U3867" i="8"/>
  <c r="U3868" i="8"/>
  <c r="U3869" i="8"/>
  <c r="U3870" i="8"/>
  <c r="U3871" i="8"/>
  <c r="U3872" i="8"/>
  <c r="U3873" i="8"/>
  <c r="U3874" i="8"/>
  <c r="U3875" i="8"/>
  <c r="U3876" i="8"/>
  <c r="U3877" i="8"/>
  <c r="U3878" i="8"/>
  <c r="U3879" i="8"/>
  <c r="U3880" i="8"/>
  <c r="U3881" i="8"/>
  <c r="U3882" i="8"/>
  <c r="U3883" i="8"/>
  <c r="U3884" i="8"/>
  <c r="U3885" i="8"/>
  <c r="U3886" i="8"/>
  <c r="U3887" i="8"/>
  <c r="U3888" i="8"/>
  <c r="U3889" i="8"/>
  <c r="U3890" i="8"/>
  <c r="U3891" i="8"/>
  <c r="U3892" i="8"/>
  <c r="U3893" i="8"/>
  <c r="U3894" i="8"/>
  <c r="U3895" i="8"/>
  <c r="U3896" i="8"/>
  <c r="U3897" i="8"/>
  <c r="U3898" i="8"/>
  <c r="U3899" i="8"/>
  <c r="U3900" i="8"/>
  <c r="U3901" i="8"/>
  <c r="U3902" i="8"/>
  <c r="U3903" i="8"/>
  <c r="U3904" i="8"/>
  <c r="U3905" i="8"/>
  <c r="U3906" i="8"/>
  <c r="U3907" i="8"/>
  <c r="U3908" i="8"/>
  <c r="U3909" i="8"/>
  <c r="U3910" i="8"/>
  <c r="U3911" i="8"/>
  <c r="U3912" i="8"/>
  <c r="U3913" i="8"/>
  <c r="U3914" i="8"/>
  <c r="U3915" i="8"/>
  <c r="U3916" i="8"/>
  <c r="U3917" i="8"/>
  <c r="U3918" i="8"/>
  <c r="U3919" i="8"/>
  <c r="U3920" i="8"/>
  <c r="U3921" i="8"/>
  <c r="U3922" i="8"/>
  <c r="U3923" i="8"/>
  <c r="U3924" i="8"/>
  <c r="U3925" i="8"/>
  <c r="U3926" i="8"/>
  <c r="U3927" i="8"/>
  <c r="U3928" i="8"/>
  <c r="U3929" i="8"/>
  <c r="U3930" i="8"/>
  <c r="U3931" i="8"/>
  <c r="U3932" i="8"/>
  <c r="U3933" i="8"/>
  <c r="U3934" i="8"/>
  <c r="U3935" i="8"/>
  <c r="U3936" i="8"/>
  <c r="U3937" i="8"/>
  <c r="U3938" i="8"/>
  <c r="U3939" i="8"/>
  <c r="U3940" i="8"/>
  <c r="U3941" i="8"/>
  <c r="U3942" i="8"/>
  <c r="U3943" i="8"/>
  <c r="U3944" i="8"/>
  <c r="U3945" i="8"/>
  <c r="U3946" i="8"/>
  <c r="U3947" i="8"/>
  <c r="U3948" i="8"/>
  <c r="U3949" i="8"/>
  <c r="U3950" i="8"/>
  <c r="U3951" i="8"/>
  <c r="U3952" i="8"/>
  <c r="U3953" i="8"/>
  <c r="U3954" i="8"/>
  <c r="U3955" i="8"/>
  <c r="U3956" i="8"/>
  <c r="U3957" i="8"/>
  <c r="U3958" i="8"/>
  <c r="U3959" i="8"/>
  <c r="U3960" i="8"/>
  <c r="U3961" i="8"/>
  <c r="U3962" i="8"/>
  <c r="U3963" i="8"/>
  <c r="U3964" i="8"/>
  <c r="U3965" i="8"/>
  <c r="U3966" i="8"/>
  <c r="U3967" i="8"/>
  <c r="U3968" i="8"/>
  <c r="U3969" i="8"/>
  <c r="U3970" i="8"/>
  <c r="U3971" i="8"/>
  <c r="U3972" i="8"/>
  <c r="U3973" i="8"/>
  <c r="U3974" i="8"/>
  <c r="U3975" i="8"/>
  <c r="U3976" i="8"/>
  <c r="U3977" i="8"/>
  <c r="U3978" i="8"/>
  <c r="U3979" i="8"/>
  <c r="U3980" i="8"/>
  <c r="U3981" i="8"/>
  <c r="U3982" i="8"/>
  <c r="U3983" i="8"/>
  <c r="U3984" i="8"/>
  <c r="U3985" i="8"/>
  <c r="U3986" i="8"/>
  <c r="U3987" i="8"/>
  <c r="U3988" i="8"/>
  <c r="U3989" i="8"/>
  <c r="U3990" i="8"/>
  <c r="U3991" i="8"/>
  <c r="U3992" i="8"/>
  <c r="U3993" i="8"/>
  <c r="U3994" i="8"/>
  <c r="U3995" i="8"/>
  <c r="U3996" i="8"/>
  <c r="U3997" i="8"/>
  <c r="U3998" i="8"/>
  <c r="U3999" i="8"/>
  <c r="U4000" i="8"/>
  <c r="U4001" i="8"/>
  <c r="U4002" i="8"/>
  <c r="U4003" i="8"/>
  <c r="U4004" i="8"/>
  <c r="U4005" i="8"/>
  <c r="U4006" i="8"/>
  <c r="U4007" i="8"/>
  <c r="U4008" i="8"/>
  <c r="U4009" i="8"/>
  <c r="U4010" i="8"/>
  <c r="U4011" i="8"/>
  <c r="U4012" i="8"/>
  <c r="U4013" i="8"/>
  <c r="U4014" i="8"/>
  <c r="U4015" i="8"/>
  <c r="U4016" i="8"/>
  <c r="U4017" i="8"/>
  <c r="U4018" i="8"/>
  <c r="U4019" i="8"/>
  <c r="U4020" i="8"/>
  <c r="U4021" i="8"/>
  <c r="U4022" i="8"/>
  <c r="U4023" i="8"/>
  <c r="U4024" i="8"/>
  <c r="U4025" i="8"/>
  <c r="U4026" i="8"/>
  <c r="U4027" i="8"/>
  <c r="U4028" i="8"/>
  <c r="U4029" i="8"/>
  <c r="U4030" i="8"/>
  <c r="U4031" i="8"/>
  <c r="U4032" i="8"/>
  <c r="U4033" i="8"/>
  <c r="U4034" i="8"/>
  <c r="U4035" i="8"/>
  <c r="U4036" i="8"/>
  <c r="U4037" i="8"/>
  <c r="U4038" i="8"/>
  <c r="U4039" i="8"/>
  <c r="U4040" i="8"/>
  <c r="U4041" i="8"/>
  <c r="U4042" i="8"/>
  <c r="U4043" i="8"/>
  <c r="U4044" i="8"/>
  <c r="U4045" i="8"/>
  <c r="U4046" i="8"/>
  <c r="U4047" i="8"/>
  <c r="U4048" i="8"/>
  <c r="U4049" i="8"/>
  <c r="U4050" i="8"/>
  <c r="U4051" i="8"/>
  <c r="U4052" i="8"/>
  <c r="U4053" i="8"/>
  <c r="U4054" i="8"/>
  <c r="U4055" i="8"/>
  <c r="U4056" i="8"/>
  <c r="U4057" i="8"/>
  <c r="U4058" i="8"/>
  <c r="U4059" i="8"/>
  <c r="U4060" i="8"/>
  <c r="U4061" i="8"/>
  <c r="U4062" i="8"/>
  <c r="U4063" i="8"/>
  <c r="U4064" i="8"/>
  <c r="U4065" i="8"/>
  <c r="U4066" i="8"/>
  <c r="U4067" i="8"/>
  <c r="U4068" i="8"/>
  <c r="U4069" i="8"/>
  <c r="U4070" i="8"/>
  <c r="U4071" i="8"/>
  <c r="U4072" i="8"/>
  <c r="U4073" i="8"/>
  <c r="U4074" i="8"/>
  <c r="U4075" i="8"/>
  <c r="U4076" i="8"/>
  <c r="U4077" i="8"/>
  <c r="U4078" i="8"/>
  <c r="U4079" i="8"/>
  <c r="U4080" i="8"/>
  <c r="U4081" i="8"/>
  <c r="U4082" i="8"/>
  <c r="U4083" i="8"/>
  <c r="U4084" i="8"/>
  <c r="U4085" i="8"/>
  <c r="U4086" i="8"/>
  <c r="U4087" i="8"/>
  <c r="U4088" i="8"/>
  <c r="U4089" i="8"/>
  <c r="U4090" i="8"/>
  <c r="U4091" i="8"/>
  <c r="U4092" i="8"/>
  <c r="U4093" i="8"/>
  <c r="U4094" i="8"/>
  <c r="U4095" i="8"/>
  <c r="U4096" i="8"/>
  <c r="U4097" i="8"/>
  <c r="U4098" i="8"/>
  <c r="U4099" i="8"/>
  <c r="U4100" i="8"/>
  <c r="U4101" i="8"/>
  <c r="U4102" i="8"/>
  <c r="U4103" i="8"/>
  <c r="U4104" i="8"/>
  <c r="U4105" i="8"/>
  <c r="U4106" i="8"/>
  <c r="U4107" i="8"/>
  <c r="U4108" i="8"/>
  <c r="U4109" i="8"/>
  <c r="U4110" i="8"/>
  <c r="U4111" i="8"/>
  <c r="U4112" i="8"/>
  <c r="U4113" i="8"/>
  <c r="U4114" i="8"/>
  <c r="U4115" i="8"/>
  <c r="U4116" i="8"/>
  <c r="U4117" i="8"/>
  <c r="U4118" i="8"/>
  <c r="U4119" i="8"/>
  <c r="U4120" i="8"/>
  <c r="U4121" i="8"/>
  <c r="U4122" i="8"/>
  <c r="U4123" i="8"/>
  <c r="U4124" i="8"/>
  <c r="U4125" i="8"/>
  <c r="U4126" i="8"/>
  <c r="U4127" i="8"/>
  <c r="U4128" i="8"/>
  <c r="U4129" i="8"/>
  <c r="U4130" i="8"/>
  <c r="U4131" i="8"/>
  <c r="U4132" i="8"/>
  <c r="U4133" i="8"/>
  <c r="U4134" i="8"/>
  <c r="U4135" i="8"/>
  <c r="U4136" i="8"/>
  <c r="U4137" i="8"/>
  <c r="U4138" i="8"/>
  <c r="U4139" i="8"/>
  <c r="U4140" i="8"/>
  <c r="U4141" i="8"/>
  <c r="U4142" i="8"/>
  <c r="U4143" i="8"/>
  <c r="U4144" i="8"/>
  <c r="U4145" i="8"/>
  <c r="U4146" i="8"/>
  <c r="U4147" i="8"/>
  <c r="U4155" i="8"/>
  <c r="U4156" i="8"/>
  <c r="U4157" i="8"/>
  <c r="U4158" i="8"/>
  <c r="U4159" i="8"/>
  <c r="U4160" i="8"/>
  <c r="U4161" i="8"/>
  <c r="U4162" i="8"/>
  <c r="U4163" i="8"/>
  <c r="U4164" i="8"/>
  <c r="U4165" i="8"/>
  <c r="U4166" i="8"/>
  <c r="U4167" i="8"/>
  <c r="U4168" i="8"/>
  <c r="U4169" i="8"/>
  <c r="U4170" i="8"/>
  <c r="U4171" i="8"/>
  <c r="U4172" i="8"/>
  <c r="U4173" i="8"/>
  <c r="U4174" i="8"/>
  <c r="U4175" i="8"/>
  <c r="U4176" i="8"/>
  <c r="U4177" i="8"/>
  <c r="U4178" i="8"/>
  <c r="U4179" i="8"/>
  <c r="U4180" i="8"/>
  <c r="U4181" i="8"/>
  <c r="U4182" i="8"/>
  <c r="U4183" i="8"/>
  <c r="U4184" i="8"/>
  <c r="U4185" i="8"/>
  <c r="U4186" i="8"/>
  <c r="U4187" i="8"/>
  <c r="U4188" i="8"/>
  <c r="U4189" i="8"/>
  <c r="U4190" i="8"/>
  <c r="U4191" i="8"/>
  <c r="U4192" i="8"/>
  <c r="U4193" i="8"/>
  <c r="U4194" i="8"/>
  <c r="U4195" i="8"/>
  <c r="U4196" i="8"/>
  <c r="U4197" i="8"/>
  <c r="U4198" i="8"/>
  <c r="U4199" i="8"/>
  <c r="U4200" i="8"/>
  <c r="U4201" i="8"/>
  <c r="U4202" i="8"/>
  <c r="U4203" i="8"/>
  <c r="U4204" i="8"/>
  <c r="U4205" i="8"/>
  <c r="U4206" i="8"/>
  <c r="U4207" i="8"/>
  <c r="U4208" i="8"/>
  <c r="U4209" i="8"/>
  <c r="U4210" i="8"/>
  <c r="U4211" i="8"/>
  <c r="U4212" i="8"/>
  <c r="U4213" i="8"/>
  <c r="U4214" i="8"/>
  <c r="U4215" i="8"/>
  <c r="U4216" i="8"/>
  <c r="U4217" i="8"/>
  <c r="U4218" i="8"/>
  <c r="U4219" i="8"/>
  <c r="U4220" i="8"/>
  <c r="U4221" i="8"/>
  <c r="U4222" i="8"/>
  <c r="U4223" i="8"/>
  <c r="U4224" i="8"/>
  <c r="U4225" i="8"/>
  <c r="U4226" i="8"/>
  <c r="U4227" i="8"/>
  <c r="U4228" i="8"/>
  <c r="U4229" i="8"/>
  <c r="U4230" i="8"/>
  <c r="U4231" i="8"/>
  <c r="U4232" i="8"/>
  <c r="U4233" i="8"/>
  <c r="U4234" i="8"/>
  <c r="U4235" i="8"/>
  <c r="U4236" i="8"/>
  <c r="U4237" i="8"/>
  <c r="U4238" i="8"/>
  <c r="U4239" i="8"/>
  <c r="U4240" i="8"/>
  <c r="U4241" i="8"/>
  <c r="U4242" i="8"/>
  <c r="U4243" i="8"/>
  <c r="U4244" i="8"/>
  <c r="U4245" i="8"/>
  <c r="U4246" i="8"/>
  <c r="U4247" i="8"/>
  <c r="U4248" i="8"/>
  <c r="U4249" i="8"/>
  <c r="U4250" i="8"/>
  <c r="U4251" i="8"/>
  <c r="U4252" i="8"/>
  <c r="U4253" i="8"/>
  <c r="U4254" i="8"/>
  <c r="U4255" i="8"/>
  <c r="U4256" i="8"/>
  <c r="U4257" i="8"/>
  <c r="U4258" i="8"/>
  <c r="U4259" i="8"/>
  <c r="U4260" i="8"/>
  <c r="U4261" i="8"/>
  <c r="U4262" i="8"/>
  <c r="U4263" i="8"/>
  <c r="U4264" i="8"/>
  <c r="U4265" i="8"/>
  <c r="U4266" i="8"/>
  <c r="U4267" i="8"/>
  <c r="U4268" i="8"/>
  <c r="U4269" i="8"/>
  <c r="U4270" i="8"/>
  <c r="U4271" i="8"/>
  <c r="U4272" i="8"/>
  <c r="U4273" i="8"/>
  <c r="U4274" i="8"/>
  <c r="U4275" i="8"/>
  <c r="U4276" i="8"/>
  <c r="U4277" i="8"/>
  <c r="U4278" i="8"/>
  <c r="U4279" i="8"/>
  <c r="U4280" i="8"/>
  <c r="U4281" i="8"/>
  <c r="U4282" i="8"/>
  <c r="U4283" i="8"/>
  <c r="U4284" i="8"/>
  <c r="U4285" i="8"/>
  <c r="U4286" i="8"/>
  <c r="U4287" i="8"/>
  <c r="U4288" i="8"/>
  <c r="U4289" i="8"/>
  <c r="U4290" i="8"/>
  <c r="U4291" i="8"/>
  <c r="U4292" i="8"/>
  <c r="U4293" i="8"/>
  <c r="U4294" i="8"/>
  <c r="U4295" i="8"/>
  <c r="U4296" i="8"/>
  <c r="U4297" i="8"/>
  <c r="U4298" i="8"/>
  <c r="U4299" i="8"/>
  <c r="U4300" i="8"/>
  <c r="U4301" i="8"/>
  <c r="U4302" i="8"/>
  <c r="U4303" i="8"/>
  <c r="U4304" i="8"/>
  <c r="U4305" i="8"/>
  <c r="U4306" i="8"/>
  <c r="U4307" i="8"/>
  <c r="U4308" i="8"/>
  <c r="U4309" i="8"/>
  <c r="U4310" i="8"/>
  <c r="U4311" i="8"/>
  <c r="U4312" i="8"/>
  <c r="U4313" i="8"/>
  <c r="U4314" i="8"/>
  <c r="U4315" i="8"/>
  <c r="U4316" i="8"/>
  <c r="U4317" i="8"/>
  <c r="U4318" i="8"/>
  <c r="U4319" i="8"/>
  <c r="U4320" i="8"/>
  <c r="U4321" i="8"/>
  <c r="U4322" i="8"/>
  <c r="U4323" i="8"/>
  <c r="U4324" i="8"/>
  <c r="U4325" i="8"/>
  <c r="U4326" i="8"/>
  <c r="U4327" i="8"/>
  <c r="U4328" i="8"/>
  <c r="U4329" i="8"/>
  <c r="U4330" i="8"/>
  <c r="U4331" i="8"/>
  <c r="U4332" i="8"/>
  <c r="U4333" i="8"/>
  <c r="U4334" i="8"/>
  <c r="U4335" i="8"/>
  <c r="U4336" i="8"/>
  <c r="U4337" i="8"/>
  <c r="U4338" i="8"/>
  <c r="U4339" i="8"/>
  <c r="U4340" i="8"/>
  <c r="U4341" i="8"/>
  <c r="U4342" i="8"/>
  <c r="U4343" i="8"/>
  <c r="U4344" i="8"/>
  <c r="U4345" i="8"/>
  <c r="U4346" i="8"/>
  <c r="U4347" i="8"/>
  <c r="U4348" i="8"/>
  <c r="U4349" i="8"/>
  <c r="U4350" i="8"/>
  <c r="U4351" i="8"/>
  <c r="U4352" i="8"/>
  <c r="U4353" i="8"/>
  <c r="U4354" i="8"/>
  <c r="U4355" i="8"/>
  <c r="U4356" i="8"/>
  <c r="U4357" i="8"/>
  <c r="U4358" i="8"/>
  <c r="U4359" i="8"/>
  <c r="U4360" i="8"/>
  <c r="U4361" i="8"/>
  <c r="U4362" i="8"/>
  <c r="U4363" i="8"/>
  <c r="U4364" i="8"/>
  <c r="U4365" i="8"/>
  <c r="U4366" i="8"/>
  <c r="U4367" i="8"/>
  <c r="U4368" i="8"/>
  <c r="U4369" i="8"/>
  <c r="U4370" i="8"/>
  <c r="U4371" i="8"/>
  <c r="U4372" i="8"/>
  <c r="U4373" i="8"/>
  <c r="U4374" i="8"/>
  <c r="U4375" i="8"/>
  <c r="U4376" i="8"/>
  <c r="U4377" i="8"/>
  <c r="U4378" i="8"/>
  <c r="U4379" i="8"/>
  <c r="U4380" i="8"/>
  <c r="U4381" i="8"/>
  <c r="U4382" i="8"/>
  <c r="U4383" i="8"/>
  <c r="U4384" i="8"/>
  <c r="U4385" i="8"/>
  <c r="U4386" i="8"/>
  <c r="U4387" i="8"/>
  <c r="U4388" i="8"/>
  <c r="U4389" i="8"/>
  <c r="U4390" i="8"/>
  <c r="U4391" i="8"/>
  <c r="U4392" i="8"/>
  <c r="U4393" i="8"/>
  <c r="U4394" i="8"/>
  <c r="U4395" i="8"/>
  <c r="U4396" i="8"/>
  <c r="U4397" i="8"/>
  <c r="U4398" i="8"/>
  <c r="U4399" i="8"/>
  <c r="U4400" i="8"/>
  <c r="U4401" i="8"/>
  <c r="U4402" i="8"/>
  <c r="U4403" i="8"/>
  <c r="U4404" i="8"/>
  <c r="U4405" i="8"/>
  <c r="U4406" i="8"/>
  <c r="U4407" i="8"/>
  <c r="U4408" i="8"/>
  <c r="U4409" i="8"/>
  <c r="U4410" i="8"/>
  <c r="U4411" i="8"/>
  <c r="U4412" i="8"/>
  <c r="U4413" i="8"/>
  <c r="U4414" i="8"/>
  <c r="U4415" i="8"/>
  <c r="U4416" i="8"/>
  <c r="U4417" i="8"/>
  <c r="U4418" i="8"/>
  <c r="U4419" i="8"/>
  <c r="U4420" i="8"/>
  <c r="U4421" i="8"/>
  <c r="U4422" i="8"/>
  <c r="U4423" i="8"/>
  <c r="U4424" i="8"/>
  <c r="U4425" i="8"/>
  <c r="U4426" i="8"/>
  <c r="U4427" i="8"/>
  <c r="U4428" i="8"/>
  <c r="U4429" i="8"/>
  <c r="U4430" i="8"/>
  <c r="U4431" i="8"/>
  <c r="U4432" i="8"/>
  <c r="U4433" i="8"/>
  <c r="U4434" i="8"/>
  <c r="U4435" i="8"/>
  <c r="U4436" i="8"/>
  <c r="U4437" i="8"/>
  <c r="U4438" i="8"/>
  <c r="U4439" i="8"/>
  <c r="U4440" i="8"/>
  <c r="U4441" i="8"/>
  <c r="U4442" i="8"/>
  <c r="U4443" i="8"/>
  <c r="U4444" i="8"/>
  <c r="U4445" i="8"/>
  <c r="U4446" i="8"/>
  <c r="U4447" i="8"/>
  <c r="U4448" i="8"/>
  <c r="U4449" i="8"/>
  <c r="U4450" i="8"/>
  <c r="U4451" i="8"/>
  <c r="U4452" i="8"/>
  <c r="U4453" i="8"/>
  <c r="U4454" i="8"/>
  <c r="U4455" i="8"/>
  <c r="U4456" i="8"/>
  <c r="U4457" i="8"/>
  <c r="U4458" i="8"/>
  <c r="U4459" i="8"/>
  <c r="U4460" i="8"/>
  <c r="U4461" i="8"/>
  <c r="U4462" i="8"/>
  <c r="U4463" i="8"/>
  <c r="U4464" i="8"/>
  <c r="U4465" i="8"/>
  <c r="U4466" i="8"/>
  <c r="U4467" i="8"/>
  <c r="U4468" i="8"/>
  <c r="U4469" i="8"/>
  <c r="U4470" i="8"/>
  <c r="U4471" i="8"/>
  <c r="U4472" i="8"/>
  <c r="U4473" i="8"/>
  <c r="U4474" i="8"/>
  <c r="U4475" i="8"/>
  <c r="U4476" i="8"/>
  <c r="U4477" i="8"/>
  <c r="U4478" i="8"/>
  <c r="U4479" i="8"/>
  <c r="U4480" i="8"/>
  <c r="U4481" i="8"/>
  <c r="U4482" i="8"/>
  <c r="U4483" i="8"/>
  <c r="U4484" i="8"/>
  <c r="U4485" i="8"/>
  <c r="U4486" i="8"/>
  <c r="U4487" i="8"/>
  <c r="U4488" i="8"/>
  <c r="U4489" i="8"/>
  <c r="U4490" i="8"/>
  <c r="U4491" i="8"/>
  <c r="U4492" i="8"/>
  <c r="U4493" i="8"/>
  <c r="U4494" i="8"/>
  <c r="U4495" i="8"/>
  <c r="U4496" i="8"/>
  <c r="U4497" i="8"/>
  <c r="U4498" i="8"/>
  <c r="U4499" i="8"/>
  <c r="U4500" i="8"/>
  <c r="U4501" i="8"/>
  <c r="U4502" i="8"/>
  <c r="U4503" i="8"/>
  <c r="U4504" i="8"/>
  <c r="U4505" i="8"/>
  <c r="U4506" i="8"/>
  <c r="U4507" i="8"/>
  <c r="U4508" i="8"/>
  <c r="U4509" i="8"/>
  <c r="U4510" i="8"/>
  <c r="U4511" i="8"/>
  <c r="U4512" i="8"/>
  <c r="U4513" i="8"/>
  <c r="U4514" i="8"/>
  <c r="U4515" i="8"/>
  <c r="U4516" i="8"/>
  <c r="U4517" i="8"/>
  <c r="U4518" i="8"/>
  <c r="U4519" i="8"/>
  <c r="U4520" i="8"/>
  <c r="U4521" i="8"/>
  <c r="U4522" i="8"/>
  <c r="U4523" i="8"/>
  <c r="U4524" i="8"/>
  <c r="U4525" i="8"/>
  <c r="U4526" i="8"/>
  <c r="U4527" i="8"/>
  <c r="U4528" i="8"/>
  <c r="U4529" i="8"/>
  <c r="U4530" i="8"/>
  <c r="U4531" i="8"/>
  <c r="U4532" i="8"/>
  <c r="U4533" i="8"/>
  <c r="U4534" i="8"/>
  <c r="U4535" i="8"/>
  <c r="U4536" i="8"/>
  <c r="U4537" i="8"/>
  <c r="U4538" i="8"/>
  <c r="U4539" i="8"/>
  <c r="U4540" i="8"/>
  <c r="U4541" i="8"/>
  <c r="U4542" i="8"/>
  <c r="U4543" i="8"/>
  <c r="U4544" i="8"/>
  <c r="U4545" i="8"/>
  <c r="U4546" i="8"/>
  <c r="U4547" i="8"/>
  <c r="U4548" i="8"/>
  <c r="U4549" i="8"/>
  <c r="U4550" i="8"/>
  <c r="U4551" i="8"/>
  <c r="U4552" i="8"/>
  <c r="U4553" i="8"/>
  <c r="U4554" i="8"/>
  <c r="U4555" i="8"/>
  <c r="U4556" i="8"/>
  <c r="U4557" i="8"/>
  <c r="U4558" i="8"/>
  <c r="U4559" i="8"/>
  <c r="U4560" i="8"/>
  <c r="U4561" i="8"/>
  <c r="U4562" i="8"/>
  <c r="U4563" i="8"/>
  <c r="U4564" i="8"/>
  <c r="U4565" i="8"/>
  <c r="U4566" i="8"/>
  <c r="U4567" i="8"/>
  <c r="U4568" i="8"/>
  <c r="U4569" i="8"/>
  <c r="U4570" i="8"/>
  <c r="U4571" i="8"/>
  <c r="U4572" i="8"/>
  <c r="U4573" i="8"/>
  <c r="U4574" i="8"/>
  <c r="U4575" i="8"/>
  <c r="U4576" i="8"/>
  <c r="U4577" i="8"/>
  <c r="U4578" i="8"/>
  <c r="U4579" i="8"/>
  <c r="U4580" i="8"/>
  <c r="U4581" i="8"/>
  <c r="U4582" i="8"/>
  <c r="U4583" i="8"/>
  <c r="U4584" i="8"/>
  <c r="U4585" i="8"/>
  <c r="U4586" i="8"/>
  <c r="U4587" i="8"/>
  <c r="U4588" i="8"/>
  <c r="U4589" i="8"/>
  <c r="U4590" i="8"/>
  <c r="U4591" i="8"/>
  <c r="U4592" i="8"/>
  <c r="U4593" i="8"/>
  <c r="U4594" i="8"/>
  <c r="U4595" i="8"/>
  <c r="U4596" i="8"/>
  <c r="U4597" i="8"/>
  <c r="U4598" i="8"/>
  <c r="U4599" i="8"/>
  <c r="U4600" i="8"/>
  <c r="U4601" i="8"/>
  <c r="U4602" i="8"/>
  <c r="U4603" i="8"/>
  <c r="U4604" i="8"/>
  <c r="U4605" i="8"/>
  <c r="U4606" i="8"/>
  <c r="U4607" i="8"/>
  <c r="U4608" i="8"/>
  <c r="U4609" i="8"/>
  <c r="U4610" i="8"/>
  <c r="U4611" i="8"/>
  <c r="U4612" i="8"/>
  <c r="U4613" i="8"/>
  <c r="U4614" i="8"/>
  <c r="U4615" i="8"/>
  <c r="U4616" i="8"/>
  <c r="U4617" i="8"/>
  <c r="U4618" i="8"/>
  <c r="U4619" i="8"/>
  <c r="U4620" i="8"/>
  <c r="U4621" i="8"/>
  <c r="U4622" i="8"/>
  <c r="U4623" i="8"/>
  <c r="U4624" i="8"/>
  <c r="U4625" i="8"/>
  <c r="U4626" i="8"/>
  <c r="U4627" i="8"/>
  <c r="U4628" i="8"/>
  <c r="U4629" i="8"/>
  <c r="U4630" i="8"/>
  <c r="U4631" i="8"/>
  <c r="U4632" i="8"/>
  <c r="U4633" i="8"/>
  <c r="U4634" i="8"/>
  <c r="U4635" i="8"/>
  <c r="U4636" i="8"/>
  <c r="U4637" i="8"/>
  <c r="U4638" i="8"/>
  <c r="U4639" i="8"/>
  <c r="U4640" i="8"/>
  <c r="U4641" i="8"/>
  <c r="U4642" i="8"/>
  <c r="U4643" i="8"/>
  <c r="U4644" i="8"/>
  <c r="U4645" i="8"/>
  <c r="U4646" i="8"/>
  <c r="U4647" i="8"/>
  <c r="U4648" i="8"/>
  <c r="U4649" i="8"/>
  <c r="U4650" i="8"/>
  <c r="U4651" i="8"/>
  <c r="U4652" i="8"/>
  <c r="U4653" i="8"/>
  <c r="U4654" i="8"/>
  <c r="U4655" i="8"/>
  <c r="U4656" i="8"/>
  <c r="U4657" i="8"/>
  <c r="U4658" i="8"/>
  <c r="U4659" i="8"/>
  <c r="U4660" i="8"/>
  <c r="U4661" i="8"/>
  <c r="U4662" i="8"/>
  <c r="U4663" i="8"/>
  <c r="U4664" i="8"/>
  <c r="U4665" i="8"/>
  <c r="U4666" i="8"/>
  <c r="U4667" i="8"/>
  <c r="U4668" i="8"/>
  <c r="U4669" i="8"/>
  <c r="U4670" i="8"/>
  <c r="U4671" i="8"/>
  <c r="U4672" i="8"/>
  <c r="U4673" i="8"/>
  <c r="U4674" i="8"/>
  <c r="U4675" i="8"/>
  <c r="U4676" i="8"/>
  <c r="U4677" i="8"/>
  <c r="U4678" i="8"/>
  <c r="U4679" i="8"/>
  <c r="U4680" i="8"/>
  <c r="U4681" i="8"/>
  <c r="U4682" i="8"/>
  <c r="U4683" i="8"/>
  <c r="U4684" i="8"/>
  <c r="U4685" i="8"/>
  <c r="U4686" i="8"/>
  <c r="U4687" i="8"/>
  <c r="U4688" i="8"/>
  <c r="U4689" i="8"/>
  <c r="U4690" i="8"/>
  <c r="U4691" i="8"/>
  <c r="U4692" i="8"/>
  <c r="U4693" i="8"/>
  <c r="U4694" i="8"/>
  <c r="U4695" i="8"/>
  <c r="U4696" i="8"/>
  <c r="U4697" i="8"/>
  <c r="U4698" i="8"/>
  <c r="U4699" i="8"/>
  <c r="U4700" i="8"/>
  <c r="U4701" i="8"/>
  <c r="U4702" i="8"/>
  <c r="U4703" i="8"/>
  <c r="U4704" i="8"/>
  <c r="U4705" i="8"/>
  <c r="U4706" i="8"/>
  <c r="U4707" i="8"/>
  <c r="U4708" i="8"/>
  <c r="U4709" i="8"/>
  <c r="U4710" i="8"/>
  <c r="U4711" i="8"/>
  <c r="U4712" i="8"/>
  <c r="U4713" i="8"/>
  <c r="U4714" i="8"/>
  <c r="U4715" i="8"/>
  <c r="U4716" i="8"/>
  <c r="U4717" i="8"/>
  <c r="U4718" i="8"/>
  <c r="U4719" i="8"/>
  <c r="U4720" i="8"/>
  <c r="U4721" i="8"/>
  <c r="U4722" i="8"/>
  <c r="U4723" i="8"/>
  <c r="U4724" i="8"/>
  <c r="U4725" i="8"/>
  <c r="U4726" i="8"/>
  <c r="U4727" i="8"/>
  <c r="U4728" i="8"/>
  <c r="U4729" i="8"/>
  <c r="U4730" i="8"/>
  <c r="U4731" i="8"/>
  <c r="U4732" i="8"/>
  <c r="U4733" i="8"/>
  <c r="U4734" i="8"/>
  <c r="U4735" i="8"/>
  <c r="U4736" i="8"/>
  <c r="U4737" i="8"/>
  <c r="U4738" i="8"/>
  <c r="U4739" i="8"/>
  <c r="U4740" i="8"/>
  <c r="U4741" i="8"/>
  <c r="U4742" i="8"/>
  <c r="U4743" i="8"/>
  <c r="U4744" i="8"/>
  <c r="U4745" i="8"/>
  <c r="U4746" i="8"/>
  <c r="U4747" i="8"/>
  <c r="U4748" i="8"/>
  <c r="U4749" i="8"/>
  <c r="U4750" i="8"/>
  <c r="U4751" i="8"/>
  <c r="U4752" i="8"/>
  <c r="U4753" i="8"/>
  <c r="U4754" i="8"/>
  <c r="U4755" i="8"/>
  <c r="U4756" i="8"/>
  <c r="U4757" i="8"/>
  <c r="U4758" i="8"/>
  <c r="U4759" i="8"/>
  <c r="U4760" i="8"/>
  <c r="U4761" i="8"/>
  <c r="U4762" i="8"/>
  <c r="U4763" i="8"/>
  <c r="U4764" i="8"/>
  <c r="U4765" i="8"/>
  <c r="U4766" i="8"/>
  <c r="U4767" i="8"/>
  <c r="U4768" i="8"/>
  <c r="U4769" i="8"/>
  <c r="U4770" i="8"/>
  <c r="U4771" i="8"/>
  <c r="U4772" i="8"/>
  <c r="U4773" i="8"/>
  <c r="U4774" i="8"/>
  <c r="U4775" i="8"/>
  <c r="U4776" i="8"/>
  <c r="U4777" i="8"/>
  <c r="U4778" i="8"/>
  <c r="U4779" i="8"/>
  <c r="U4780" i="8"/>
  <c r="U4781" i="8"/>
  <c r="U4782" i="8"/>
  <c r="U4783" i="8"/>
  <c r="U4784" i="8"/>
  <c r="U4785" i="8"/>
  <c r="U4786" i="8"/>
  <c r="U4787" i="8"/>
  <c r="U4788" i="8"/>
  <c r="U4789" i="8"/>
  <c r="U4790" i="8"/>
  <c r="U4791" i="8"/>
  <c r="U4792" i="8"/>
  <c r="U4793" i="8"/>
  <c r="U4794" i="8"/>
  <c r="U4795" i="8"/>
  <c r="U4796" i="8"/>
  <c r="U4797" i="8"/>
  <c r="U4798" i="8"/>
  <c r="U4799" i="8"/>
  <c r="U4800" i="8"/>
  <c r="U4801" i="8"/>
  <c r="U4802" i="8"/>
  <c r="U4803" i="8"/>
  <c r="U4804" i="8"/>
  <c r="U4805" i="8"/>
  <c r="U4806" i="8"/>
  <c r="U4807" i="8"/>
  <c r="U4808" i="8"/>
  <c r="U4809" i="8"/>
  <c r="U4810" i="8"/>
  <c r="U4811" i="8"/>
  <c r="U4812" i="8"/>
  <c r="U4813" i="8"/>
  <c r="U4814" i="8"/>
  <c r="U4815" i="8"/>
  <c r="U4816" i="8"/>
  <c r="U4817" i="8"/>
  <c r="U4818" i="8"/>
  <c r="U4819" i="8"/>
  <c r="U4820" i="8"/>
  <c r="U4821" i="8"/>
  <c r="U4822" i="8"/>
  <c r="U4823" i="8"/>
  <c r="U4824" i="8"/>
  <c r="U4825" i="8"/>
  <c r="U4826" i="8"/>
  <c r="U4827" i="8"/>
  <c r="U4828" i="8"/>
  <c r="U4829" i="8"/>
  <c r="U4830" i="8"/>
  <c r="U4831" i="8"/>
  <c r="U4832" i="8"/>
  <c r="U4833" i="8"/>
  <c r="U4834" i="8"/>
  <c r="U4835" i="8"/>
  <c r="U4836" i="8"/>
  <c r="U4837" i="8"/>
  <c r="U4838" i="8"/>
  <c r="U4839" i="8"/>
  <c r="U4840" i="8"/>
  <c r="U4841" i="8"/>
  <c r="U4842" i="8"/>
  <c r="U4843" i="8"/>
  <c r="U4844" i="8"/>
  <c r="U4845" i="8"/>
  <c r="U4846" i="8"/>
  <c r="U4847" i="8"/>
  <c r="U4848" i="8"/>
  <c r="U4849" i="8"/>
  <c r="U4850" i="8"/>
  <c r="U4851" i="8"/>
  <c r="U4852" i="8"/>
  <c r="U4853" i="8"/>
  <c r="U4854" i="8"/>
  <c r="U4855" i="8"/>
  <c r="U4856" i="8"/>
  <c r="U4857" i="8"/>
  <c r="U4858" i="8"/>
  <c r="U4859" i="8"/>
  <c r="U4860" i="8"/>
  <c r="U4861" i="8"/>
  <c r="U4862" i="8"/>
  <c r="U4863" i="8"/>
  <c r="U4864" i="8"/>
  <c r="U4865" i="8"/>
  <c r="U4866" i="8"/>
  <c r="U4867" i="8"/>
  <c r="U4868" i="8"/>
  <c r="U4869" i="8"/>
  <c r="U4870" i="8"/>
  <c r="U4871" i="8"/>
  <c r="U4872" i="8"/>
  <c r="U4873" i="8"/>
  <c r="U4874" i="8"/>
  <c r="U4875" i="8"/>
  <c r="U4876" i="8"/>
  <c r="U4877" i="8"/>
  <c r="U4878" i="8"/>
  <c r="U4879" i="8"/>
  <c r="U4880" i="8"/>
  <c r="U4881" i="8"/>
  <c r="U4882" i="8"/>
  <c r="U4883" i="8"/>
  <c r="U4884" i="8"/>
  <c r="U4885" i="8"/>
  <c r="U4886" i="8"/>
  <c r="U4887" i="8"/>
  <c r="U4888" i="8"/>
  <c r="U4889" i="8"/>
  <c r="U4890" i="8"/>
  <c r="U4891" i="8"/>
  <c r="U4892" i="8"/>
  <c r="U4893" i="8"/>
  <c r="U4894" i="8"/>
  <c r="U4895" i="8"/>
  <c r="U4896" i="8"/>
  <c r="U4897" i="8"/>
  <c r="U4898" i="8"/>
  <c r="U4899" i="8"/>
  <c r="U4900" i="8"/>
  <c r="U4901" i="8"/>
  <c r="U4902" i="8"/>
  <c r="U4903" i="8"/>
  <c r="U4904" i="8"/>
  <c r="U4905" i="8"/>
  <c r="U4906" i="8"/>
  <c r="U4907" i="8"/>
  <c r="U4908" i="8"/>
  <c r="U4909" i="8"/>
  <c r="U4910" i="8"/>
  <c r="U4911" i="8"/>
  <c r="U4912" i="8"/>
  <c r="U4913" i="8"/>
  <c r="U4914" i="8"/>
  <c r="U4915" i="8"/>
  <c r="U4916" i="8"/>
  <c r="U4917" i="8"/>
  <c r="U4918" i="8"/>
  <c r="U4919" i="8"/>
  <c r="U4920" i="8"/>
  <c r="U4921" i="8"/>
  <c r="U4922" i="8"/>
  <c r="U4923" i="8"/>
  <c r="U4924" i="8"/>
  <c r="U4925" i="8"/>
  <c r="U4926" i="8"/>
  <c r="U4927" i="8"/>
  <c r="U4928" i="8"/>
  <c r="U4929" i="8"/>
  <c r="U4930" i="8"/>
  <c r="U4931" i="8"/>
  <c r="U4932" i="8"/>
  <c r="U4933" i="8"/>
  <c r="U4934" i="8"/>
  <c r="U4935" i="8"/>
  <c r="U4936" i="8"/>
  <c r="U4937" i="8"/>
  <c r="U4938" i="8"/>
  <c r="U4939" i="8"/>
  <c r="U4940" i="8"/>
  <c r="U4941" i="8"/>
  <c r="U4942" i="8"/>
  <c r="U4943" i="8"/>
  <c r="U4944" i="8"/>
  <c r="U4945" i="8"/>
  <c r="U4946" i="8"/>
  <c r="U4947" i="8"/>
  <c r="U4948" i="8"/>
  <c r="U4949" i="8"/>
  <c r="U4950" i="8"/>
  <c r="U4951" i="8"/>
  <c r="U4952" i="8"/>
  <c r="U4953" i="8"/>
  <c r="U4954" i="8"/>
  <c r="U4955" i="8"/>
  <c r="U4956" i="8"/>
  <c r="U4957" i="8"/>
  <c r="U4958" i="8"/>
  <c r="U4959" i="8"/>
  <c r="U4960" i="8"/>
  <c r="U4961" i="8"/>
  <c r="U4962" i="8"/>
  <c r="U4963" i="8"/>
  <c r="U4964" i="8"/>
  <c r="U4965" i="8"/>
  <c r="U4966" i="8"/>
  <c r="U4967" i="8"/>
  <c r="U4968" i="8"/>
  <c r="U4969" i="8"/>
  <c r="U4970" i="8"/>
  <c r="U4971" i="8"/>
  <c r="U4972" i="8"/>
  <c r="U4973" i="8"/>
  <c r="U4974" i="8"/>
  <c r="U4975" i="8"/>
  <c r="U4976" i="8"/>
  <c r="U4977" i="8"/>
  <c r="U4978" i="8"/>
  <c r="U4979" i="8"/>
  <c r="U4980" i="8"/>
  <c r="U4981" i="8"/>
  <c r="U4982" i="8"/>
  <c r="U4983" i="8"/>
  <c r="U4984" i="8"/>
  <c r="U4985" i="8"/>
  <c r="U4986" i="8"/>
  <c r="U4987" i="8"/>
  <c r="U4988" i="8"/>
  <c r="U4989" i="8"/>
  <c r="U4990" i="8"/>
  <c r="U4991" i="8"/>
  <c r="U4992" i="8"/>
  <c r="U4993" i="8"/>
  <c r="U4994" i="8"/>
  <c r="U4995" i="8"/>
  <c r="U4996" i="8"/>
  <c r="U4997" i="8"/>
  <c r="U4998" i="8"/>
  <c r="U4999" i="8"/>
  <c r="U5000" i="8"/>
  <c r="U5001" i="8"/>
  <c r="U5002" i="8"/>
  <c r="U5003" i="8"/>
  <c r="U5004" i="8"/>
  <c r="U5005" i="8"/>
  <c r="U5006" i="8"/>
  <c r="U5007" i="8"/>
  <c r="U5008" i="8"/>
  <c r="U5009" i="8"/>
  <c r="U5010" i="8"/>
  <c r="U5011" i="8"/>
  <c r="U5012" i="8"/>
  <c r="U5013" i="8"/>
  <c r="U5014" i="8"/>
  <c r="U5015" i="8"/>
  <c r="U5016" i="8"/>
  <c r="U5017" i="8"/>
  <c r="U5018" i="8"/>
  <c r="U5019" i="8"/>
  <c r="U5020" i="8"/>
  <c r="U5021" i="8"/>
  <c r="U5022" i="8"/>
  <c r="U5023" i="8"/>
  <c r="U5024" i="8"/>
  <c r="U5025" i="8"/>
  <c r="U5026" i="8"/>
  <c r="U5027" i="8"/>
  <c r="U5028" i="8"/>
  <c r="U5029" i="8"/>
  <c r="U5030" i="8"/>
  <c r="U5031" i="8"/>
  <c r="U5032" i="8"/>
  <c r="U5033" i="8"/>
  <c r="U5034" i="8"/>
  <c r="U5035" i="8"/>
  <c r="U5036" i="8"/>
  <c r="U5037" i="8"/>
  <c r="U5038" i="8"/>
  <c r="U5039" i="8"/>
  <c r="U5040" i="8"/>
  <c r="U5041" i="8"/>
  <c r="U5042" i="8"/>
  <c r="U5043" i="8"/>
  <c r="U5044" i="8"/>
  <c r="U5045" i="8"/>
  <c r="U5046" i="8"/>
  <c r="U5047" i="8"/>
  <c r="U5048" i="8"/>
  <c r="U5049" i="8"/>
  <c r="U5050" i="8"/>
  <c r="U5051" i="8"/>
  <c r="U5052" i="8"/>
  <c r="U5053" i="8"/>
  <c r="U5054" i="8"/>
  <c r="U5055" i="8"/>
  <c r="U5056" i="8"/>
  <c r="U5057" i="8"/>
  <c r="U5058" i="8"/>
  <c r="U5059" i="8"/>
  <c r="U5060" i="8"/>
  <c r="U5061" i="8"/>
  <c r="U5062" i="8"/>
  <c r="U5063" i="8"/>
  <c r="U5064" i="8"/>
  <c r="U5065" i="8"/>
  <c r="U5066" i="8"/>
  <c r="U5067" i="8"/>
  <c r="U5068" i="8"/>
  <c r="U5069" i="8"/>
  <c r="U5070" i="8"/>
  <c r="U5071" i="8"/>
  <c r="U5072" i="8"/>
  <c r="U5073" i="8"/>
  <c r="U5074" i="8"/>
  <c r="U5075" i="8"/>
  <c r="U5076" i="8"/>
  <c r="U5077" i="8"/>
  <c r="U5078" i="8"/>
  <c r="U5079" i="8"/>
  <c r="U5080" i="8"/>
  <c r="U5081" i="8"/>
  <c r="U5082" i="8"/>
  <c r="U5083" i="8"/>
  <c r="U5084" i="8"/>
  <c r="U5085" i="8"/>
  <c r="U5086" i="8"/>
  <c r="U5087" i="8"/>
  <c r="U5088" i="8"/>
  <c r="U5089" i="8"/>
  <c r="U5090" i="8"/>
  <c r="U5091" i="8"/>
  <c r="U5092" i="8"/>
  <c r="U5093" i="8"/>
  <c r="U5094" i="8"/>
  <c r="U5095" i="8"/>
  <c r="U5096" i="8"/>
  <c r="U5097" i="8"/>
  <c r="U5098" i="8"/>
  <c r="U5099" i="8"/>
  <c r="U5100" i="8"/>
  <c r="U5101" i="8"/>
  <c r="U5102" i="8"/>
  <c r="U5103" i="8"/>
  <c r="U5104" i="8"/>
  <c r="U5105" i="8"/>
  <c r="U5106" i="8"/>
  <c r="U5107" i="8"/>
  <c r="U5108" i="8"/>
  <c r="U5109" i="8"/>
  <c r="U5110" i="8"/>
  <c r="U5111" i="8"/>
  <c r="U5112" i="8"/>
  <c r="U5113" i="8"/>
  <c r="U5114" i="8"/>
  <c r="U5115" i="8"/>
  <c r="U5116" i="8"/>
  <c r="U5117" i="8"/>
  <c r="U5118" i="8"/>
  <c r="U5119" i="8"/>
  <c r="U5120" i="8"/>
  <c r="U5121" i="8"/>
  <c r="U5122" i="8"/>
  <c r="U5123" i="8"/>
  <c r="U5124" i="8"/>
  <c r="U5125" i="8"/>
  <c r="U5126" i="8"/>
  <c r="U5127" i="8"/>
  <c r="U5128" i="8"/>
  <c r="U5129" i="8"/>
  <c r="U5130" i="8"/>
  <c r="U5131" i="8"/>
  <c r="U5132" i="8"/>
  <c r="U5133" i="8"/>
  <c r="U5134" i="8"/>
  <c r="U5135" i="8"/>
  <c r="U5136" i="8"/>
  <c r="U5137" i="8"/>
  <c r="U5138" i="8"/>
  <c r="U5139" i="8"/>
  <c r="U5140" i="8"/>
  <c r="U5141" i="8"/>
  <c r="U5142" i="8"/>
  <c r="U5143" i="8"/>
  <c r="U5144" i="8"/>
  <c r="U5145" i="8"/>
  <c r="U5146" i="8"/>
  <c r="U5147" i="8"/>
  <c r="U5148" i="8"/>
  <c r="U5149" i="8"/>
  <c r="U5150" i="8"/>
  <c r="U5151" i="8"/>
  <c r="U5152" i="8"/>
  <c r="U5153" i="8"/>
  <c r="U5154" i="8"/>
  <c r="U5155" i="8"/>
  <c r="U5156" i="8"/>
  <c r="U5157" i="8"/>
  <c r="U5158" i="8"/>
  <c r="U5159" i="8"/>
  <c r="U5160" i="8"/>
  <c r="U5161" i="8"/>
  <c r="U5162" i="8"/>
  <c r="U5163" i="8"/>
  <c r="U5164" i="8"/>
  <c r="U5165" i="8"/>
  <c r="U5166" i="8"/>
  <c r="U5167" i="8"/>
  <c r="U5168" i="8"/>
  <c r="U5169" i="8"/>
  <c r="U5170" i="8"/>
  <c r="U5171" i="8"/>
  <c r="U5172" i="8"/>
  <c r="U5173" i="8"/>
  <c r="U5174" i="8"/>
  <c r="U5175" i="8"/>
  <c r="U5176" i="8"/>
  <c r="U5177" i="8"/>
  <c r="U5178" i="8"/>
  <c r="U5179" i="8"/>
  <c r="U5180" i="8"/>
  <c r="U5181" i="8"/>
  <c r="U5182" i="8"/>
  <c r="U5183" i="8"/>
  <c r="U5184" i="8"/>
  <c r="U5185" i="8"/>
  <c r="U5186" i="8"/>
  <c r="U5187" i="8"/>
  <c r="U5188" i="8"/>
  <c r="U5189" i="8"/>
  <c r="U5190" i="8"/>
  <c r="U5191" i="8"/>
  <c r="U5192" i="8"/>
  <c r="U5193" i="8"/>
  <c r="U5194" i="8"/>
  <c r="U5195" i="8"/>
  <c r="U5196" i="8"/>
  <c r="U5197" i="8"/>
  <c r="U5198" i="8"/>
  <c r="U5199" i="8"/>
  <c r="U5200" i="8"/>
  <c r="U5201" i="8"/>
  <c r="U5202" i="8"/>
  <c r="U5203" i="8"/>
  <c r="U5204" i="8"/>
  <c r="U5205" i="8"/>
  <c r="U5206" i="8"/>
  <c r="U5207" i="8"/>
  <c r="U5208" i="8"/>
  <c r="U5209" i="8"/>
  <c r="U5210" i="8"/>
  <c r="U5211" i="8"/>
  <c r="U5212" i="8"/>
  <c r="U5213" i="8"/>
  <c r="U5214" i="8"/>
  <c r="U5215" i="8"/>
  <c r="U5216" i="8"/>
  <c r="U5217" i="8"/>
  <c r="U5218" i="8"/>
  <c r="U5219" i="8"/>
  <c r="U5220" i="8"/>
  <c r="U5221" i="8"/>
  <c r="U5222" i="8"/>
  <c r="U5223" i="8"/>
  <c r="U5224" i="8"/>
  <c r="U5225" i="8"/>
  <c r="U5226" i="8"/>
  <c r="U5227" i="8"/>
  <c r="U5228" i="8"/>
  <c r="U5229" i="8"/>
  <c r="U5230" i="8"/>
  <c r="U5231" i="8"/>
  <c r="U5232" i="8"/>
  <c r="U5233" i="8"/>
  <c r="U5234" i="8"/>
  <c r="U5235" i="8"/>
  <c r="U5236" i="8"/>
  <c r="U5237" i="8"/>
  <c r="U5238" i="8"/>
  <c r="U5239" i="8"/>
  <c r="U5240" i="8"/>
  <c r="U5241" i="8"/>
  <c r="U5242" i="8"/>
  <c r="U5243" i="8"/>
  <c r="U5244" i="8"/>
  <c r="U5245" i="8"/>
  <c r="U5246" i="8"/>
  <c r="U5247" i="8"/>
  <c r="U5248" i="8"/>
  <c r="U5249" i="8"/>
  <c r="U5250" i="8"/>
  <c r="U5251" i="8"/>
  <c r="U5252" i="8"/>
  <c r="U5253" i="8"/>
  <c r="U5254" i="8"/>
  <c r="U5255" i="8"/>
  <c r="U5256" i="8"/>
  <c r="U5257" i="8"/>
  <c r="U5258" i="8"/>
  <c r="U5259" i="8"/>
  <c r="U5260" i="8"/>
  <c r="U5261" i="8"/>
  <c r="U5262" i="8"/>
  <c r="U5263" i="8"/>
  <c r="U5264" i="8"/>
  <c r="U5265" i="8"/>
  <c r="U5266" i="8"/>
  <c r="U5267" i="8"/>
  <c r="U5268" i="8"/>
  <c r="U5269" i="8"/>
  <c r="U5270" i="8"/>
  <c r="U5271" i="8"/>
  <c r="U5272" i="8"/>
  <c r="U5273" i="8"/>
  <c r="U5274" i="8"/>
  <c r="U5275" i="8"/>
  <c r="U5276" i="8"/>
  <c r="U5277" i="8"/>
  <c r="U5278" i="8"/>
  <c r="U5279" i="8"/>
  <c r="U5280" i="8"/>
  <c r="U5281" i="8"/>
  <c r="U5282" i="8"/>
  <c r="U5283" i="8"/>
  <c r="U5284" i="8"/>
  <c r="U5285" i="8"/>
  <c r="U5286" i="8"/>
  <c r="U5287" i="8"/>
  <c r="U5288" i="8"/>
  <c r="U5289" i="8"/>
  <c r="U5290" i="8"/>
  <c r="U5291" i="8"/>
  <c r="U5292" i="8"/>
  <c r="U5293" i="8"/>
  <c r="U5294" i="8"/>
  <c r="U5295" i="8"/>
  <c r="U5296" i="8"/>
  <c r="U5297" i="8"/>
  <c r="U5298" i="8"/>
  <c r="U5299" i="8"/>
  <c r="U5300" i="8"/>
  <c r="U5301" i="8"/>
  <c r="U5302" i="8"/>
  <c r="U5303" i="8"/>
  <c r="U5304" i="8"/>
  <c r="U5305" i="8"/>
  <c r="U5306" i="8"/>
  <c r="U5307" i="8"/>
  <c r="U5308" i="8"/>
  <c r="U5309" i="8"/>
  <c r="U5310" i="8"/>
  <c r="U5311" i="8"/>
  <c r="U5312" i="8"/>
  <c r="U5313" i="8"/>
  <c r="U5314" i="8"/>
  <c r="U5315" i="8"/>
  <c r="U5316" i="8"/>
  <c r="U5317" i="8"/>
  <c r="U5318" i="8"/>
  <c r="U5319" i="8"/>
  <c r="U5320" i="8"/>
  <c r="U5321" i="8"/>
  <c r="U5322" i="8"/>
  <c r="U5323" i="8"/>
  <c r="U5324" i="8"/>
  <c r="U5325" i="8"/>
  <c r="U5326" i="8"/>
  <c r="U5327" i="8"/>
  <c r="U5328" i="8"/>
  <c r="U5329" i="8"/>
  <c r="U5330" i="8"/>
  <c r="U5331" i="8"/>
  <c r="U5332" i="8"/>
  <c r="U5333" i="8"/>
  <c r="U5334" i="8"/>
  <c r="U5335" i="8"/>
  <c r="U5336" i="8"/>
  <c r="U5337" i="8"/>
  <c r="U5338" i="8"/>
  <c r="U5339" i="8"/>
  <c r="U5340" i="8"/>
  <c r="U5341" i="8"/>
  <c r="U5342" i="8"/>
  <c r="U5343" i="8"/>
  <c r="U5344" i="8"/>
  <c r="U5345" i="8"/>
  <c r="U5346" i="8"/>
  <c r="U5347" i="8"/>
  <c r="U5348" i="8"/>
  <c r="U5349" i="8"/>
  <c r="U5350" i="8"/>
  <c r="U5351" i="8"/>
  <c r="U5352" i="8"/>
  <c r="U5353" i="8"/>
  <c r="U5354" i="8"/>
  <c r="U5355" i="8"/>
  <c r="U5356" i="8"/>
  <c r="U5357" i="8"/>
  <c r="U5358" i="8"/>
  <c r="U5359" i="8"/>
  <c r="U5360" i="8"/>
  <c r="U5361" i="8"/>
  <c r="U5362" i="8"/>
  <c r="U5363" i="8"/>
  <c r="U5364" i="8"/>
  <c r="U5365" i="8"/>
  <c r="U5366" i="8"/>
  <c r="U5367" i="8"/>
  <c r="U5368" i="8"/>
  <c r="U5369" i="8"/>
  <c r="U5370" i="8"/>
  <c r="U5371" i="8"/>
  <c r="U5372" i="8"/>
  <c r="U5373" i="8"/>
  <c r="U5374" i="8"/>
  <c r="U5375" i="8"/>
  <c r="U5376" i="8"/>
  <c r="U5377" i="8"/>
  <c r="U5378" i="8"/>
  <c r="U5379" i="8"/>
  <c r="U5380" i="8"/>
  <c r="U5381" i="8"/>
  <c r="U5382" i="8"/>
  <c r="U5383" i="8"/>
  <c r="U5384" i="8"/>
  <c r="U5385" i="8"/>
  <c r="U5386" i="8"/>
  <c r="U5387" i="8"/>
  <c r="U5388" i="8"/>
  <c r="U5389" i="8"/>
  <c r="U5390" i="8"/>
  <c r="U5391" i="8"/>
  <c r="U5392" i="8"/>
  <c r="U5393" i="8"/>
  <c r="U5394" i="8"/>
  <c r="U5395" i="8"/>
  <c r="U5396" i="8"/>
  <c r="U5397" i="8"/>
  <c r="U5398" i="8"/>
  <c r="U5399" i="8"/>
  <c r="U5400" i="8"/>
  <c r="U5401" i="8"/>
  <c r="U5402" i="8"/>
  <c r="U5403" i="8"/>
  <c r="U5404" i="8"/>
  <c r="U5405" i="8"/>
  <c r="U5406" i="8"/>
  <c r="U5407" i="8"/>
  <c r="U5408" i="8"/>
  <c r="U5409" i="8"/>
  <c r="U5410" i="8"/>
  <c r="U5411" i="8"/>
  <c r="U5412" i="8"/>
  <c r="U5413" i="8"/>
  <c r="U5414" i="8"/>
  <c r="U5415" i="8"/>
  <c r="U5416" i="8"/>
  <c r="U5417" i="8"/>
  <c r="U5418" i="8"/>
  <c r="U5419" i="8"/>
  <c r="U5420" i="8"/>
  <c r="U5421" i="8"/>
  <c r="U5422" i="8"/>
  <c r="U5423" i="8"/>
  <c r="U5424" i="8"/>
  <c r="U5425" i="8"/>
  <c r="U5426" i="8"/>
  <c r="U5427" i="8"/>
  <c r="U5428" i="8"/>
  <c r="U5429" i="8"/>
  <c r="U5430" i="8"/>
  <c r="U5431" i="8"/>
  <c r="U5432" i="8"/>
  <c r="U5433" i="8"/>
  <c r="U5434" i="8"/>
  <c r="U5435" i="8"/>
  <c r="U5436" i="8"/>
  <c r="U5437" i="8"/>
  <c r="U5438" i="8"/>
  <c r="U5439" i="8"/>
  <c r="U5440" i="8"/>
  <c r="U5441" i="8"/>
  <c r="U5442" i="8"/>
  <c r="U5443" i="8"/>
  <c r="U5444" i="8"/>
  <c r="U5445" i="8"/>
  <c r="U5446" i="8"/>
  <c r="U5447" i="8"/>
  <c r="U5448" i="8"/>
  <c r="U5449" i="8"/>
  <c r="U5450" i="8"/>
  <c r="U5451" i="8"/>
  <c r="U5452" i="8"/>
  <c r="U5453" i="8"/>
  <c r="U5454" i="8"/>
  <c r="U5455" i="8"/>
  <c r="U5456" i="8"/>
  <c r="U5457" i="8"/>
  <c r="U5458" i="8"/>
  <c r="U5459" i="8"/>
  <c r="U5460" i="8"/>
  <c r="U5461" i="8"/>
  <c r="U5462" i="8"/>
  <c r="U5463" i="8"/>
  <c r="U5464" i="8"/>
  <c r="U5465" i="8"/>
  <c r="U5466" i="8"/>
  <c r="U5467" i="8"/>
  <c r="U5468" i="8"/>
  <c r="U5469" i="8"/>
  <c r="U5470" i="8"/>
  <c r="U5471" i="8"/>
  <c r="U5472" i="8"/>
  <c r="U5473" i="8"/>
  <c r="U5474" i="8"/>
  <c r="U5475" i="8"/>
  <c r="U5476" i="8"/>
  <c r="U5477" i="8"/>
  <c r="U5478" i="8"/>
  <c r="U5479" i="8"/>
  <c r="U5480" i="8"/>
  <c r="U5481" i="8"/>
  <c r="U5482" i="8"/>
  <c r="U5483" i="8"/>
  <c r="U5484" i="8"/>
  <c r="U5485" i="8"/>
  <c r="U5486" i="8"/>
  <c r="U5487" i="8"/>
  <c r="U5488" i="8"/>
  <c r="U5489" i="8"/>
  <c r="U5490" i="8"/>
  <c r="U5491" i="8"/>
  <c r="U5492" i="8"/>
  <c r="U5493" i="8"/>
  <c r="U5494" i="8"/>
  <c r="U5495" i="8"/>
  <c r="U5496" i="8"/>
  <c r="U5497" i="8"/>
  <c r="U5498" i="8"/>
  <c r="U5499" i="8"/>
  <c r="U5500" i="8"/>
  <c r="U5501" i="8"/>
  <c r="U5502" i="8"/>
  <c r="U5503" i="8"/>
  <c r="U5504" i="8"/>
  <c r="U5505" i="8"/>
  <c r="U5506" i="8"/>
  <c r="U5507" i="8"/>
  <c r="U5508" i="8"/>
  <c r="U5509" i="8"/>
  <c r="U5510" i="8"/>
  <c r="U5511" i="8"/>
  <c r="U5512" i="8"/>
  <c r="U5513" i="8"/>
  <c r="U5514" i="8"/>
  <c r="U5515" i="8"/>
  <c r="U5516" i="8"/>
  <c r="U5517" i="8"/>
  <c r="U5518" i="8"/>
  <c r="U5519" i="8"/>
  <c r="U5520" i="8"/>
  <c r="U5521" i="8"/>
  <c r="U5522" i="8"/>
  <c r="U5523" i="8"/>
  <c r="U5524" i="8"/>
  <c r="U5525" i="8"/>
  <c r="U5526" i="8"/>
  <c r="U5527" i="8"/>
  <c r="U5528" i="8"/>
  <c r="U5529" i="8"/>
  <c r="U5530" i="8"/>
  <c r="U5531" i="8"/>
  <c r="U5532" i="8"/>
  <c r="U5533" i="8"/>
  <c r="U5534" i="8"/>
  <c r="U5535" i="8"/>
  <c r="U5536" i="8"/>
  <c r="U5537" i="8"/>
  <c r="U5538" i="8"/>
  <c r="U5539" i="8"/>
  <c r="U5540" i="8"/>
  <c r="U5541" i="8"/>
  <c r="U5542" i="8"/>
  <c r="U5543" i="8"/>
  <c r="U5544" i="8"/>
  <c r="U5545" i="8"/>
  <c r="U5546" i="8"/>
  <c r="U5547" i="8"/>
  <c r="U5548" i="8"/>
  <c r="U5549" i="8"/>
  <c r="U5550" i="8"/>
  <c r="U5551" i="8"/>
  <c r="U5552" i="8"/>
  <c r="U5553" i="8"/>
  <c r="U5554" i="8"/>
  <c r="U5555" i="8"/>
  <c r="U5556" i="8"/>
  <c r="U5557" i="8"/>
  <c r="U5558" i="8"/>
  <c r="U5559" i="8"/>
  <c r="U5560" i="8"/>
  <c r="U5561" i="8"/>
  <c r="U5562" i="8"/>
  <c r="U5563" i="8"/>
  <c r="U5564" i="8"/>
  <c r="U5565" i="8"/>
  <c r="U5566" i="8"/>
  <c r="U5567" i="8"/>
  <c r="U5568" i="8"/>
  <c r="U5569" i="8"/>
  <c r="U5570" i="8"/>
  <c r="U5571" i="8"/>
  <c r="U5572" i="8"/>
  <c r="U5573" i="8"/>
  <c r="U5574" i="8"/>
  <c r="U5575" i="8"/>
  <c r="U5576" i="8"/>
  <c r="U5577" i="8"/>
  <c r="U5578" i="8"/>
  <c r="U5579" i="8"/>
  <c r="U5580" i="8"/>
  <c r="U5581" i="8"/>
  <c r="U5582" i="8"/>
  <c r="U5583" i="8"/>
  <c r="U5584" i="8"/>
  <c r="U5585" i="8"/>
  <c r="U5586" i="8"/>
  <c r="U5587" i="8"/>
  <c r="U5588" i="8"/>
  <c r="U5589" i="8"/>
  <c r="U5590" i="8"/>
  <c r="U5591" i="8"/>
  <c r="U5592" i="8"/>
  <c r="U5593" i="8"/>
  <c r="U5594" i="8"/>
  <c r="U5595" i="8"/>
  <c r="U5596" i="8"/>
  <c r="U5597" i="8"/>
  <c r="U5598" i="8"/>
  <c r="U5599" i="8"/>
  <c r="U5600" i="8"/>
  <c r="U5601" i="8"/>
  <c r="U5602" i="8"/>
  <c r="U5603" i="8"/>
  <c r="U5604" i="8"/>
  <c r="U5605" i="8"/>
  <c r="U5606" i="8"/>
  <c r="U5607" i="8"/>
  <c r="U5608" i="8"/>
  <c r="U5609" i="8"/>
  <c r="U5610" i="8"/>
  <c r="U5611" i="8"/>
  <c r="U5612" i="8"/>
  <c r="U5613" i="8"/>
  <c r="U5614" i="8"/>
  <c r="U5615" i="8"/>
  <c r="U5616" i="8"/>
  <c r="U5617" i="8"/>
  <c r="U5618" i="8"/>
  <c r="U5619" i="8"/>
  <c r="U5620" i="8"/>
  <c r="U5621" i="8"/>
  <c r="U5622" i="8"/>
  <c r="U5623" i="8"/>
  <c r="U5624" i="8"/>
  <c r="U5625" i="8"/>
  <c r="U5626" i="8"/>
  <c r="U5627" i="8"/>
  <c r="U5628" i="8"/>
  <c r="U5629" i="8"/>
  <c r="U5630" i="8"/>
  <c r="U5631" i="8"/>
  <c r="U5632" i="8"/>
  <c r="U5633" i="8"/>
  <c r="U5634" i="8"/>
  <c r="U5635" i="8"/>
  <c r="U5636" i="8"/>
  <c r="U5637" i="8"/>
  <c r="U5638" i="8"/>
  <c r="U5639" i="8"/>
  <c r="U5640" i="8"/>
  <c r="U5641" i="8"/>
  <c r="U5642" i="8"/>
  <c r="U5643" i="8"/>
  <c r="U5644" i="8"/>
  <c r="U5645" i="8"/>
  <c r="U5646" i="8"/>
  <c r="U5647" i="8"/>
  <c r="U5648" i="8"/>
  <c r="U5649" i="8"/>
  <c r="U5650" i="8"/>
  <c r="U5651" i="8"/>
  <c r="U5652" i="8"/>
  <c r="U5653" i="8"/>
  <c r="U5654" i="8"/>
  <c r="U5655" i="8"/>
  <c r="U5656" i="8"/>
  <c r="U5657" i="8"/>
  <c r="U5658" i="8"/>
  <c r="U5659" i="8"/>
  <c r="U5660" i="8"/>
  <c r="U5661" i="8"/>
  <c r="U5662" i="8"/>
  <c r="U5663" i="8"/>
  <c r="U5664" i="8"/>
  <c r="U5665" i="8"/>
  <c r="U5666" i="8"/>
  <c r="U5667" i="8"/>
  <c r="U5668" i="8"/>
  <c r="U5669" i="8"/>
  <c r="U5670" i="8"/>
  <c r="U5671" i="8"/>
  <c r="U5672" i="8"/>
  <c r="U5673" i="8"/>
  <c r="U5674" i="8"/>
  <c r="U5675" i="8"/>
  <c r="U5676" i="8"/>
  <c r="U5677" i="8"/>
  <c r="U5678" i="8"/>
  <c r="U5679" i="8"/>
  <c r="U5680" i="8"/>
  <c r="U5681" i="8"/>
  <c r="U5682" i="8"/>
  <c r="U5683" i="8"/>
  <c r="U5684" i="8"/>
  <c r="U5685" i="8"/>
  <c r="U5686" i="8"/>
  <c r="U5687" i="8"/>
  <c r="U5688" i="8"/>
  <c r="U5689" i="8"/>
  <c r="U5690" i="8"/>
  <c r="U5691" i="8"/>
  <c r="U5692" i="8"/>
  <c r="U5693" i="8"/>
  <c r="U5694" i="8"/>
  <c r="U5695" i="8"/>
  <c r="U5696" i="8"/>
  <c r="U5697" i="8"/>
  <c r="U5698" i="8"/>
  <c r="U5699" i="8"/>
  <c r="U5700" i="8"/>
  <c r="U5701" i="8"/>
  <c r="U5702" i="8"/>
  <c r="U5703" i="8"/>
  <c r="U5704" i="8"/>
  <c r="U5705" i="8"/>
  <c r="U5706" i="8"/>
  <c r="U5707" i="8"/>
  <c r="U5708" i="8"/>
  <c r="U5709" i="8"/>
  <c r="U5710" i="8"/>
  <c r="U5711" i="8"/>
  <c r="U5712" i="8"/>
  <c r="U5713" i="8"/>
  <c r="U5714" i="8"/>
  <c r="U5715" i="8"/>
  <c r="U5716" i="8"/>
  <c r="U5717" i="8"/>
  <c r="U5718" i="8"/>
  <c r="U5719" i="8"/>
  <c r="U5720" i="8"/>
  <c r="U5721" i="8"/>
  <c r="U5722" i="8"/>
  <c r="U5723" i="8"/>
  <c r="U5724" i="8"/>
  <c r="U5725" i="8"/>
  <c r="U5726" i="8"/>
  <c r="U5727" i="8"/>
  <c r="U5728" i="8"/>
  <c r="U5729" i="8"/>
  <c r="U5730" i="8"/>
  <c r="U5731" i="8"/>
  <c r="U5732" i="8"/>
  <c r="U5733" i="8"/>
  <c r="U5734" i="8"/>
  <c r="U5735" i="8"/>
  <c r="U5736" i="8"/>
  <c r="U5737" i="8"/>
  <c r="U5738" i="8"/>
  <c r="U5739" i="8"/>
  <c r="U5740" i="8"/>
  <c r="U5741" i="8"/>
  <c r="U5742" i="8"/>
  <c r="U5743" i="8"/>
  <c r="U5744" i="8"/>
  <c r="U5745" i="8"/>
  <c r="U5746" i="8"/>
  <c r="U5747" i="8"/>
  <c r="U5748" i="8"/>
  <c r="U5749" i="8"/>
  <c r="U5750" i="8"/>
  <c r="U5751" i="8"/>
  <c r="U5752" i="8"/>
  <c r="U5753" i="8"/>
  <c r="U5754" i="8"/>
  <c r="U5755" i="8"/>
  <c r="U5756" i="8"/>
  <c r="U5757" i="8"/>
  <c r="U5758" i="8"/>
  <c r="U5759" i="8"/>
  <c r="U5760" i="8"/>
  <c r="U5761" i="8"/>
  <c r="U5762" i="8"/>
  <c r="U5763" i="8"/>
  <c r="U5764" i="8"/>
  <c r="U5765" i="8"/>
  <c r="U5766" i="8"/>
  <c r="U5767" i="8"/>
  <c r="U5768" i="8"/>
  <c r="U5769" i="8"/>
  <c r="U5770" i="8"/>
  <c r="U5771" i="8"/>
  <c r="U5772" i="8"/>
  <c r="U5773" i="8"/>
  <c r="U5774" i="8"/>
  <c r="U5775" i="8"/>
  <c r="U5776" i="8"/>
  <c r="U5777" i="8"/>
  <c r="U5778" i="8"/>
  <c r="U5779" i="8"/>
  <c r="U5780" i="8"/>
  <c r="U5781" i="8"/>
  <c r="U5782" i="8"/>
  <c r="U5783" i="8"/>
  <c r="U5784" i="8"/>
  <c r="U5785" i="8"/>
  <c r="U5786" i="8"/>
  <c r="U5787" i="8"/>
  <c r="U5788" i="8"/>
  <c r="U5789" i="8"/>
  <c r="U5790" i="8"/>
  <c r="U5791" i="8"/>
  <c r="U5792" i="8"/>
  <c r="U5793" i="8"/>
  <c r="U5794" i="8"/>
  <c r="U5795" i="8"/>
  <c r="U5796" i="8"/>
  <c r="U5797" i="8"/>
  <c r="U5798" i="8"/>
  <c r="U5799" i="8"/>
  <c r="U5800" i="8"/>
  <c r="U5801" i="8"/>
  <c r="U5802" i="8"/>
  <c r="U5803" i="8"/>
  <c r="U5804" i="8"/>
  <c r="U5805" i="8"/>
  <c r="U5806" i="8"/>
  <c r="U5807" i="8"/>
  <c r="U5808" i="8"/>
  <c r="U5809" i="8"/>
  <c r="U5810" i="8"/>
  <c r="U5811" i="8"/>
  <c r="U5812" i="8"/>
  <c r="U5813" i="8"/>
  <c r="U5814" i="8"/>
  <c r="U5815" i="8"/>
  <c r="U5816" i="8"/>
  <c r="U5817" i="8"/>
  <c r="U5818" i="8"/>
  <c r="U5819" i="8"/>
  <c r="U5820" i="8"/>
  <c r="U5821" i="8"/>
  <c r="U5822" i="8"/>
  <c r="U5823" i="8"/>
  <c r="U5824" i="8"/>
  <c r="U5825" i="8"/>
  <c r="U5826" i="8"/>
  <c r="U5827" i="8"/>
  <c r="U5828" i="8"/>
  <c r="U5829" i="8"/>
  <c r="U5830" i="8"/>
  <c r="U5831" i="8"/>
  <c r="U5832" i="8"/>
  <c r="U5833" i="8"/>
  <c r="U5834" i="8"/>
  <c r="U5835" i="8"/>
  <c r="U5836" i="8"/>
  <c r="U5837" i="8"/>
  <c r="U5838" i="8"/>
  <c r="U5839" i="8"/>
  <c r="U5840" i="8"/>
  <c r="U5841" i="8"/>
  <c r="U5842" i="8"/>
  <c r="U5843" i="8"/>
  <c r="U5844" i="8"/>
  <c r="U5845" i="8"/>
  <c r="U5846" i="8"/>
  <c r="U5847" i="8"/>
  <c r="U5848" i="8"/>
  <c r="U5849" i="8"/>
  <c r="U5850" i="8"/>
  <c r="U5851" i="8"/>
  <c r="U5852" i="8"/>
  <c r="U5853" i="8"/>
  <c r="U5854" i="8"/>
  <c r="U5855" i="8"/>
  <c r="U5856" i="8"/>
  <c r="U5857" i="8"/>
  <c r="U5858" i="8"/>
  <c r="U5859" i="8"/>
  <c r="U5860" i="8"/>
  <c r="U5861" i="8"/>
  <c r="U5862" i="8"/>
  <c r="U5863" i="8"/>
  <c r="U5864" i="8"/>
  <c r="U5865" i="8"/>
  <c r="U5866" i="8"/>
  <c r="U5867" i="8"/>
  <c r="U5868" i="8"/>
  <c r="U5869" i="8"/>
  <c r="U5870" i="8"/>
  <c r="U5871" i="8"/>
  <c r="U5872" i="8"/>
  <c r="U5873" i="8"/>
  <c r="U5874" i="8"/>
  <c r="U5875" i="8"/>
  <c r="U5876" i="8"/>
  <c r="U5877" i="8"/>
  <c r="U5878" i="8"/>
  <c r="U5879" i="8"/>
  <c r="U5880" i="8"/>
  <c r="U5881" i="8"/>
  <c r="U5882" i="8"/>
  <c r="U5883" i="8"/>
  <c r="U5884" i="8"/>
  <c r="U5885" i="8"/>
  <c r="U5886" i="8"/>
  <c r="U5887" i="8"/>
  <c r="U5888" i="8"/>
  <c r="U5889" i="8"/>
  <c r="U5890" i="8"/>
  <c r="U5891" i="8"/>
  <c r="U5892" i="8"/>
  <c r="U5893" i="8"/>
  <c r="U5894" i="8"/>
  <c r="U5895" i="8"/>
  <c r="U5896" i="8"/>
  <c r="U5897" i="8"/>
  <c r="U5898" i="8"/>
  <c r="U5899" i="8"/>
  <c r="U5900" i="8"/>
  <c r="U5901" i="8"/>
  <c r="U5902" i="8"/>
  <c r="U5903" i="8"/>
  <c r="U5904" i="8"/>
  <c r="U5905" i="8"/>
  <c r="U5906" i="8"/>
  <c r="U5907" i="8"/>
  <c r="U5908" i="8"/>
  <c r="U5909" i="8"/>
  <c r="U5910" i="8"/>
  <c r="U5911" i="8"/>
  <c r="U5912" i="8"/>
  <c r="U5913" i="8"/>
  <c r="U5914" i="8"/>
  <c r="U5915" i="8"/>
  <c r="U5916" i="8"/>
  <c r="U5917" i="8"/>
  <c r="U5918" i="8"/>
  <c r="U5919" i="8"/>
  <c r="U5920" i="8"/>
  <c r="U5921" i="8"/>
  <c r="U5922" i="8"/>
  <c r="U5923" i="8"/>
  <c r="U5924" i="8"/>
  <c r="U5925" i="8"/>
  <c r="U5926" i="8"/>
  <c r="U5927" i="8"/>
  <c r="U5928" i="8"/>
  <c r="U5929" i="8"/>
  <c r="U5930" i="8"/>
  <c r="U5931" i="8"/>
  <c r="U5932" i="8"/>
  <c r="U5933" i="8"/>
  <c r="U5934" i="8"/>
  <c r="U5935" i="8"/>
  <c r="U5936" i="8"/>
  <c r="U5937" i="8"/>
  <c r="U5938" i="8"/>
  <c r="U5939" i="8"/>
  <c r="U5940" i="8"/>
  <c r="U5941" i="8"/>
  <c r="U5942" i="8"/>
  <c r="U5943" i="8"/>
  <c r="U5944" i="8"/>
  <c r="U5945" i="8"/>
  <c r="U5946" i="8"/>
  <c r="U5947" i="8"/>
  <c r="U5948" i="8"/>
  <c r="U5949" i="8"/>
  <c r="U5950" i="8"/>
  <c r="U5951" i="8"/>
  <c r="U5952" i="8"/>
  <c r="U5953" i="8"/>
  <c r="U5954" i="8"/>
  <c r="U5955" i="8"/>
  <c r="U5956" i="8"/>
  <c r="U5957" i="8"/>
  <c r="U5958" i="8"/>
  <c r="U5959" i="8"/>
  <c r="U5960" i="8"/>
  <c r="U5961" i="8"/>
  <c r="U5962" i="8"/>
  <c r="U5963" i="8"/>
  <c r="U5964" i="8"/>
  <c r="U5965" i="8"/>
  <c r="U5966" i="8"/>
  <c r="U5967" i="8"/>
  <c r="U5968" i="8"/>
  <c r="U5969" i="8"/>
  <c r="U5970" i="8"/>
  <c r="U5971" i="8"/>
  <c r="U5972" i="8"/>
  <c r="U5973" i="8"/>
  <c r="U5974" i="8"/>
  <c r="U5975" i="8"/>
  <c r="U5976" i="8"/>
  <c r="U5977" i="8"/>
  <c r="U5978" i="8"/>
  <c r="U5979" i="8"/>
  <c r="U5980" i="8"/>
  <c r="U5981" i="8"/>
  <c r="U5982" i="8"/>
  <c r="U5983" i="8"/>
  <c r="U5984" i="8"/>
  <c r="U5985" i="8"/>
  <c r="U5986" i="8"/>
  <c r="U5987" i="8"/>
  <c r="U5988" i="8"/>
  <c r="U5989" i="8"/>
  <c r="U5990" i="8"/>
  <c r="U5991" i="8"/>
  <c r="U5992" i="8"/>
  <c r="U5993" i="8"/>
  <c r="U5994" i="8"/>
  <c r="U5995" i="8"/>
  <c r="U5996" i="8"/>
  <c r="U5997" i="8"/>
  <c r="U5998" i="8"/>
  <c r="U5999" i="8"/>
  <c r="U6000" i="8"/>
  <c r="U2" i="8"/>
  <c r="G2" i="1"/>
  <c r="A4149" i="8"/>
  <c r="A4150" i="8"/>
  <c r="V4150" i="8" s="1"/>
  <c r="A4151" i="8"/>
  <c r="V4151" i="8" s="1"/>
  <c r="A4152" i="8"/>
  <c r="V4152" i="8" s="1"/>
  <c r="A4153" i="8"/>
  <c r="V4153" i="8" s="1"/>
  <c r="A4154" i="8"/>
  <c r="V4154" i="8" s="1"/>
  <c r="A4155" i="8"/>
  <c r="V4155" i="8" s="1"/>
  <c r="A4156" i="8"/>
  <c r="V4156" i="8" s="1"/>
  <c r="A4157" i="8"/>
  <c r="V4157" i="8" s="1"/>
  <c r="A4158" i="8"/>
  <c r="V4158" i="8" s="1"/>
  <c r="A4159" i="8"/>
  <c r="V4159" i="8" s="1"/>
  <c r="A4160" i="8"/>
  <c r="V4160" i="8" s="1"/>
  <c r="A4161" i="8"/>
  <c r="V4161" i="8" s="1"/>
  <c r="A4162" i="8"/>
  <c r="V4162" i="8" s="1"/>
  <c r="A4163" i="8"/>
  <c r="V4163" i="8" s="1"/>
  <c r="A4164" i="8"/>
  <c r="V4164" i="8" s="1"/>
  <c r="A4165" i="8"/>
  <c r="V4165" i="8" s="1"/>
  <c r="A4166" i="8"/>
  <c r="V4166" i="8" s="1"/>
  <c r="A4167" i="8"/>
  <c r="V4167" i="8" s="1"/>
  <c r="A4168" i="8"/>
  <c r="V4168" i="8" s="1"/>
  <c r="A4169" i="8"/>
  <c r="V4169" i="8" s="1"/>
  <c r="A4170" i="8"/>
  <c r="V4170" i="8" s="1"/>
  <c r="A4171" i="8"/>
  <c r="V4171" i="8" s="1"/>
  <c r="A4172" i="8"/>
  <c r="V4172" i="8" s="1"/>
  <c r="A4173" i="8"/>
  <c r="V4173" i="8" s="1"/>
  <c r="A4174" i="8"/>
  <c r="V4174" i="8" s="1"/>
  <c r="A4175" i="8"/>
  <c r="V4175" i="8" s="1"/>
  <c r="A4176" i="8"/>
  <c r="V4176" i="8" s="1"/>
  <c r="A4177" i="8"/>
  <c r="V4177" i="8" s="1"/>
  <c r="A4178" i="8"/>
  <c r="V4178" i="8" s="1"/>
  <c r="A4179" i="8"/>
  <c r="V4179" i="8" s="1"/>
  <c r="A4180" i="8"/>
  <c r="V4180" i="8" s="1"/>
  <c r="A4181" i="8"/>
  <c r="V4181" i="8" s="1"/>
  <c r="A4182" i="8"/>
  <c r="V4182" i="8" s="1"/>
  <c r="A4183" i="8"/>
  <c r="V4183" i="8" s="1"/>
  <c r="A4184" i="8"/>
  <c r="V4184" i="8" s="1"/>
  <c r="A4185" i="8"/>
  <c r="V4185" i="8" s="1"/>
  <c r="A4186" i="8"/>
  <c r="V4186" i="8" s="1"/>
  <c r="A4187" i="8"/>
  <c r="V4187" i="8" s="1"/>
  <c r="A4188" i="8"/>
  <c r="V4188" i="8" s="1"/>
  <c r="A4189" i="8"/>
  <c r="V4189" i="8" s="1"/>
  <c r="A4190" i="8"/>
  <c r="V4190" i="8" s="1"/>
  <c r="A4191" i="8"/>
  <c r="V4191" i="8" s="1"/>
  <c r="A4192" i="8"/>
  <c r="V4192" i="8" s="1"/>
  <c r="A4193" i="8"/>
  <c r="V4193" i="8" s="1"/>
  <c r="A4194" i="8"/>
  <c r="V4194" i="8" s="1"/>
  <c r="A4195" i="8"/>
  <c r="V4195" i="8" s="1"/>
  <c r="A4196" i="8"/>
  <c r="V4196" i="8" s="1"/>
  <c r="A4197" i="8"/>
  <c r="V4197" i="8" s="1"/>
  <c r="A4198" i="8"/>
  <c r="V4198" i="8" s="1"/>
  <c r="A4199" i="8"/>
  <c r="V4199" i="8" s="1"/>
  <c r="A4200" i="8"/>
  <c r="V4200" i="8" s="1"/>
  <c r="A4201" i="8"/>
  <c r="V4201" i="8" s="1"/>
  <c r="A4202" i="8"/>
  <c r="V4202" i="8" s="1"/>
  <c r="A4203" i="8"/>
  <c r="V4203" i="8" s="1"/>
  <c r="A4204" i="8"/>
  <c r="V4204" i="8" s="1"/>
  <c r="A4205" i="8"/>
  <c r="V4205" i="8" s="1"/>
  <c r="A4206" i="8"/>
  <c r="V4206" i="8" s="1"/>
  <c r="A4207" i="8"/>
  <c r="V4207" i="8" s="1"/>
  <c r="A4208" i="8"/>
  <c r="V4208" i="8" s="1"/>
  <c r="A4209" i="8"/>
  <c r="V4209" i="8" s="1"/>
  <c r="A4210" i="8"/>
  <c r="V4210" i="8" s="1"/>
  <c r="A4211" i="8"/>
  <c r="V4211" i="8" s="1"/>
  <c r="A4212" i="8"/>
  <c r="V4212" i="8" s="1"/>
  <c r="A4213" i="8"/>
  <c r="V4213" i="8" s="1"/>
  <c r="A4214" i="8"/>
  <c r="V4214" i="8" s="1"/>
  <c r="A4215" i="8"/>
  <c r="V4215" i="8" s="1"/>
  <c r="A4216" i="8"/>
  <c r="V4216" i="8" s="1"/>
  <c r="A4217" i="8"/>
  <c r="V4217" i="8" s="1"/>
  <c r="A4218" i="8"/>
  <c r="V4218" i="8" s="1"/>
  <c r="A4219" i="8"/>
  <c r="V4219" i="8" s="1"/>
  <c r="A4220" i="8"/>
  <c r="V4220" i="8" s="1"/>
  <c r="A4221" i="8"/>
  <c r="V4221" i="8" s="1"/>
  <c r="A4222" i="8"/>
  <c r="V4222" i="8" s="1"/>
  <c r="A4223" i="8"/>
  <c r="V4223" i="8" s="1"/>
  <c r="A4224" i="8"/>
  <c r="V4224" i="8" s="1"/>
  <c r="A4225" i="8"/>
  <c r="V4225" i="8" s="1"/>
  <c r="A4226" i="8"/>
  <c r="V4226" i="8" s="1"/>
  <c r="A4227" i="8"/>
  <c r="V4227" i="8" s="1"/>
  <c r="A4228" i="8"/>
  <c r="V4228" i="8" s="1"/>
  <c r="A4229" i="8"/>
  <c r="V4229" i="8" s="1"/>
  <c r="A4230" i="8"/>
  <c r="V4230" i="8" s="1"/>
  <c r="A4231" i="8"/>
  <c r="V4231" i="8" s="1"/>
  <c r="A4232" i="8"/>
  <c r="V4232" i="8" s="1"/>
  <c r="A4233" i="8"/>
  <c r="V4233" i="8" s="1"/>
  <c r="A4234" i="8"/>
  <c r="V4234" i="8" s="1"/>
  <c r="A4235" i="8"/>
  <c r="V4235" i="8" s="1"/>
  <c r="A4236" i="8"/>
  <c r="V4236" i="8" s="1"/>
  <c r="A4237" i="8"/>
  <c r="V4237" i="8" s="1"/>
  <c r="A4238" i="8"/>
  <c r="V4238" i="8" s="1"/>
  <c r="A4239" i="8"/>
  <c r="V4239" i="8" s="1"/>
  <c r="A4240" i="8"/>
  <c r="V4240" i="8" s="1"/>
  <c r="A4241" i="8"/>
  <c r="V4241" i="8" s="1"/>
  <c r="A4242" i="8"/>
  <c r="V4242" i="8" s="1"/>
  <c r="A4243" i="8"/>
  <c r="V4243" i="8" s="1"/>
  <c r="A4244" i="8"/>
  <c r="V4244" i="8" s="1"/>
  <c r="A4245" i="8"/>
  <c r="V4245" i="8" s="1"/>
  <c r="A4246" i="8"/>
  <c r="V4246" i="8" s="1"/>
  <c r="A4247" i="8"/>
  <c r="V4247" i="8" s="1"/>
  <c r="A4248" i="8"/>
  <c r="V4248" i="8" s="1"/>
  <c r="A4249" i="8"/>
  <c r="V4249" i="8" s="1"/>
  <c r="A4250" i="8"/>
  <c r="V4250" i="8" s="1"/>
  <c r="A4251" i="8"/>
  <c r="V4251" i="8" s="1"/>
  <c r="A4252" i="8"/>
  <c r="V4252" i="8" s="1"/>
  <c r="A4253" i="8"/>
  <c r="V4253" i="8" s="1"/>
  <c r="A4254" i="8"/>
  <c r="V4254" i="8" s="1"/>
  <c r="A4255" i="8"/>
  <c r="V4255" i="8" s="1"/>
  <c r="A4256" i="8"/>
  <c r="V4256" i="8" s="1"/>
  <c r="A4257" i="8"/>
  <c r="V4257" i="8" s="1"/>
  <c r="A4258" i="8"/>
  <c r="V4258" i="8" s="1"/>
  <c r="A4259" i="8"/>
  <c r="V4259" i="8" s="1"/>
  <c r="A4260" i="8"/>
  <c r="V4260" i="8" s="1"/>
  <c r="A4261" i="8"/>
  <c r="V4261" i="8" s="1"/>
  <c r="A4262" i="8"/>
  <c r="V4262" i="8" s="1"/>
  <c r="A4263" i="8"/>
  <c r="V4263" i="8" s="1"/>
  <c r="A4264" i="8"/>
  <c r="V4264" i="8" s="1"/>
  <c r="A4265" i="8"/>
  <c r="V4265" i="8" s="1"/>
  <c r="A4266" i="8"/>
  <c r="V4266" i="8" s="1"/>
  <c r="A4267" i="8"/>
  <c r="V4267" i="8" s="1"/>
  <c r="A4268" i="8"/>
  <c r="V4268" i="8" s="1"/>
  <c r="A4269" i="8"/>
  <c r="V4269" i="8" s="1"/>
  <c r="A4270" i="8"/>
  <c r="V4270" i="8" s="1"/>
  <c r="A4271" i="8"/>
  <c r="V4271" i="8" s="1"/>
  <c r="A4272" i="8"/>
  <c r="V4272" i="8" s="1"/>
  <c r="A4273" i="8"/>
  <c r="V4273" i="8" s="1"/>
  <c r="A4274" i="8"/>
  <c r="V4274" i="8" s="1"/>
  <c r="A4275" i="8"/>
  <c r="V4275" i="8" s="1"/>
  <c r="A4276" i="8"/>
  <c r="V4276" i="8" s="1"/>
  <c r="A4277" i="8"/>
  <c r="V4277" i="8" s="1"/>
  <c r="A4278" i="8"/>
  <c r="V4278" i="8" s="1"/>
  <c r="A4279" i="8"/>
  <c r="V4279" i="8" s="1"/>
  <c r="A4280" i="8"/>
  <c r="V4280" i="8" s="1"/>
  <c r="A4281" i="8"/>
  <c r="V4281" i="8" s="1"/>
  <c r="A4282" i="8"/>
  <c r="V4282" i="8" s="1"/>
  <c r="A4283" i="8"/>
  <c r="V4283" i="8" s="1"/>
  <c r="A4284" i="8"/>
  <c r="V4284" i="8" s="1"/>
  <c r="A4285" i="8"/>
  <c r="V4285" i="8" s="1"/>
  <c r="A4286" i="8"/>
  <c r="V4286" i="8" s="1"/>
  <c r="A4287" i="8"/>
  <c r="V4287" i="8" s="1"/>
  <c r="A4288" i="8"/>
  <c r="V4288" i="8" s="1"/>
  <c r="A4289" i="8"/>
  <c r="V4289" i="8" s="1"/>
  <c r="A4290" i="8"/>
  <c r="V4290" i="8" s="1"/>
  <c r="A4291" i="8"/>
  <c r="V4291" i="8" s="1"/>
  <c r="A4292" i="8"/>
  <c r="V4292" i="8" s="1"/>
  <c r="A4293" i="8"/>
  <c r="V4293" i="8" s="1"/>
  <c r="A4294" i="8"/>
  <c r="V4294" i="8" s="1"/>
  <c r="A4295" i="8"/>
  <c r="V4295" i="8" s="1"/>
  <c r="A4296" i="8"/>
  <c r="V4296" i="8" s="1"/>
  <c r="A4297" i="8"/>
  <c r="V4297" i="8" s="1"/>
  <c r="A4298" i="8"/>
  <c r="V4298" i="8" s="1"/>
  <c r="A4299" i="8"/>
  <c r="V4299" i="8" s="1"/>
  <c r="A4300" i="8"/>
  <c r="V4300" i="8" s="1"/>
  <c r="A4301" i="8"/>
  <c r="V4301" i="8" s="1"/>
  <c r="A4302" i="8"/>
  <c r="V4302" i="8" s="1"/>
  <c r="A4303" i="8"/>
  <c r="V4303" i="8" s="1"/>
  <c r="A4304" i="8"/>
  <c r="V4304" i="8" s="1"/>
  <c r="A4305" i="8"/>
  <c r="V4305" i="8" s="1"/>
  <c r="A4306" i="8"/>
  <c r="V4306" i="8" s="1"/>
  <c r="A4307" i="8"/>
  <c r="V4307" i="8" s="1"/>
  <c r="A4308" i="8"/>
  <c r="V4308" i="8" s="1"/>
  <c r="A4309" i="8"/>
  <c r="V4309" i="8" s="1"/>
  <c r="A4310" i="8"/>
  <c r="V4310" i="8" s="1"/>
  <c r="A4311" i="8"/>
  <c r="V4311" i="8" s="1"/>
  <c r="A4312" i="8"/>
  <c r="V4312" i="8" s="1"/>
  <c r="A4313" i="8"/>
  <c r="V4313" i="8" s="1"/>
  <c r="A4314" i="8"/>
  <c r="V4314" i="8" s="1"/>
  <c r="A4315" i="8"/>
  <c r="V4315" i="8" s="1"/>
  <c r="A4316" i="8"/>
  <c r="V4316" i="8" s="1"/>
  <c r="A4317" i="8"/>
  <c r="V4317" i="8" s="1"/>
  <c r="A4318" i="8"/>
  <c r="V4318" i="8" s="1"/>
  <c r="A4319" i="8"/>
  <c r="V4319" i="8" s="1"/>
  <c r="A4320" i="8"/>
  <c r="V4320" i="8" s="1"/>
  <c r="A4321" i="8"/>
  <c r="V4321" i="8" s="1"/>
  <c r="A4322" i="8"/>
  <c r="V4322" i="8" s="1"/>
  <c r="A4323" i="8"/>
  <c r="V4323" i="8" s="1"/>
  <c r="A4324" i="8"/>
  <c r="V4324" i="8" s="1"/>
  <c r="A4325" i="8"/>
  <c r="V4325" i="8" s="1"/>
  <c r="A4326" i="8"/>
  <c r="V4326" i="8" s="1"/>
  <c r="A4327" i="8"/>
  <c r="V4327" i="8" s="1"/>
  <c r="A4328" i="8"/>
  <c r="V4328" i="8" s="1"/>
  <c r="A4329" i="8"/>
  <c r="V4329" i="8" s="1"/>
  <c r="A4330" i="8"/>
  <c r="V4330" i="8" s="1"/>
  <c r="A4331" i="8"/>
  <c r="V4331" i="8" s="1"/>
  <c r="A4332" i="8"/>
  <c r="V4332" i="8" s="1"/>
  <c r="A4333" i="8"/>
  <c r="V4333" i="8" s="1"/>
  <c r="A4334" i="8"/>
  <c r="V4334" i="8" s="1"/>
  <c r="A4335" i="8"/>
  <c r="V4335" i="8" s="1"/>
  <c r="A4336" i="8"/>
  <c r="V4336" i="8" s="1"/>
  <c r="A4337" i="8"/>
  <c r="V4337" i="8" s="1"/>
  <c r="A4338" i="8"/>
  <c r="V4338" i="8" s="1"/>
  <c r="A4339" i="8"/>
  <c r="V4339" i="8" s="1"/>
  <c r="A4340" i="8"/>
  <c r="V4340" i="8" s="1"/>
  <c r="A4341" i="8"/>
  <c r="V4341" i="8" s="1"/>
  <c r="A4342" i="8"/>
  <c r="V4342" i="8" s="1"/>
  <c r="A4343" i="8"/>
  <c r="V4343" i="8" s="1"/>
  <c r="A4344" i="8"/>
  <c r="V4344" i="8" s="1"/>
  <c r="A4345" i="8"/>
  <c r="V4345" i="8" s="1"/>
  <c r="A4346" i="8"/>
  <c r="V4346" i="8" s="1"/>
  <c r="A4347" i="8"/>
  <c r="V4347" i="8" s="1"/>
  <c r="A4348" i="8"/>
  <c r="V4348" i="8" s="1"/>
  <c r="A4349" i="8"/>
  <c r="V4349" i="8" s="1"/>
  <c r="A4350" i="8"/>
  <c r="V4350" i="8" s="1"/>
  <c r="A4351" i="8"/>
  <c r="V4351" i="8" s="1"/>
  <c r="A4352" i="8"/>
  <c r="V4352" i="8" s="1"/>
  <c r="A4353" i="8"/>
  <c r="V4353" i="8" s="1"/>
  <c r="A4354" i="8"/>
  <c r="V4354" i="8" s="1"/>
  <c r="A4355" i="8"/>
  <c r="V4355" i="8" s="1"/>
  <c r="A4356" i="8"/>
  <c r="V4356" i="8" s="1"/>
  <c r="A4357" i="8"/>
  <c r="V4357" i="8" s="1"/>
  <c r="A4358" i="8"/>
  <c r="V4358" i="8" s="1"/>
  <c r="A4359" i="8"/>
  <c r="V4359" i="8" s="1"/>
  <c r="A4360" i="8"/>
  <c r="V4360" i="8" s="1"/>
  <c r="A4361" i="8"/>
  <c r="V4361" i="8" s="1"/>
  <c r="A4362" i="8"/>
  <c r="V4362" i="8" s="1"/>
  <c r="A4363" i="8"/>
  <c r="V4363" i="8" s="1"/>
  <c r="A4364" i="8"/>
  <c r="V4364" i="8" s="1"/>
  <c r="A4365" i="8"/>
  <c r="V4365" i="8" s="1"/>
  <c r="A4366" i="8"/>
  <c r="V4366" i="8" s="1"/>
  <c r="A4367" i="8"/>
  <c r="V4367" i="8" s="1"/>
  <c r="A4368" i="8"/>
  <c r="V4368" i="8" s="1"/>
  <c r="A4369" i="8"/>
  <c r="V4369" i="8" s="1"/>
  <c r="A4370" i="8"/>
  <c r="V4370" i="8" s="1"/>
  <c r="A4371" i="8"/>
  <c r="V4371" i="8" s="1"/>
  <c r="A4372" i="8"/>
  <c r="V4372" i="8" s="1"/>
  <c r="A4373" i="8"/>
  <c r="V4373" i="8" s="1"/>
  <c r="A4374" i="8"/>
  <c r="V4374" i="8" s="1"/>
  <c r="A4375" i="8"/>
  <c r="V4375" i="8" s="1"/>
  <c r="A4376" i="8"/>
  <c r="V4376" i="8" s="1"/>
  <c r="A4377" i="8"/>
  <c r="V4377" i="8" s="1"/>
  <c r="A4378" i="8"/>
  <c r="V4378" i="8" s="1"/>
  <c r="A4379" i="8"/>
  <c r="V4379" i="8" s="1"/>
  <c r="A4380" i="8"/>
  <c r="V4380" i="8" s="1"/>
  <c r="A4381" i="8"/>
  <c r="V4381" i="8" s="1"/>
  <c r="A4382" i="8"/>
  <c r="V4382" i="8" s="1"/>
  <c r="A4383" i="8"/>
  <c r="V4383" i="8" s="1"/>
  <c r="A4384" i="8"/>
  <c r="V4384" i="8" s="1"/>
  <c r="A4385" i="8"/>
  <c r="V4385" i="8" s="1"/>
  <c r="A4386" i="8"/>
  <c r="V4386" i="8" s="1"/>
  <c r="A4387" i="8"/>
  <c r="V4387" i="8" s="1"/>
  <c r="A4388" i="8"/>
  <c r="V4388" i="8" s="1"/>
  <c r="A4389" i="8"/>
  <c r="V4389" i="8" s="1"/>
  <c r="A4390" i="8"/>
  <c r="V4390" i="8" s="1"/>
  <c r="A4391" i="8"/>
  <c r="V4391" i="8" s="1"/>
  <c r="A4392" i="8"/>
  <c r="V4392" i="8" s="1"/>
  <c r="A4393" i="8"/>
  <c r="V4393" i="8" s="1"/>
  <c r="A4394" i="8"/>
  <c r="V4394" i="8" s="1"/>
  <c r="A4395" i="8"/>
  <c r="V4395" i="8" s="1"/>
  <c r="A4396" i="8"/>
  <c r="V4396" i="8" s="1"/>
  <c r="A4397" i="8"/>
  <c r="V4397" i="8" s="1"/>
  <c r="A4398" i="8"/>
  <c r="V4398" i="8" s="1"/>
  <c r="A4399" i="8"/>
  <c r="V4399" i="8" s="1"/>
  <c r="A4400" i="8"/>
  <c r="V4400" i="8" s="1"/>
  <c r="A4401" i="8"/>
  <c r="V4401" i="8" s="1"/>
  <c r="A4402" i="8"/>
  <c r="V4402" i="8" s="1"/>
  <c r="A4403" i="8"/>
  <c r="V4403" i="8" s="1"/>
  <c r="A4404" i="8"/>
  <c r="V4404" i="8" s="1"/>
  <c r="A4405" i="8"/>
  <c r="V4405" i="8" s="1"/>
  <c r="A4406" i="8"/>
  <c r="V4406" i="8" s="1"/>
  <c r="A4407" i="8"/>
  <c r="V4407" i="8" s="1"/>
  <c r="A4408" i="8"/>
  <c r="V4408" i="8" s="1"/>
  <c r="A4409" i="8"/>
  <c r="V4409" i="8" s="1"/>
  <c r="A4410" i="8"/>
  <c r="V4410" i="8" s="1"/>
  <c r="A4411" i="8"/>
  <c r="V4411" i="8" s="1"/>
  <c r="A4412" i="8"/>
  <c r="V4412" i="8" s="1"/>
  <c r="A4413" i="8"/>
  <c r="V4413" i="8" s="1"/>
  <c r="A4414" i="8"/>
  <c r="V4414" i="8" s="1"/>
  <c r="A4415" i="8"/>
  <c r="V4415" i="8" s="1"/>
  <c r="A4416" i="8"/>
  <c r="V4416" i="8" s="1"/>
  <c r="A4417" i="8"/>
  <c r="V4417" i="8" s="1"/>
  <c r="A4418" i="8"/>
  <c r="V4418" i="8" s="1"/>
  <c r="A4419" i="8"/>
  <c r="V4419" i="8" s="1"/>
  <c r="A4420" i="8"/>
  <c r="V4420" i="8" s="1"/>
  <c r="A4421" i="8"/>
  <c r="V4421" i="8" s="1"/>
  <c r="A4422" i="8"/>
  <c r="V4422" i="8" s="1"/>
  <c r="A4423" i="8"/>
  <c r="V4423" i="8" s="1"/>
  <c r="A4424" i="8"/>
  <c r="V4424" i="8" s="1"/>
  <c r="A4425" i="8"/>
  <c r="V4425" i="8" s="1"/>
  <c r="A4426" i="8"/>
  <c r="V4426" i="8" s="1"/>
  <c r="A4427" i="8"/>
  <c r="V4427" i="8" s="1"/>
  <c r="A4428" i="8"/>
  <c r="V4428" i="8" s="1"/>
  <c r="A4429" i="8"/>
  <c r="V4429" i="8" s="1"/>
  <c r="A4430" i="8"/>
  <c r="V4430" i="8" s="1"/>
  <c r="A4431" i="8"/>
  <c r="V4431" i="8" s="1"/>
  <c r="A4432" i="8"/>
  <c r="V4432" i="8" s="1"/>
  <c r="A4433" i="8"/>
  <c r="V4433" i="8" s="1"/>
  <c r="A4434" i="8"/>
  <c r="V4434" i="8" s="1"/>
  <c r="A4435" i="8"/>
  <c r="V4435" i="8" s="1"/>
  <c r="A4436" i="8"/>
  <c r="V4436" i="8" s="1"/>
  <c r="A4437" i="8"/>
  <c r="V4437" i="8" s="1"/>
  <c r="A4438" i="8"/>
  <c r="V4438" i="8" s="1"/>
  <c r="A4439" i="8"/>
  <c r="V4439" i="8" s="1"/>
  <c r="A4440" i="8"/>
  <c r="V4440" i="8" s="1"/>
  <c r="A4441" i="8"/>
  <c r="V4441" i="8" s="1"/>
  <c r="A4442" i="8"/>
  <c r="V4442" i="8" s="1"/>
  <c r="A4443" i="8"/>
  <c r="V4443" i="8" s="1"/>
  <c r="A4444" i="8"/>
  <c r="V4444" i="8" s="1"/>
  <c r="A4445" i="8"/>
  <c r="V4445" i="8" s="1"/>
  <c r="A4446" i="8"/>
  <c r="V4446" i="8" s="1"/>
  <c r="A4447" i="8"/>
  <c r="V4447" i="8" s="1"/>
  <c r="A4448" i="8"/>
  <c r="V4448" i="8" s="1"/>
  <c r="A4449" i="8"/>
  <c r="V4449" i="8" s="1"/>
  <c r="A4450" i="8"/>
  <c r="V4450" i="8" s="1"/>
  <c r="A4451" i="8"/>
  <c r="V4451" i="8" s="1"/>
  <c r="A4452" i="8"/>
  <c r="V4452" i="8" s="1"/>
  <c r="A4453" i="8"/>
  <c r="V4453" i="8" s="1"/>
  <c r="A4454" i="8"/>
  <c r="V4454" i="8" s="1"/>
  <c r="A4455" i="8"/>
  <c r="V4455" i="8" s="1"/>
  <c r="A4456" i="8"/>
  <c r="V4456" i="8" s="1"/>
  <c r="A4457" i="8"/>
  <c r="V4457" i="8" s="1"/>
  <c r="A4458" i="8"/>
  <c r="V4458" i="8" s="1"/>
  <c r="A4459" i="8"/>
  <c r="V4459" i="8" s="1"/>
  <c r="A4460" i="8"/>
  <c r="V4460" i="8" s="1"/>
  <c r="A4461" i="8"/>
  <c r="V4461" i="8" s="1"/>
  <c r="A4462" i="8"/>
  <c r="V4462" i="8" s="1"/>
  <c r="A4463" i="8"/>
  <c r="V4463" i="8" s="1"/>
  <c r="A4464" i="8"/>
  <c r="V4464" i="8" s="1"/>
  <c r="A4465" i="8"/>
  <c r="V4465" i="8" s="1"/>
  <c r="A4466" i="8"/>
  <c r="V4466" i="8" s="1"/>
  <c r="A4467" i="8"/>
  <c r="V4467" i="8" s="1"/>
  <c r="A4468" i="8"/>
  <c r="V4468" i="8" s="1"/>
  <c r="A4469" i="8"/>
  <c r="V4469" i="8" s="1"/>
  <c r="A4470" i="8"/>
  <c r="V4470" i="8" s="1"/>
  <c r="A4471" i="8"/>
  <c r="V4471" i="8" s="1"/>
  <c r="A4472" i="8"/>
  <c r="V4472" i="8" s="1"/>
  <c r="A4473" i="8"/>
  <c r="V4473" i="8" s="1"/>
  <c r="A4474" i="8"/>
  <c r="V4474" i="8" s="1"/>
  <c r="A4475" i="8"/>
  <c r="V4475" i="8" s="1"/>
  <c r="A4476" i="8"/>
  <c r="V4476" i="8" s="1"/>
  <c r="A4477" i="8"/>
  <c r="V4477" i="8" s="1"/>
  <c r="A4478" i="8"/>
  <c r="V4478" i="8" s="1"/>
  <c r="A4479" i="8"/>
  <c r="V4479" i="8" s="1"/>
  <c r="A4480" i="8"/>
  <c r="V4480" i="8" s="1"/>
  <c r="A4481" i="8"/>
  <c r="V4481" i="8" s="1"/>
  <c r="A4482" i="8"/>
  <c r="V4482" i="8" s="1"/>
  <c r="A4483" i="8"/>
  <c r="V4483" i="8" s="1"/>
  <c r="A4484" i="8"/>
  <c r="V4484" i="8" s="1"/>
  <c r="A4485" i="8"/>
  <c r="V4485" i="8" s="1"/>
  <c r="A4486" i="8"/>
  <c r="V4486" i="8" s="1"/>
  <c r="A4487" i="8"/>
  <c r="V4487" i="8" s="1"/>
  <c r="A4488" i="8"/>
  <c r="V4488" i="8" s="1"/>
  <c r="A4489" i="8"/>
  <c r="V4489" i="8" s="1"/>
  <c r="A4490" i="8"/>
  <c r="V4490" i="8" s="1"/>
  <c r="A4491" i="8"/>
  <c r="V4491" i="8" s="1"/>
  <c r="A4492" i="8"/>
  <c r="V4492" i="8" s="1"/>
  <c r="A4493" i="8"/>
  <c r="V4493" i="8" s="1"/>
  <c r="A4494" i="8"/>
  <c r="V4494" i="8" s="1"/>
  <c r="A4495" i="8"/>
  <c r="V4495" i="8" s="1"/>
  <c r="A4496" i="8"/>
  <c r="V4496" i="8" s="1"/>
  <c r="A4497" i="8"/>
  <c r="V4497" i="8" s="1"/>
  <c r="A4498" i="8"/>
  <c r="V4498" i="8" s="1"/>
  <c r="A4499" i="8"/>
  <c r="V4499" i="8" s="1"/>
  <c r="A4500" i="8"/>
  <c r="V4500" i="8" s="1"/>
  <c r="A4501" i="8"/>
  <c r="V4501" i="8" s="1"/>
  <c r="A4502" i="8"/>
  <c r="V4502" i="8" s="1"/>
  <c r="A4503" i="8"/>
  <c r="V4503" i="8" s="1"/>
  <c r="A4504" i="8"/>
  <c r="V4504" i="8" s="1"/>
  <c r="A4505" i="8"/>
  <c r="V4505" i="8" s="1"/>
  <c r="A4506" i="8"/>
  <c r="V4506" i="8" s="1"/>
  <c r="A4507" i="8"/>
  <c r="V4507" i="8" s="1"/>
  <c r="A4508" i="8"/>
  <c r="V4508" i="8" s="1"/>
  <c r="A4509" i="8"/>
  <c r="V4509" i="8" s="1"/>
  <c r="A4510" i="8"/>
  <c r="V4510" i="8" s="1"/>
  <c r="A4511" i="8"/>
  <c r="V4511" i="8" s="1"/>
  <c r="A4512" i="8"/>
  <c r="V4512" i="8" s="1"/>
  <c r="A4513" i="8"/>
  <c r="V4513" i="8" s="1"/>
  <c r="A4514" i="8"/>
  <c r="V4514" i="8" s="1"/>
  <c r="A4515" i="8"/>
  <c r="V4515" i="8" s="1"/>
  <c r="A4516" i="8"/>
  <c r="V4516" i="8" s="1"/>
  <c r="A4517" i="8"/>
  <c r="V4517" i="8" s="1"/>
  <c r="A4518" i="8"/>
  <c r="V4518" i="8" s="1"/>
  <c r="A4519" i="8"/>
  <c r="V4519" i="8" s="1"/>
  <c r="A4520" i="8"/>
  <c r="V4520" i="8" s="1"/>
  <c r="A4521" i="8"/>
  <c r="V4521" i="8" s="1"/>
  <c r="A4522" i="8"/>
  <c r="V4522" i="8" s="1"/>
  <c r="A4523" i="8"/>
  <c r="V4523" i="8" s="1"/>
  <c r="A4524" i="8"/>
  <c r="V4524" i="8" s="1"/>
  <c r="A4525" i="8"/>
  <c r="V4525" i="8" s="1"/>
  <c r="A4526" i="8"/>
  <c r="V4526" i="8" s="1"/>
  <c r="A4527" i="8"/>
  <c r="V4527" i="8" s="1"/>
  <c r="A4528" i="8"/>
  <c r="V4528" i="8" s="1"/>
  <c r="A4529" i="8"/>
  <c r="V4529" i="8" s="1"/>
  <c r="A4530" i="8"/>
  <c r="V4530" i="8" s="1"/>
  <c r="A4531" i="8"/>
  <c r="V4531" i="8" s="1"/>
  <c r="A4532" i="8"/>
  <c r="V4532" i="8" s="1"/>
  <c r="A4533" i="8"/>
  <c r="V4533" i="8" s="1"/>
  <c r="A4534" i="8"/>
  <c r="V4534" i="8" s="1"/>
  <c r="A4535" i="8"/>
  <c r="V4535" i="8" s="1"/>
  <c r="A4536" i="8"/>
  <c r="V4536" i="8" s="1"/>
  <c r="A4537" i="8"/>
  <c r="V4537" i="8" s="1"/>
  <c r="A4538" i="8"/>
  <c r="V4538" i="8" s="1"/>
  <c r="A4539" i="8"/>
  <c r="V4539" i="8" s="1"/>
  <c r="A4540" i="8"/>
  <c r="V4540" i="8" s="1"/>
  <c r="A4541" i="8"/>
  <c r="V4541" i="8" s="1"/>
  <c r="A4542" i="8"/>
  <c r="V4542" i="8" s="1"/>
  <c r="A4543" i="8"/>
  <c r="V4543" i="8" s="1"/>
  <c r="A4544" i="8"/>
  <c r="V4544" i="8" s="1"/>
  <c r="A4545" i="8"/>
  <c r="V4545" i="8" s="1"/>
  <c r="A4546" i="8"/>
  <c r="V4546" i="8" s="1"/>
  <c r="A4547" i="8"/>
  <c r="V4547" i="8" s="1"/>
  <c r="A4548" i="8"/>
  <c r="V4548" i="8" s="1"/>
  <c r="A4549" i="8"/>
  <c r="V4549" i="8" s="1"/>
  <c r="A4550" i="8"/>
  <c r="V4550" i="8" s="1"/>
  <c r="A4551" i="8"/>
  <c r="V4551" i="8" s="1"/>
  <c r="A4552" i="8"/>
  <c r="V4552" i="8" s="1"/>
  <c r="A4553" i="8"/>
  <c r="V4553" i="8" s="1"/>
  <c r="A4554" i="8"/>
  <c r="V4554" i="8" s="1"/>
  <c r="A4555" i="8"/>
  <c r="V4555" i="8" s="1"/>
  <c r="A4556" i="8"/>
  <c r="V4556" i="8" s="1"/>
  <c r="A4557" i="8"/>
  <c r="V4557" i="8" s="1"/>
  <c r="A4558" i="8"/>
  <c r="V4558" i="8" s="1"/>
  <c r="A4559" i="8"/>
  <c r="V4559" i="8" s="1"/>
  <c r="A4560" i="8"/>
  <c r="V4560" i="8" s="1"/>
  <c r="A4561" i="8"/>
  <c r="V4561" i="8" s="1"/>
  <c r="A4562" i="8"/>
  <c r="V4562" i="8" s="1"/>
  <c r="A4563" i="8"/>
  <c r="V4563" i="8" s="1"/>
  <c r="A4564" i="8"/>
  <c r="V4564" i="8" s="1"/>
  <c r="A4565" i="8"/>
  <c r="V4565" i="8" s="1"/>
  <c r="A4566" i="8"/>
  <c r="V4566" i="8" s="1"/>
  <c r="A4567" i="8"/>
  <c r="V4567" i="8" s="1"/>
  <c r="A4568" i="8"/>
  <c r="V4568" i="8" s="1"/>
  <c r="A4569" i="8"/>
  <c r="V4569" i="8" s="1"/>
  <c r="A4570" i="8"/>
  <c r="V4570" i="8" s="1"/>
  <c r="A4571" i="8"/>
  <c r="V4571" i="8" s="1"/>
  <c r="A4572" i="8"/>
  <c r="V4572" i="8" s="1"/>
  <c r="A4573" i="8"/>
  <c r="V4573" i="8" s="1"/>
  <c r="A4574" i="8"/>
  <c r="V4574" i="8" s="1"/>
  <c r="A4575" i="8"/>
  <c r="V4575" i="8" s="1"/>
  <c r="A4576" i="8"/>
  <c r="V4576" i="8" s="1"/>
  <c r="A4577" i="8"/>
  <c r="V4577" i="8" s="1"/>
  <c r="A4578" i="8"/>
  <c r="V4578" i="8" s="1"/>
  <c r="A4579" i="8"/>
  <c r="V4579" i="8" s="1"/>
  <c r="A4580" i="8"/>
  <c r="V4580" i="8" s="1"/>
  <c r="A4581" i="8"/>
  <c r="V4581" i="8" s="1"/>
  <c r="A4582" i="8"/>
  <c r="V4582" i="8" s="1"/>
  <c r="A4583" i="8"/>
  <c r="V4583" i="8" s="1"/>
  <c r="A4584" i="8"/>
  <c r="V4584" i="8" s="1"/>
  <c r="A4585" i="8"/>
  <c r="V4585" i="8" s="1"/>
  <c r="A4586" i="8"/>
  <c r="V4586" i="8" s="1"/>
  <c r="A4587" i="8"/>
  <c r="V4587" i="8" s="1"/>
  <c r="A4588" i="8"/>
  <c r="V4588" i="8" s="1"/>
  <c r="A4589" i="8"/>
  <c r="V4589" i="8" s="1"/>
  <c r="A4590" i="8"/>
  <c r="V4590" i="8" s="1"/>
  <c r="A4591" i="8"/>
  <c r="V4591" i="8" s="1"/>
  <c r="A4592" i="8"/>
  <c r="V4592" i="8" s="1"/>
  <c r="A4593" i="8"/>
  <c r="V4593" i="8" s="1"/>
  <c r="A4594" i="8"/>
  <c r="V4594" i="8" s="1"/>
  <c r="A4595" i="8"/>
  <c r="V4595" i="8" s="1"/>
  <c r="A4596" i="8"/>
  <c r="V4596" i="8" s="1"/>
  <c r="A4597" i="8"/>
  <c r="V4597" i="8" s="1"/>
  <c r="A4598" i="8"/>
  <c r="V4598" i="8" s="1"/>
  <c r="A4599" i="8"/>
  <c r="V4599" i="8" s="1"/>
  <c r="A4600" i="8"/>
  <c r="V4600" i="8" s="1"/>
  <c r="A4601" i="8"/>
  <c r="V4601" i="8" s="1"/>
  <c r="A4602" i="8"/>
  <c r="V4602" i="8" s="1"/>
  <c r="A4603" i="8"/>
  <c r="V4603" i="8" s="1"/>
  <c r="A4604" i="8"/>
  <c r="V4604" i="8" s="1"/>
  <c r="A4605" i="8"/>
  <c r="V4605" i="8" s="1"/>
  <c r="A4606" i="8"/>
  <c r="V4606" i="8" s="1"/>
  <c r="A4607" i="8"/>
  <c r="V4607" i="8" s="1"/>
  <c r="A4608" i="8"/>
  <c r="V4608" i="8" s="1"/>
  <c r="A4609" i="8"/>
  <c r="V4609" i="8" s="1"/>
  <c r="A4610" i="8"/>
  <c r="V4610" i="8" s="1"/>
  <c r="A4611" i="8"/>
  <c r="V4611" i="8" s="1"/>
  <c r="A4612" i="8"/>
  <c r="V4612" i="8" s="1"/>
  <c r="A4613" i="8"/>
  <c r="V4613" i="8" s="1"/>
  <c r="A4614" i="8"/>
  <c r="V4614" i="8" s="1"/>
  <c r="A4615" i="8"/>
  <c r="V4615" i="8" s="1"/>
  <c r="A4616" i="8"/>
  <c r="V4616" i="8" s="1"/>
  <c r="A4617" i="8"/>
  <c r="V4617" i="8" s="1"/>
  <c r="A4618" i="8"/>
  <c r="V4618" i="8" s="1"/>
  <c r="A4619" i="8"/>
  <c r="V4619" i="8" s="1"/>
  <c r="A4620" i="8"/>
  <c r="V4620" i="8" s="1"/>
  <c r="A4621" i="8"/>
  <c r="V4621" i="8" s="1"/>
  <c r="A4622" i="8"/>
  <c r="V4622" i="8" s="1"/>
  <c r="A4623" i="8"/>
  <c r="V4623" i="8" s="1"/>
  <c r="A4624" i="8"/>
  <c r="V4624" i="8" s="1"/>
  <c r="A4625" i="8"/>
  <c r="V4625" i="8" s="1"/>
  <c r="A4626" i="8"/>
  <c r="V4626" i="8" s="1"/>
  <c r="A4627" i="8"/>
  <c r="V4627" i="8" s="1"/>
  <c r="A4628" i="8"/>
  <c r="V4628" i="8" s="1"/>
  <c r="A4629" i="8"/>
  <c r="V4629" i="8" s="1"/>
  <c r="A4630" i="8"/>
  <c r="V4630" i="8" s="1"/>
  <c r="A4631" i="8"/>
  <c r="V4631" i="8" s="1"/>
  <c r="A4632" i="8"/>
  <c r="V4632" i="8" s="1"/>
  <c r="A4633" i="8"/>
  <c r="V4633" i="8" s="1"/>
  <c r="A4634" i="8"/>
  <c r="V4634" i="8" s="1"/>
  <c r="A4635" i="8"/>
  <c r="V4635" i="8" s="1"/>
  <c r="A4636" i="8"/>
  <c r="V4636" i="8" s="1"/>
  <c r="A4637" i="8"/>
  <c r="V4637" i="8" s="1"/>
  <c r="A4638" i="8"/>
  <c r="V4638" i="8" s="1"/>
  <c r="A4639" i="8"/>
  <c r="V4639" i="8" s="1"/>
  <c r="A4640" i="8"/>
  <c r="V4640" i="8" s="1"/>
  <c r="A4641" i="8"/>
  <c r="V4641" i="8" s="1"/>
  <c r="A4642" i="8"/>
  <c r="V4642" i="8" s="1"/>
  <c r="A4643" i="8"/>
  <c r="V4643" i="8" s="1"/>
  <c r="A4644" i="8"/>
  <c r="V4644" i="8" s="1"/>
  <c r="A4645" i="8"/>
  <c r="V4645" i="8" s="1"/>
  <c r="A4646" i="8"/>
  <c r="V4646" i="8" s="1"/>
  <c r="A4647" i="8"/>
  <c r="V4647" i="8" s="1"/>
  <c r="A4648" i="8"/>
  <c r="V4648" i="8" s="1"/>
  <c r="A4649" i="8"/>
  <c r="V4649" i="8" s="1"/>
  <c r="A4650" i="8"/>
  <c r="V4650" i="8" s="1"/>
  <c r="A4651" i="8"/>
  <c r="V4651" i="8" s="1"/>
  <c r="A4652" i="8"/>
  <c r="V4652" i="8" s="1"/>
  <c r="A4653" i="8"/>
  <c r="V4653" i="8" s="1"/>
  <c r="A4654" i="8"/>
  <c r="V4654" i="8" s="1"/>
  <c r="A4655" i="8"/>
  <c r="V4655" i="8" s="1"/>
  <c r="A4656" i="8"/>
  <c r="V4656" i="8" s="1"/>
  <c r="A4657" i="8"/>
  <c r="V4657" i="8" s="1"/>
  <c r="A4658" i="8"/>
  <c r="V4658" i="8" s="1"/>
  <c r="A4659" i="8"/>
  <c r="V4659" i="8" s="1"/>
  <c r="A4660" i="8"/>
  <c r="V4660" i="8" s="1"/>
  <c r="A4661" i="8"/>
  <c r="V4661" i="8" s="1"/>
  <c r="A4662" i="8"/>
  <c r="V4662" i="8" s="1"/>
  <c r="A4663" i="8"/>
  <c r="V4663" i="8" s="1"/>
  <c r="A4664" i="8"/>
  <c r="V4664" i="8" s="1"/>
  <c r="A4665" i="8"/>
  <c r="V4665" i="8" s="1"/>
  <c r="A4666" i="8"/>
  <c r="V4666" i="8" s="1"/>
  <c r="A4667" i="8"/>
  <c r="V4667" i="8" s="1"/>
  <c r="A4668" i="8"/>
  <c r="V4668" i="8" s="1"/>
  <c r="A4669" i="8"/>
  <c r="V4669" i="8" s="1"/>
  <c r="A4670" i="8"/>
  <c r="V4670" i="8" s="1"/>
  <c r="A4671" i="8"/>
  <c r="V4671" i="8" s="1"/>
  <c r="A4672" i="8"/>
  <c r="V4672" i="8" s="1"/>
  <c r="A4673" i="8"/>
  <c r="V4673" i="8" s="1"/>
  <c r="A4674" i="8"/>
  <c r="V4674" i="8" s="1"/>
  <c r="A4675" i="8"/>
  <c r="V4675" i="8" s="1"/>
  <c r="A4676" i="8"/>
  <c r="V4676" i="8" s="1"/>
  <c r="A4677" i="8"/>
  <c r="V4677" i="8" s="1"/>
  <c r="A4678" i="8"/>
  <c r="V4678" i="8" s="1"/>
  <c r="A4679" i="8"/>
  <c r="V4679" i="8" s="1"/>
  <c r="A4680" i="8"/>
  <c r="V4680" i="8" s="1"/>
  <c r="A4681" i="8"/>
  <c r="V4681" i="8" s="1"/>
  <c r="A4682" i="8"/>
  <c r="V4682" i="8" s="1"/>
  <c r="A4683" i="8"/>
  <c r="V4683" i="8" s="1"/>
  <c r="A4684" i="8"/>
  <c r="V4684" i="8" s="1"/>
  <c r="A4685" i="8"/>
  <c r="V4685" i="8" s="1"/>
  <c r="A4686" i="8"/>
  <c r="V4686" i="8" s="1"/>
  <c r="A4687" i="8"/>
  <c r="V4687" i="8" s="1"/>
  <c r="A4688" i="8"/>
  <c r="V4688" i="8" s="1"/>
  <c r="A4689" i="8"/>
  <c r="V4689" i="8" s="1"/>
  <c r="A4690" i="8"/>
  <c r="V4690" i="8" s="1"/>
  <c r="A4691" i="8"/>
  <c r="V4691" i="8" s="1"/>
  <c r="A4692" i="8"/>
  <c r="V4692" i="8" s="1"/>
  <c r="A4693" i="8"/>
  <c r="V4693" i="8" s="1"/>
  <c r="A4694" i="8"/>
  <c r="V4694" i="8" s="1"/>
  <c r="A4695" i="8"/>
  <c r="V4695" i="8" s="1"/>
  <c r="A4696" i="8"/>
  <c r="V4696" i="8" s="1"/>
  <c r="A4697" i="8"/>
  <c r="V4697" i="8" s="1"/>
  <c r="A4698" i="8"/>
  <c r="V4698" i="8" s="1"/>
  <c r="A4699" i="8"/>
  <c r="V4699" i="8" s="1"/>
  <c r="A4700" i="8"/>
  <c r="V4700" i="8" s="1"/>
  <c r="A4701" i="8"/>
  <c r="V4701" i="8" s="1"/>
  <c r="A4702" i="8"/>
  <c r="V4702" i="8" s="1"/>
  <c r="A4703" i="8"/>
  <c r="V4703" i="8" s="1"/>
  <c r="A4704" i="8"/>
  <c r="V4704" i="8" s="1"/>
  <c r="A4705" i="8"/>
  <c r="V4705" i="8" s="1"/>
  <c r="A4706" i="8"/>
  <c r="V4706" i="8" s="1"/>
  <c r="A4707" i="8"/>
  <c r="V4707" i="8" s="1"/>
  <c r="A4708" i="8"/>
  <c r="V4708" i="8" s="1"/>
  <c r="A4709" i="8"/>
  <c r="V4709" i="8" s="1"/>
  <c r="A4710" i="8"/>
  <c r="V4710" i="8" s="1"/>
  <c r="A4711" i="8"/>
  <c r="V4711" i="8" s="1"/>
  <c r="A4712" i="8"/>
  <c r="V4712" i="8" s="1"/>
  <c r="A4713" i="8"/>
  <c r="V4713" i="8" s="1"/>
  <c r="A4714" i="8"/>
  <c r="V4714" i="8" s="1"/>
  <c r="A4715" i="8"/>
  <c r="V4715" i="8" s="1"/>
  <c r="A4716" i="8"/>
  <c r="V4716" i="8" s="1"/>
  <c r="A4717" i="8"/>
  <c r="V4717" i="8" s="1"/>
  <c r="A4718" i="8"/>
  <c r="V4718" i="8" s="1"/>
  <c r="A4719" i="8"/>
  <c r="V4719" i="8" s="1"/>
  <c r="A4720" i="8"/>
  <c r="V4720" i="8" s="1"/>
  <c r="A4721" i="8"/>
  <c r="V4721" i="8" s="1"/>
  <c r="A4722" i="8"/>
  <c r="V4722" i="8" s="1"/>
  <c r="A4723" i="8"/>
  <c r="V4723" i="8" s="1"/>
  <c r="A4724" i="8"/>
  <c r="V4724" i="8" s="1"/>
  <c r="A4725" i="8"/>
  <c r="V4725" i="8" s="1"/>
  <c r="A4726" i="8"/>
  <c r="V4726" i="8" s="1"/>
  <c r="A4727" i="8"/>
  <c r="V4727" i="8" s="1"/>
  <c r="A4728" i="8"/>
  <c r="V4728" i="8" s="1"/>
  <c r="A4729" i="8"/>
  <c r="V4729" i="8" s="1"/>
  <c r="A4730" i="8"/>
  <c r="V4730" i="8" s="1"/>
  <c r="A4731" i="8"/>
  <c r="V4731" i="8" s="1"/>
  <c r="A4732" i="8"/>
  <c r="V4732" i="8" s="1"/>
  <c r="A4733" i="8"/>
  <c r="V4733" i="8" s="1"/>
  <c r="A4734" i="8"/>
  <c r="V4734" i="8" s="1"/>
  <c r="A4735" i="8"/>
  <c r="V4735" i="8" s="1"/>
  <c r="A4736" i="8"/>
  <c r="V4736" i="8" s="1"/>
  <c r="A4737" i="8"/>
  <c r="V4737" i="8" s="1"/>
  <c r="A4738" i="8"/>
  <c r="V4738" i="8" s="1"/>
  <c r="A4739" i="8"/>
  <c r="V4739" i="8" s="1"/>
  <c r="A4740" i="8"/>
  <c r="V4740" i="8" s="1"/>
  <c r="A4741" i="8"/>
  <c r="V4741" i="8" s="1"/>
  <c r="A4742" i="8"/>
  <c r="V4742" i="8" s="1"/>
  <c r="A4743" i="8"/>
  <c r="V4743" i="8" s="1"/>
  <c r="A4744" i="8"/>
  <c r="V4744" i="8" s="1"/>
  <c r="A4745" i="8"/>
  <c r="V4745" i="8" s="1"/>
  <c r="A4746" i="8"/>
  <c r="V4746" i="8" s="1"/>
  <c r="A4747" i="8"/>
  <c r="V4747" i="8" s="1"/>
  <c r="A4748" i="8"/>
  <c r="V4748" i="8" s="1"/>
  <c r="A4749" i="8"/>
  <c r="V4749" i="8" s="1"/>
  <c r="A4750" i="8"/>
  <c r="V4750" i="8" s="1"/>
  <c r="A4751" i="8"/>
  <c r="V4751" i="8" s="1"/>
  <c r="A4752" i="8"/>
  <c r="V4752" i="8" s="1"/>
  <c r="A4753" i="8"/>
  <c r="V4753" i="8" s="1"/>
  <c r="A4754" i="8"/>
  <c r="V4754" i="8" s="1"/>
  <c r="A4755" i="8"/>
  <c r="V4755" i="8" s="1"/>
  <c r="A4756" i="8"/>
  <c r="V4756" i="8" s="1"/>
  <c r="A4757" i="8"/>
  <c r="V4757" i="8" s="1"/>
  <c r="A4758" i="8"/>
  <c r="V4758" i="8" s="1"/>
  <c r="A4759" i="8"/>
  <c r="V4759" i="8" s="1"/>
  <c r="A4760" i="8"/>
  <c r="V4760" i="8" s="1"/>
  <c r="A4761" i="8"/>
  <c r="V4761" i="8" s="1"/>
  <c r="A4762" i="8"/>
  <c r="V4762" i="8" s="1"/>
  <c r="A4763" i="8"/>
  <c r="V4763" i="8" s="1"/>
  <c r="A4764" i="8"/>
  <c r="V4764" i="8" s="1"/>
  <c r="A4765" i="8"/>
  <c r="V4765" i="8" s="1"/>
  <c r="A4766" i="8"/>
  <c r="V4766" i="8" s="1"/>
  <c r="A4767" i="8"/>
  <c r="V4767" i="8" s="1"/>
  <c r="A4768" i="8"/>
  <c r="V4768" i="8" s="1"/>
  <c r="A4769" i="8"/>
  <c r="V4769" i="8" s="1"/>
  <c r="A4770" i="8"/>
  <c r="V4770" i="8" s="1"/>
  <c r="A4771" i="8"/>
  <c r="V4771" i="8" s="1"/>
  <c r="A4772" i="8"/>
  <c r="V4772" i="8" s="1"/>
  <c r="A4773" i="8"/>
  <c r="V4773" i="8" s="1"/>
  <c r="A4774" i="8"/>
  <c r="V4774" i="8" s="1"/>
  <c r="A4775" i="8"/>
  <c r="V4775" i="8" s="1"/>
  <c r="A4776" i="8"/>
  <c r="V4776" i="8" s="1"/>
  <c r="A4777" i="8"/>
  <c r="V4777" i="8" s="1"/>
  <c r="A4778" i="8"/>
  <c r="V4778" i="8" s="1"/>
  <c r="A4779" i="8"/>
  <c r="V4779" i="8" s="1"/>
  <c r="A4780" i="8"/>
  <c r="V4780" i="8" s="1"/>
  <c r="A4781" i="8"/>
  <c r="V4781" i="8" s="1"/>
  <c r="A4782" i="8"/>
  <c r="V4782" i="8" s="1"/>
  <c r="A4783" i="8"/>
  <c r="V4783" i="8" s="1"/>
  <c r="A4784" i="8"/>
  <c r="V4784" i="8" s="1"/>
  <c r="A4785" i="8"/>
  <c r="V4785" i="8" s="1"/>
  <c r="A4786" i="8"/>
  <c r="V4786" i="8" s="1"/>
  <c r="A4787" i="8"/>
  <c r="V4787" i="8" s="1"/>
  <c r="A4788" i="8"/>
  <c r="V4788" i="8" s="1"/>
  <c r="A4789" i="8"/>
  <c r="V4789" i="8" s="1"/>
  <c r="A4790" i="8"/>
  <c r="V4790" i="8" s="1"/>
  <c r="A4791" i="8"/>
  <c r="V4791" i="8" s="1"/>
  <c r="A4792" i="8"/>
  <c r="V4792" i="8" s="1"/>
  <c r="A4793" i="8"/>
  <c r="V4793" i="8" s="1"/>
  <c r="A4794" i="8"/>
  <c r="V4794" i="8" s="1"/>
  <c r="A4795" i="8"/>
  <c r="V4795" i="8" s="1"/>
  <c r="A4796" i="8"/>
  <c r="V4796" i="8" s="1"/>
  <c r="A4797" i="8"/>
  <c r="V4797" i="8" s="1"/>
  <c r="A4798" i="8"/>
  <c r="V4798" i="8" s="1"/>
  <c r="A4799" i="8"/>
  <c r="V4799" i="8" s="1"/>
  <c r="A4800" i="8"/>
  <c r="V4800" i="8" s="1"/>
  <c r="A4801" i="8"/>
  <c r="V4801" i="8" s="1"/>
  <c r="A4802" i="8"/>
  <c r="V4802" i="8" s="1"/>
  <c r="A4803" i="8"/>
  <c r="V4803" i="8" s="1"/>
  <c r="A4804" i="8"/>
  <c r="V4804" i="8" s="1"/>
  <c r="A4805" i="8"/>
  <c r="V4805" i="8" s="1"/>
  <c r="A4806" i="8"/>
  <c r="V4806" i="8" s="1"/>
  <c r="A4807" i="8"/>
  <c r="V4807" i="8" s="1"/>
  <c r="A4808" i="8"/>
  <c r="V4808" i="8" s="1"/>
  <c r="A4809" i="8"/>
  <c r="V4809" i="8" s="1"/>
  <c r="A4810" i="8"/>
  <c r="V4810" i="8" s="1"/>
  <c r="A4811" i="8"/>
  <c r="V4811" i="8" s="1"/>
  <c r="A4812" i="8"/>
  <c r="V4812" i="8" s="1"/>
  <c r="A4813" i="8"/>
  <c r="V4813" i="8" s="1"/>
  <c r="A4814" i="8"/>
  <c r="V4814" i="8" s="1"/>
  <c r="A4815" i="8"/>
  <c r="V4815" i="8" s="1"/>
  <c r="A4816" i="8"/>
  <c r="V4816" i="8" s="1"/>
  <c r="A4817" i="8"/>
  <c r="V4817" i="8" s="1"/>
  <c r="A4818" i="8"/>
  <c r="V4818" i="8" s="1"/>
  <c r="A4819" i="8"/>
  <c r="V4819" i="8" s="1"/>
  <c r="A4820" i="8"/>
  <c r="V4820" i="8" s="1"/>
  <c r="A4821" i="8"/>
  <c r="V4821" i="8" s="1"/>
  <c r="A4822" i="8"/>
  <c r="V4822" i="8" s="1"/>
  <c r="A4823" i="8"/>
  <c r="V4823" i="8" s="1"/>
  <c r="A4824" i="8"/>
  <c r="V4824" i="8" s="1"/>
  <c r="A4825" i="8"/>
  <c r="V4825" i="8" s="1"/>
  <c r="A4826" i="8"/>
  <c r="V4826" i="8" s="1"/>
  <c r="A4827" i="8"/>
  <c r="V4827" i="8" s="1"/>
  <c r="A4828" i="8"/>
  <c r="V4828" i="8" s="1"/>
  <c r="A4829" i="8"/>
  <c r="V4829" i="8" s="1"/>
  <c r="A4830" i="8"/>
  <c r="V4830" i="8" s="1"/>
  <c r="A4831" i="8"/>
  <c r="V4831" i="8" s="1"/>
  <c r="A4832" i="8"/>
  <c r="V4832" i="8" s="1"/>
  <c r="A4833" i="8"/>
  <c r="V4833" i="8" s="1"/>
  <c r="A4834" i="8"/>
  <c r="V4834" i="8" s="1"/>
  <c r="A4835" i="8"/>
  <c r="V4835" i="8" s="1"/>
  <c r="A4836" i="8"/>
  <c r="V4836" i="8" s="1"/>
  <c r="A4837" i="8"/>
  <c r="V4837" i="8" s="1"/>
  <c r="A4838" i="8"/>
  <c r="V4838" i="8" s="1"/>
  <c r="A4839" i="8"/>
  <c r="V4839" i="8" s="1"/>
  <c r="A4840" i="8"/>
  <c r="V4840" i="8" s="1"/>
  <c r="A4841" i="8"/>
  <c r="V4841" i="8" s="1"/>
  <c r="A4842" i="8"/>
  <c r="V4842" i="8" s="1"/>
  <c r="A4843" i="8"/>
  <c r="V4843" i="8" s="1"/>
  <c r="A4844" i="8"/>
  <c r="V4844" i="8" s="1"/>
  <c r="A4845" i="8"/>
  <c r="V4845" i="8" s="1"/>
  <c r="A4846" i="8"/>
  <c r="V4846" i="8" s="1"/>
  <c r="A4847" i="8"/>
  <c r="V4847" i="8" s="1"/>
  <c r="A4848" i="8"/>
  <c r="V4848" i="8" s="1"/>
  <c r="A4849" i="8"/>
  <c r="V4849" i="8" s="1"/>
  <c r="A4850" i="8"/>
  <c r="V4850" i="8" s="1"/>
  <c r="A4851" i="8"/>
  <c r="V4851" i="8" s="1"/>
  <c r="A4852" i="8"/>
  <c r="V4852" i="8" s="1"/>
  <c r="A4853" i="8"/>
  <c r="V4853" i="8" s="1"/>
  <c r="A4854" i="8"/>
  <c r="V4854" i="8" s="1"/>
  <c r="A4855" i="8"/>
  <c r="V4855" i="8" s="1"/>
  <c r="A4856" i="8"/>
  <c r="V4856" i="8" s="1"/>
  <c r="A4857" i="8"/>
  <c r="V4857" i="8" s="1"/>
  <c r="A4858" i="8"/>
  <c r="V4858" i="8" s="1"/>
  <c r="A4859" i="8"/>
  <c r="V4859" i="8" s="1"/>
  <c r="A4860" i="8"/>
  <c r="V4860" i="8" s="1"/>
  <c r="A4861" i="8"/>
  <c r="V4861" i="8" s="1"/>
  <c r="A4862" i="8"/>
  <c r="V4862" i="8" s="1"/>
  <c r="A4863" i="8"/>
  <c r="V4863" i="8" s="1"/>
  <c r="A4864" i="8"/>
  <c r="V4864" i="8" s="1"/>
  <c r="A4865" i="8"/>
  <c r="V4865" i="8" s="1"/>
  <c r="A4866" i="8"/>
  <c r="V4866" i="8" s="1"/>
  <c r="A4867" i="8"/>
  <c r="V4867" i="8" s="1"/>
  <c r="A4868" i="8"/>
  <c r="V4868" i="8" s="1"/>
  <c r="A4869" i="8"/>
  <c r="V4869" i="8" s="1"/>
  <c r="A4870" i="8"/>
  <c r="V4870" i="8" s="1"/>
  <c r="A4871" i="8"/>
  <c r="V4871" i="8" s="1"/>
  <c r="A4872" i="8"/>
  <c r="V4872" i="8" s="1"/>
  <c r="A4873" i="8"/>
  <c r="V4873" i="8" s="1"/>
  <c r="A4874" i="8"/>
  <c r="V4874" i="8" s="1"/>
  <c r="A4875" i="8"/>
  <c r="V4875" i="8" s="1"/>
  <c r="A4876" i="8"/>
  <c r="V4876" i="8" s="1"/>
  <c r="A4877" i="8"/>
  <c r="V4877" i="8" s="1"/>
  <c r="A4878" i="8"/>
  <c r="V4878" i="8" s="1"/>
  <c r="A4879" i="8"/>
  <c r="V4879" i="8" s="1"/>
  <c r="A4880" i="8"/>
  <c r="V4880" i="8" s="1"/>
  <c r="A4881" i="8"/>
  <c r="V4881" i="8" s="1"/>
  <c r="A4882" i="8"/>
  <c r="V4882" i="8" s="1"/>
  <c r="A4883" i="8"/>
  <c r="V4883" i="8" s="1"/>
  <c r="A4884" i="8"/>
  <c r="V4884" i="8" s="1"/>
  <c r="A4885" i="8"/>
  <c r="V4885" i="8" s="1"/>
  <c r="A4886" i="8"/>
  <c r="V4886" i="8" s="1"/>
  <c r="A4887" i="8"/>
  <c r="V4887" i="8" s="1"/>
  <c r="A4888" i="8"/>
  <c r="V4888" i="8" s="1"/>
  <c r="A4889" i="8"/>
  <c r="V4889" i="8" s="1"/>
  <c r="A4890" i="8"/>
  <c r="V4890" i="8" s="1"/>
  <c r="A4891" i="8"/>
  <c r="V4891" i="8" s="1"/>
  <c r="A4892" i="8"/>
  <c r="V4892" i="8" s="1"/>
  <c r="A4893" i="8"/>
  <c r="V4893" i="8" s="1"/>
  <c r="A4894" i="8"/>
  <c r="V4894" i="8" s="1"/>
  <c r="A4895" i="8"/>
  <c r="V4895" i="8" s="1"/>
  <c r="A4896" i="8"/>
  <c r="V4896" i="8" s="1"/>
  <c r="A4897" i="8"/>
  <c r="V4897" i="8" s="1"/>
  <c r="A4898" i="8"/>
  <c r="V4898" i="8" s="1"/>
  <c r="A4899" i="8"/>
  <c r="V4899" i="8" s="1"/>
  <c r="A4900" i="8"/>
  <c r="V4900" i="8" s="1"/>
  <c r="A4901" i="8"/>
  <c r="V4901" i="8" s="1"/>
  <c r="A4902" i="8"/>
  <c r="V4902" i="8" s="1"/>
  <c r="A4903" i="8"/>
  <c r="V4903" i="8" s="1"/>
  <c r="A4904" i="8"/>
  <c r="V4904" i="8" s="1"/>
  <c r="A4905" i="8"/>
  <c r="V4905" i="8" s="1"/>
  <c r="A4906" i="8"/>
  <c r="V4906" i="8" s="1"/>
  <c r="A4907" i="8"/>
  <c r="V4907" i="8" s="1"/>
  <c r="A4908" i="8"/>
  <c r="V4908" i="8" s="1"/>
  <c r="A4909" i="8"/>
  <c r="V4909" i="8" s="1"/>
  <c r="A4910" i="8"/>
  <c r="V4910" i="8" s="1"/>
  <c r="A4911" i="8"/>
  <c r="V4911" i="8" s="1"/>
  <c r="A4912" i="8"/>
  <c r="V4912" i="8" s="1"/>
  <c r="A4913" i="8"/>
  <c r="V4913" i="8" s="1"/>
  <c r="A4914" i="8"/>
  <c r="V4914" i="8" s="1"/>
  <c r="A4915" i="8"/>
  <c r="V4915" i="8" s="1"/>
  <c r="A4916" i="8"/>
  <c r="V4916" i="8" s="1"/>
  <c r="A4917" i="8"/>
  <c r="V4917" i="8" s="1"/>
  <c r="A4918" i="8"/>
  <c r="V4918" i="8" s="1"/>
  <c r="A4919" i="8"/>
  <c r="V4919" i="8" s="1"/>
  <c r="A4920" i="8"/>
  <c r="V4920" i="8" s="1"/>
  <c r="A4921" i="8"/>
  <c r="V4921" i="8" s="1"/>
  <c r="A4922" i="8"/>
  <c r="V4922" i="8" s="1"/>
  <c r="A4923" i="8"/>
  <c r="V4923" i="8" s="1"/>
  <c r="A4924" i="8"/>
  <c r="V4924" i="8" s="1"/>
  <c r="A4925" i="8"/>
  <c r="V4925" i="8" s="1"/>
  <c r="A4926" i="8"/>
  <c r="V4926" i="8" s="1"/>
  <c r="A4927" i="8"/>
  <c r="V4927" i="8" s="1"/>
  <c r="A4928" i="8"/>
  <c r="V4928" i="8" s="1"/>
  <c r="A4929" i="8"/>
  <c r="V4929" i="8" s="1"/>
  <c r="A4930" i="8"/>
  <c r="V4930" i="8" s="1"/>
  <c r="A4931" i="8"/>
  <c r="V4931" i="8" s="1"/>
  <c r="A4932" i="8"/>
  <c r="V4932" i="8" s="1"/>
  <c r="A4933" i="8"/>
  <c r="V4933" i="8" s="1"/>
  <c r="A4934" i="8"/>
  <c r="V4934" i="8" s="1"/>
  <c r="A4935" i="8"/>
  <c r="V4935" i="8" s="1"/>
  <c r="A4936" i="8"/>
  <c r="V4936" i="8" s="1"/>
  <c r="A4937" i="8"/>
  <c r="V4937" i="8" s="1"/>
  <c r="A4938" i="8"/>
  <c r="V4938" i="8" s="1"/>
  <c r="A4939" i="8"/>
  <c r="V4939" i="8" s="1"/>
  <c r="A4940" i="8"/>
  <c r="V4940" i="8" s="1"/>
  <c r="A4941" i="8"/>
  <c r="V4941" i="8" s="1"/>
  <c r="A4942" i="8"/>
  <c r="V4942" i="8" s="1"/>
  <c r="A4943" i="8"/>
  <c r="V4943" i="8" s="1"/>
  <c r="A4944" i="8"/>
  <c r="V4944" i="8" s="1"/>
  <c r="A4945" i="8"/>
  <c r="V4945" i="8" s="1"/>
  <c r="A4946" i="8"/>
  <c r="V4946" i="8" s="1"/>
  <c r="A4947" i="8"/>
  <c r="V4947" i="8" s="1"/>
  <c r="A4948" i="8"/>
  <c r="V4948" i="8" s="1"/>
  <c r="A4949" i="8"/>
  <c r="V4949" i="8" s="1"/>
  <c r="A4950" i="8"/>
  <c r="V4950" i="8" s="1"/>
  <c r="A4951" i="8"/>
  <c r="V4951" i="8" s="1"/>
  <c r="A4952" i="8"/>
  <c r="V4952" i="8" s="1"/>
  <c r="A4953" i="8"/>
  <c r="V4953" i="8" s="1"/>
  <c r="A4954" i="8"/>
  <c r="V4954" i="8" s="1"/>
  <c r="A4955" i="8"/>
  <c r="V4955" i="8" s="1"/>
  <c r="A4956" i="8"/>
  <c r="V4956" i="8" s="1"/>
  <c r="A4957" i="8"/>
  <c r="V4957" i="8" s="1"/>
  <c r="A4958" i="8"/>
  <c r="V4958" i="8" s="1"/>
  <c r="A4959" i="8"/>
  <c r="V4959" i="8" s="1"/>
  <c r="A4960" i="8"/>
  <c r="V4960" i="8" s="1"/>
  <c r="A4961" i="8"/>
  <c r="V4961" i="8" s="1"/>
  <c r="A4962" i="8"/>
  <c r="V4962" i="8" s="1"/>
  <c r="A4963" i="8"/>
  <c r="V4963" i="8" s="1"/>
  <c r="A4964" i="8"/>
  <c r="V4964" i="8" s="1"/>
  <c r="A4965" i="8"/>
  <c r="V4965" i="8" s="1"/>
  <c r="A4966" i="8"/>
  <c r="V4966" i="8" s="1"/>
  <c r="A4967" i="8"/>
  <c r="V4967" i="8" s="1"/>
  <c r="A4968" i="8"/>
  <c r="V4968" i="8" s="1"/>
  <c r="A4969" i="8"/>
  <c r="V4969" i="8" s="1"/>
  <c r="A4970" i="8"/>
  <c r="V4970" i="8" s="1"/>
  <c r="A4971" i="8"/>
  <c r="V4971" i="8" s="1"/>
  <c r="A4972" i="8"/>
  <c r="V4972" i="8" s="1"/>
  <c r="A4973" i="8"/>
  <c r="V4973" i="8" s="1"/>
  <c r="A4974" i="8"/>
  <c r="V4974" i="8" s="1"/>
  <c r="A4975" i="8"/>
  <c r="V4975" i="8" s="1"/>
  <c r="A4976" i="8"/>
  <c r="V4976" i="8" s="1"/>
  <c r="A4977" i="8"/>
  <c r="V4977" i="8" s="1"/>
  <c r="A4978" i="8"/>
  <c r="V4978" i="8" s="1"/>
  <c r="A4979" i="8"/>
  <c r="V4979" i="8" s="1"/>
  <c r="A4980" i="8"/>
  <c r="V4980" i="8" s="1"/>
  <c r="A4981" i="8"/>
  <c r="V4981" i="8" s="1"/>
  <c r="A4982" i="8"/>
  <c r="V4982" i="8" s="1"/>
  <c r="A4983" i="8"/>
  <c r="V4983" i="8" s="1"/>
  <c r="A4984" i="8"/>
  <c r="V4984" i="8" s="1"/>
  <c r="A4985" i="8"/>
  <c r="V4985" i="8" s="1"/>
  <c r="A4986" i="8"/>
  <c r="V4986" i="8" s="1"/>
  <c r="A4987" i="8"/>
  <c r="V4987" i="8" s="1"/>
  <c r="A4988" i="8"/>
  <c r="V4988" i="8" s="1"/>
  <c r="A4989" i="8"/>
  <c r="V4989" i="8" s="1"/>
  <c r="A4990" i="8"/>
  <c r="V4990" i="8" s="1"/>
  <c r="A4991" i="8"/>
  <c r="V4991" i="8" s="1"/>
  <c r="A4992" i="8"/>
  <c r="V4992" i="8" s="1"/>
  <c r="A4993" i="8"/>
  <c r="V4993" i="8" s="1"/>
  <c r="A4994" i="8"/>
  <c r="V4994" i="8" s="1"/>
  <c r="A4995" i="8"/>
  <c r="V4995" i="8" s="1"/>
  <c r="A4996" i="8"/>
  <c r="V4996" i="8" s="1"/>
  <c r="A4997" i="8"/>
  <c r="V4997" i="8" s="1"/>
  <c r="A4998" i="8"/>
  <c r="V4998" i="8" s="1"/>
  <c r="A4999" i="8"/>
  <c r="V4999" i="8" s="1"/>
  <c r="A5000" i="8"/>
  <c r="V5000" i="8" s="1"/>
  <c r="A5001" i="8"/>
  <c r="V5001" i="8" s="1"/>
  <c r="A5002" i="8"/>
  <c r="V5002" i="8" s="1"/>
  <c r="A5003" i="8"/>
  <c r="V5003" i="8" s="1"/>
  <c r="A5004" i="8"/>
  <c r="V5004" i="8" s="1"/>
  <c r="A5005" i="8"/>
  <c r="V5005" i="8" s="1"/>
  <c r="A5006" i="8"/>
  <c r="V5006" i="8" s="1"/>
  <c r="A5007" i="8"/>
  <c r="V5007" i="8" s="1"/>
  <c r="A5008" i="8"/>
  <c r="V5008" i="8" s="1"/>
  <c r="A5009" i="8"/>
  <c r="V5009" i="8" s="1"/>
  <c r="A5010" i="8"/>
  <c r="V5010" i="8" s="1"/>
  <c r="A5011" i="8"/>
  <c r="V5011" i="8" s="1"/>
  <c r="A5012" i="8"/>
  <c r="V5012" i="8" s="1"/>
  <c r="A5013" i="8"/>
  <c r="V5013" i="8" s="1"/>
  <c r="A5014" i="8"/>
  <c r="V5014" i="8" s="1"/>
  <c r="A5015" i="8"/>
  <c r="V5015" i="8" s="1"/>
  <c r="A5016" i="8"/>
  <c r="V5016" i="8" s="1"/>
  <c r="A5017" i="8"/>
  <c r="V5017" i="8" s="1"/>
  <c r="A5018" i="8"/>
  <c r="V5018" i="8" s="1"/>
  <c r="A5019" i="8"/>
  <c r="V5019" i="8" s="1"/>
  <c r="A5020" i="8"/>
  <c r="V5020" i="8" s="1"/>
  <c r="A5021" i="8"/>
  <c r="V5021" i="8" s="1"/>
  <c r="A5022" i="8"/>
  <c r="V5022" i="8" s="1"/>
  <c r="A5023" i="8"/>
  <c r="V5023" i="8" s="1"/>
  <c r="A5024" i="8"/>
  <c r="V5024" i="8" s="1"/>
  <c r="A5025" i="8"/>
  <c r="V5025" i="8" s="1"/>
  <c r="A5026" i="8"/>
  <c r="V5026" i="8" s="1"/>
  <c r="A5027" i="8"/>
  <c r="V5027" i="8" s="1"/>
  <c r="A5028" i="8"/>
  <c r="V5028" i="8" s="1"/>
  <c r="A5029" i="8"/>
  <c r="V5029" i="8" s="1"/>
  <c r="A5030" i="8"/>
  <c r="V5030" i="8" s="1"/>
  <c r="A5031" i="8"/>
  <c r="V5031" i="8" s="1"/>
  <c r="A5032" i="8"/>
  <c r="V5032" i="8" s="1"/>
  <c r="A5033" i="8"/>
  <c r="V5033" i="8" s="1"/>
  <c r="A5034" i="8"/>
  <c r="V5034" i="8" s="1"/>
  <c r="A5035" i="8"/>
  <c r="V5035" i="8" s="1"/>
  <c r="A5036" i="8"/>
  <c r="V5036" i="8" s="1"/>
  <c r="A5037" i="8"/>
  <c r="V5037" i="8" s="1"/>
  <c r="A5038" i="8"/>
  <c r="V5038" i="8" s="1"/>
  <c r="A5039" i="8"/>
  <c r="V5039" i="8" s="1"/>
  <c r="A5040" i="8"/>
  <c r="V5040" i="8" s="1"/>
  <c r="A5041" i="8"/>
  <c r="V5041" i="8" s="1"/>
  <c r="A5042" i="8"/>
  <c r="V5042" i="8" s="1"/>
  <c r="A5043" i="8"/>
  <c r="V5043" i="8" s="1"/>
  <c r="A5044" i="8"/>
  <c r="V5044" i="8" s="1"/>
  <c r="A5045" i="8"/>
  <c r="V5045" i="8" s="1"/>
  <c r="A5046" i="8"/>
  <c r="V5046" i="8" s="1"/>
  <c r="A5047" i="8"/>
  <c r="V5047" i="8" s="1"/>
  <c r="A5048" i="8"/>
  <c r="V5048" i="8" s="1"/>
  <c r="A5049" i="8"/>
  <c r="V5049" i="8" s="1"/>
  <c r="A5050" i="8"/>
  <c r="V5050" i="8" s="1"/>
  <c r="A5051" i="8"/>
  <c r="V5051" i="8" s="1"/>
  <c r="A5052" i="8"/>
  <c r="V5052" i="8" s="1"/>
  <c r="A5053" i="8"/>
  <c r="V5053" i="8" s="1"/>
  <c r="A5054" i="8"/>
  <c r="V5054" i="8" s="1"/>
  <c r="A5055" i="8"/>
  <c r="V5055" i="8" s="1"/>
  <c r="A5056" i="8"/>
  <c r="V5056" i="8" s="1"/>
  <c r="A5057" i="8"/>
  <c r="V5057" i="8" s="1"/>
  <c r="A5058" i="8"/>
  <c r="V5058" i="8" s="1"/>
  <c r="A5059" i="8"/>
  <c r="V5059" i="8" s="1"/>
  <c r="A5060" i="8"/>
  <c r="V5060" i="8" s="1"/>
  <c r="A5061" i="8"/>
  <c r="V5061" i="8" s="1"/>
  <c r="A5062" i="8"/>
  <c r="V5062" i="8" s="1"/>
  <c r="A5063" i="8"/>
  <c r="V5063" i="8" s="1"/>
  <c r="A5064" i="8"/>
  <c r="V5064" i="8" s="1"/>
  <c r="A5065" i="8"/>
  <c r="V5065" i="8" s="1"/>
  <c r="A5066" i="8"/>
  <c r="V5066" i="8" s="1"/>
  <c r="A5067" i="8"/>
  <c r="V5067" i="8" s="1"/>
  <c r="A5068" i="8"/>
  <c r="V5068" i="8" s="1"/>
  <c r="A5069" i="8"/>
  <c r="V5069" i="8" s="1"/>
  <c r="A5070" i="8"/>
  <c r="V5070" i="8" s="1"/>
  <c r="A5071" i="8"/>
  <c r="V5071" i="8" s="1"/>
  <c r="A5072" i="8"/>
  <c r="V5072" i="8" s="1"/>
  <c r="A5073" i="8"/>
  <c r="V5073" i="8" s="1"/>
  <c r="A5074" i="8"/>
  <c r="V5074" i="8" s="1"/>
  <c r="A5075" i="8"/>
  <c r="V5075" i="8" s="1"/>
  <c r="A5076" i="8"/>
  <c r="V5076" i="8" s="1"/>
  <c r="A5077" i="8"/>
  <c r="V5077" i="8" s="1"/>
  <c r="A5078" i="8"/>
  <c r="V5078" i="8" s="1"/>
  <c r="A5079" i="8"/>
  <c r="V5079" i="8" s="1"/>
  <c r="A5080" i="8"/>
  <c r="V5080" i="8" s="1"/>
  <c r="A5081" i="8"/>
  <c r="V5081" i="8" s="1"/>
  <c r="A5082" i="8"/>
  <c r="V5082" i="8" s="1"/>
  <c r="A5083" i="8"/>
  <c r="V5083" i="8" s="1"/>
  <c r="A5084" i="8"/>
  <c r="V5084" i="8" s="1"/>
  <c r="A5085" i="8"/>
  <c r="V5085" i="8" s="1"/>
  <c r="A5086" i="8"/>
  <c r="V5086" i="8" s="1"/>
  <c r="A5087" i="8"/>
  <c r="V5087" i="8" s="1"/>
  <c r="A5088" i="8"/>
  <c r="V5088" i="8" s="1"/>
  <c r="A5089" i="8"/>
  <c r="V5089" i="8" s="1"/>
  <c r="A5090" i="8"/>
  <c r="V5090" i="8" s="1"/>
  <c r="A5091" i="8"/>
  <c r="V5091" i="8" s="1"/>
  <c r="A5092" i="8"/>
  <c r="V5092" i="8" s="1"/>
  <c r="A5093" i="8"/>
  <c r="V5093" i="8" s="1"/>
  <c r="A5094" i="8"/>
  <c r="V5094" i="8" s="1"/>
  <c r="A5095" i="8"/>
  <c r="V5095" i="8" s="1"/>
  <c r="A5096" i="8"/>
  <c r="V5096" i="8" s="1"/>
  <c r="A5097" i="8"/>
  <c r="V5097" i="8" s="1"/>
  <c r="A5098" i="8"/>
  <c r="V5098" i="8" s="1"/>
  <c r="A5099" i="8"/>
  <c r="V5099" i="8" s="1"/>
  <c r="A5100" i="8"/>
  <c r="V5100" i="8" s="1"/>
  <c r="A5101" i="8"/>
  <c r="V5101" i="8" s="1"/>
  <c r="A5102" i="8"/>
  <c r="V5102" i="8" s="1"/>
  <c r="A5103" i="8"/>
  <c r="V5103" i="8" s="1"/>
  <c r="A5104" i="8"/>
  <c r="V5104" i="8" s="1"/>
  <c r="A5105" i="8"/>
  <c r="V5105" i="8" s="1"/>
  <c r="A5106" i="8"/>
  <c r="V5106" i="8" s="1"/>
  <c r="A5107" i="8"/>
  <c r="V5107" i="8" s="1"/>
  <c r="A5108" i="8"/>
  <c r="V5108" i="8" s="1"/>
  <c r="A5109" i="8"/>
  <c r="V5109" i="8" s="1"/>
  <c r="A5110" i="8"/>
  <c r="V5110" i="8" s="1"/>
  <c r="A5111" i="8"/>
  <c r="V5111" i="8" s="1"/>
  <c r="A5112" i="8"/>
  <c r="V5112" i="8" s="1"/>
  <c r="A5113" i="8"/>
  <c r="V5113" i="8" s="1"/>
  <c r="A5114" i="8"/>
  <c r="V5114" i="8" s="1"/>
  <c r="A5115" i="8"/>
  <c r="V5115" i="8" s="1"/>
  <c r="A5116" i="8"/>
  <c r="V5116" i="8" s="1"/>
  <c r="A5117" i="8"/>
  <c r="V5117" i="8" s="1"/>
  <c r="A5118" i="8"/>
  <c r="V5118" i="8" s="1"/>
  <c r="A5119" i="8"/>
  <c r="V5119" i="8" s="1"/>
  <c r="A5120" i="8"/>
  <c r="V5120" i="8" s="1"/>
  <c r="A5121" i="8"/>
  <c r="V5121" i="8" s="1"/>
  <c r="A5122" i="8"/>
  <c r="V5122" i="8" s="1"/>
  <c r="A5123" i="8"/>
  <c r="V5123" i="8" s="1"/>
  <c r="A5124" i="8"/>
  <c r="V5124" i="8" s="1"/>
  <c r="A5125" i="8"/>
  <c r="V5125" i="8" s="1"/>
  <c r="A5126" i="8"/>
  <c r="V5126" i="8" s="1"/>
  <c r="A5127" i="8"/>
  <c r="V5127" i="8" s="1"/>
  <c r="A5128" i="8"/>
  <c r="V5128" i="8" s="1"/>
  <c r="A5129" i="8"/>
  <c r="V5129" i="8" s="1"/>
  <c r="A5130" i="8"/>
  <c r="V5130" i="8" s="1"/>
  <c r="A5131" i="8"/>
  <c r="V5131" i="8" s="1"/>
  <c r="A5132" i="8"/>
  <c r="V5132" i="8" s="1"/>
  <c r="A5133" i="8"/>
  <c r="V5133" i="8" s="1"/>
  <c r="A5134" i="8"/>
  <c r="V5134" i="8" s="1"/>
  <c r="A5135" i="8"/>
  <c r="V5135" i="8" s="1"/>
  <c r="A5136" i="8"/>
  <c r="V5136" i="8" s="1"/>
  <c r="A5137" i="8"/>
  <c r="V5137" i="8" s="1"/>
  <c r="A5138" i="8"/>
  <c r="V5138" i="8" s="1"/>
  <c r="A5139" i="8"/>
  <c r="V5139" i="8" s="1"/>
  <c r="A5140" i="8"/>
  <c r="V5140" i="8" s="1"/>
  <c r="A5141" i="8"/>
  <c r="V5141" i="8" s="1"/>
  <c r="A5142" i="8"/>
  <c r="V5142" i="8" s="1"/>
  <c r="A5143" i="8"/>
  <c r="V5143" i="8" s="1"/>
  <c r="A5144" i="8"/>
  <c r="V5144" i="8" s="1"/>
  <c r="A5145" i="8"/>
  <c r="V5145" i="8" s="1"/>
  <c r="A5146" i="8"/>
  <c r="V5146" i="8" s="1"/>
  <c r="A5147" i="8"/>
  <c r="V5147" i="8" s="1"/>
  <c r="A5148" i="8"/>
  <c r="V5148" i="8" s="1"/>
  <c r="A5149" i="8"/>
  <c r="V5149" i="8" s="1"/>
  <c r="A5150" i="8"/>
  <c r="V5150" i="8" s="1"/>
  <c r="A5151" i="8"/>
  <c r="V5151" i="8" s="1"/>
  <c r="A5152" i="8"/>
  <c r="V5152" i="8" s="1"/>
  <c r="A5153" i="8"/>
  <c r="V5153" i="8" s="1"/>
  <c r="A5154" i="8"/>
  <c r="V5154" i="8" s="1"/>
  <c r="A5155" i="8"/>
  <c r="V5155" i="8" s="1"/>
  <c r="A5156" i="8"/>
  <c r="V5156" i="8" s="1"/>
  <c r="A5157" i="8"/>
  <c r="V5157" i="8" s="1"/>
  <c r="A5158" i="8"/>
  <c r="V5158" i="8" s="1"/>
  <c r="A5159" i="8"/>
  <c r="V5159" i="8" s="1"/>
  <c r="A5160" i="8"/>
  <c r="V5160" i="8" s="1"/>
  <c r="A5161" i="8"/>
  <c r="V5161" i="8" s="1"/>
  <c r="A5162" i="8"/>
  <c r="V5162" i="8" s="1"/>
  <c r="A5163" i="8"/>
  <c r="V5163" i="8" s="1"/>
  <c r="A5164" i="8"/>
  <c r="V5164" i="8" s="1"/>
  <c r="A5165" i="8"/>
  <c r="V5165" i="8" s="1"/>
  <c r="A5166" i="8"/>
  <c r="V5166" i="8" s="1"/>
  <c r="A5167" i="8"/>
  <c r="V5167" i="8" s="1"/>
  <c r="A5168" i="8"/>
  <c r="V5168" i="8" s="1"/>
  <c r="A5169" i="8"/>
  <c r="V5169" i="8" s="1"/>
  <c r="A5170" i="8"/>
  <c r="V5170" i="8" s="1"/>
  <c r="A5171" i="8"/>
  <c r="V5171" i="8" s="1"/>
  <c r="A5172" i="8"/>
  <c r="V5172" i="8" s="1"/>
  <c r="A5173" i="8"/>
  <c r="V5173" i="8" s="1"/>
  <c r="A5174" i="8"/>
  <c r="V5174" i="8" s="1"/>
  <c r="A5175" i="8"/>
  <c r="V5175" i="8" s="1"/>
  <c r="A5176" i="8"/>
  <c r="V5176" i="8" s="1"/>
  <c r="A5177" i="8"/>
  <c r="V5177" i="8" s="1"/>
  <c r="A5178" i="8"/>
  <c r="V5178" i="8" s="1"/>
  <c r="A5179" i="8"/>
  <c r="V5179" i="8" s="1"/>
  <c r="A5180" i="8"/>
  <c r="V5180" i="8" s="1"/>
  <c r="A5181" i="8"/>
  <c r="V5181" i="8" s="1"/>
  <c r="A5182" i="8"/>
  <c r="V5182" i="8" s="1"/>
  <c r="A5183" i="8"/>
  <c r="V5183" i="8" s="1"/>
  <c r="A5184" i="8"/>
  <c r="V5184" i="8" s="1"/>
  <c r="A5185" i="8"/>
  <c r="V5185" i="8" s="1"/>
  <c r="A5186" i="8"/>
  <c r="V5186" i="8" s="1"/>
  <c r="A5187" i="8"/>
  <c r="V5187" i="8" s="1"/>
  <c r="A5188" i="8"/>
  <c r="V5188" i="8" s="1"/>
  <c r="A5189" i="8"/>
  <c r="V5189" i="8" s="1"/>
  <c r="A5190" i="8"/>
  <c r="V5190" i="8" s="1"/>
  <c r="A5191" i="8"/>
  <c r="V5191" i="8" s="1"/>
  <c r="A5192" i="8"/>
  <c r="V5192" i="8" s="1"/>
  <c r="A5193" i="8"/>
  <c r="V5193" i="8" s="1"/>
  <c r="A5194" i="8"/>
  <c r="V5194" i="8" s="1"/>
  <c r="A5195" i="8"/>
  <c r="V5195" i="8" s="1"/>
  <c r="A5196" i="8"/>
  <c r="V5196" i="8" s="1"/>
  <c r="A5197" i="8"/>
  <c r="V5197" i="8" s="1"/>
  <c r="A5198" i="8"/>
  <c r="V5198" i="8" s="1"/>
  <c r="A5199" i="8"/>
  <c r="V5199" i="8" s="1"/>
  <c r="A5200" i="8"/>
  <c r="V5200" i="8" s="1"/>
  <c r="A5201" i="8"/>
  <c r="V5201" i="8" s="1"/>
  <c r="A5202" i="8"/>
  <c r="V5202" i="8" s="1"/>
  <c r="A5203" i="8"/>
  <c r="V5203" i="8" s="1"/>
  <c r="A5204" i="8"/>
  <c r="V5204" i="8" s="1"/>
  <c r="A5205" i="8"/>
  <c r="V5205" i="8" s="1"/>
  <c r="A5206" i="8"/>
  <c r="V5206" i="8" s="1"/>
  <c r="A5207" i="8"/>
  <c r="V5207" i="8" s="1"/>
  <c r="A5208" i="8"/>
  <c r="V5208" i="8" s="1"/>
  <c r="A5209" i="8"/>
  <c r="V5209" i="8" s="1"/>
  <c r="A5210" i="8"/>
  <c r="V5210" i="8" s="1"/>
  <c r="A5211" i="8"/>
  <c r="V5211" i="8" s="1"/>
  <c r="A5212" i="8"/>
  <c r="V5212" i="8" s="1"/>
  <c r="A5213" i="8"/>
  <c r="V5213" i="8" s="1"/>
  <c r="A5214" i="8"/>
  <c r="V5214" i="8" s="1"/>
  <c r="A5215" i="8"/>
  <c r="V5215" i="8" s="1"/>
  <c r="A5216" i="8"/>
  <c r="V5216" i="8" s="1"/>
  <c r="A5217" i="8"/>
  <c r="V5217" i="8" s="1"/>
  <c r="A5218" i="8"/>
  <c r="V5218" i="8" s="1"/>
  <c r="A5219" i="8"/>
  <c r="V5219" i="8" s="1"/>
  <c r="A5220" i="8"/>
  <c r="V5220" i="8" s="1"/>
  <c r="A5221" i="8"/>
  <c r="V5221" i="8" s="1"/>
  <c r="A5222" i="8"/>
  <c r="V5222" i="8" s="1"/>
  <c r="A5223" i="8"/>
  <c r="V5223" i="8" s="1"/>
  <c r="A5224" i="8"/>
  <c r="V5224" i="8" s="1"/>
  <c r="A5225" i="8"/>
  <c r="V5225" i="8" s="1"/>
  <c r="A5226" i="8"/>
  <c r="V5226" i="8" s="1"/>
  <c r="A5227" i="8"/>
  <c r="V5227" i="8" s="1"/>
  <c r="A5228" i="8"/>
  <c r="V5228" i="8" s="1"/>
  <c r="A5229" i="8"/>
  <c r="V5229" i="8" s="1"/>
  <c r="A5230" i="8"/>
  <c r="V5230" i="8" s="1"/>
  <c r="A5231" i="8"/>
  <c r="V5231" i="8" s="1"/>
  <c r="A5232" i="8"/>
  <c r="V5232" i="8" s="1"/>
  <c r="A5233" i="8"/>
  <c r="V5233" i="8" s="1"/>
  <c r="A5234" i="8"/>
  <c r="V5234" i="8" s="1"/>
  <c r="A5235" i="8"/>
  <c r="V5235" i="8" s="1"/>
  <c r="A5236" i="8"/>
  <c r="V5236" i="8" s="1"/>
  <c r="A5237" i="8"/>
  <c r="V5237" i="8" s="1"/>
  <c r="A5238" i="8"/>
  <c r="V5238" i="8" s="1"/>
  <c r="A5239" i="8"/>
  <c r="V5239" i="8" s="1"/>
  <c r="A5240" i="8"/>
  <c r="V5240" i="8" s="1"/>
  <c r="A5241" i="8"/>
  <c r="V5241" i="8" s="1"/>
  <c r="A5242" i="8"/>
  <c r="V5242" i="8" s="1"/>
  <c r="A5243" i="8"/>
  <c r="V5243" i="8" s="1"/>
  <c r="A5244" i="8"/>
  <c r="V5244" i="8" s="1"/>
  <c r="A5245" i="8"/>
  <c r="V5245" i="8" s="1"/>
  <c r="A5246" i="8"/>
  <c r="V5246" i="8" s="1"/>
  <c r="A5247" i="8"/>
  <c r="V5247" i="8" s="1"/>
  <c r="A5248" i="8"/>
  <c r="V5248" i="8" s="1"/>
  <c r="A5249" i="8"/>
  <c r="V5249" i="8" s="1"/>
  <c r="A5250" i="8"/>
  <c r="V5250" i="8" s="1"/>
  <c r="A5251" i="8"/>
  <c r="V5251" i="8" s="1"/>
  <c r="A5252" i="8"/>
  <c r="V5252" i="8" s="1"/>
  <c r="A5253" i="8"/>
  <c r="V5253" i="8" s="1"/>
  <c r="A5254" i="8"/>
  <c r="V5254" i="8" s="1"/>
  <c r="A5255" i="8"/>
  <c r="V5255" i="8" s="1"/>
  <c r="A5256" i="8"/>
  <c r="V5256" i="8" s="1"/>
  <c r="A5257" i="8"/>
  <c r="V5257" i="8" s="1"/>
  <c r="A5258" i="8"/>
  <c r="V5258" i="8" s="1"/>
  <c r="A5259" i="8"/>
  <c r="V5259" i="8" s="1"/>
  <c r="A5260" i="8"/>
  <c r="V5260" i="8" s="1"/>
  <c r="A5261" i="8"/>
  <c r="V5261" i="8" s="1"/>
  <c r="A5262" i="8"/>
  <c r="V5262" i="8" s="1"/>
  <c r="A5263" i="8"/>
  <c r="V5263" i="8" s="1"/>
  <c r="A5264" i="8"/>
  <c r="V5264" i="8" s="1"/>
  <c r="A5265" i="8"/>
  <c r="V5265" i="8" s="1"/>
  <c r="A5266" i="8"/>
  <c r="V5266" i="8" s="1"/>
  <c r="A5267" i="8"/>
  <c r="V5267" i="8" s="1"/>
  <c r="A5268" i="8"/>
  <c r="V5268" i="8" s="1"/>
  <c r="A5269" i="8"/>
  <c r="V5269" i="8" s="1"/>
  <c r="A5270" i="8"/>
  <c r="V5270" i="8" s="1"/>
  <c r="A5271" i="8"/>
  <c r="V5271" i="8" s="1"/>
  <c r="A5272" i="8"/>
  <c r="V5272" i="8" s="1"/>
  <c r="A5273" i="8"/>
  <c r="V5273" i="8" s="1"/>
  <c r="A5274" i="8"/>
  <c r="V5274" i="8" s="1"/>
  <c r="A5275" i="8"/>
  <c r="V5275" i="8" s="1"/>
  <c r="A5276" i="8"/>
  <c r="V5276" i="8" s="1"/>
  <c r="A5277" i="8"/>
  <c r="V5277" i="8" s="1"/>
  <c r="A5278" i="8"/>
  <c r="V5278" i="8" s="1"/>
  <c r="A5279" i="8"/>
  <c r="V5279" i="8" s="1"/>
  <c r="A5280" i="8"/>
  <c r="V5280" i="8" s="1"/>
  <c r="A5281" i="8"/>
  <c r="V5281" i="8" s="1"/>
  <c r="A5282" i="8"/>
  <c r="V5282" i="8" s="1"/>
  <c r="A5283" i="8"/>
  <c r="V5283" i="8" s="1"/>
  <c r="A5284" i="8"/>
  <c r="V5284" i="8" s="1"/>
  <c r="A5285" i="8"/>
  <c r="V5285" i="8" s="1"/>
  <c r="A5286" i="8"/>
  <c r="V5286" i="8" s="1"/>
  <c r="A5287" i="8"/>
  <c r="V5287" i="8" s="1"/>
  <c r="A5288" i="8"/>
  <c r="V5288" i="8" s="1"/>
  <c r="A5289" i="8"/>
  <c r="V5289" i="8" s="1"/>
  <c r="A5290" i="8"/>
  <c r="V5290" i="8" s="1"/>
  <c r="A5291" i="8"/>
  <c r="V5291" i="8" s="1"/>
  <c r="A5292" i="8"/>
  <c r="V5292" i="8" s="1"/>
  <c r="A5293" i="8"/>
  <c r="V5293" i="8" s="1"/>
  <c r="A5294" i="8"/>
  <c r="V5294" i="8" s="1"/>
  <c r="A5295" i="8"/>
  <c r="V5295" i="8" s="1"/>
  <c r="A5296" i="8"/>
  <c r="V5296" i="8" s="1"/>
  <c r="A5297" i="8"/>
  <c r="V5297" i="8" s="1"/>
  <c r="A5298" i="8"/>
  <c r="V5298" i="8" s="1"/>
  <c r="A5299" i="8"/>
  <c r="V5299" i="8" s="1"/>
  <c r="A5300" i="8"/>
  <c r="V5300" i="8" s="1"/>
  <c r="A5301" i="8"/>
  <c r="V5301" i="8" s="1"/>
  <c r="A5302" i="8"/>
  <c r="V5302" i="8" s="1"/>
  <c r="A5303" i="8"/>
  <c r="V5303" i="8" s="1"/>
  <c r="A5304" i="8"/>
  <c r="V5304" i="8" s="1"/>
  <c r="A5305" i="8"/>
  <c r="V5305" i="8" s="1"/>
  <c r="A5306" i="8"/>
  <c r="V5306" i="8" s="1"/>
  <c r="A5307" i="8"/>
  <c r="V5307" i="8" s="1"/>
  <c r="A5308" i="8"/>
  <c r="V5308" i="8" s="1"/>
  <c r="A5309" i="8"/>
  <c r="V5309" i="8" s="1"/>
  <c r="A5310" i="8"/>
  <c r="V5310" i="8" s="1"/>
  <c r="A5311" i="8"/>
  <c r="V5311" i="8" s="1"/>
  <c r="A5312" i="8"/>
  <c r="V5312" i="8" s="1"/>
  <c r="A5313" i="8"/>
  <c r="V5313" i="8" s="1"/>
  <c r="A5314" i="8"/>
  <c r="V5314" i="8" s="1"/>
  <c r="A5315" i="8"/>
  <c r="V5315" i="8" s="1"/>
  <c r="A5316" i="8"/>
  <c r="V5316" i="8" s="1"/>
  <c r="A5317" i="8"/>
  <c r="V5317" i="8" s="1"/>
  <c r="A5318" i="8"/>
  <c r="V5318" i="8" s="1"/>
  <c r="A5319" i="8"/>
  <c r="V5319" i="8" s="1"/>
  <c r="A5320" i="8"/>
  <c r="V5320" i="8" s="1"/>
  <c r="A5321" i="8"/>
  <c r="V5321" i="8" s="1"/>
  <c r="A5322" i="8"/>
  <c r="V5322" i="8" s="1"/>
  <c r="A5323" i="8"/>
  <c r="V5323" i="8" s="1"/>
  <c r="A5324" i="8"/>
  <c r="V5324" i="8" s="1"/>
  <c r="A5325" i="8"/>
  <c r="V5325" i="8" s="1"/>
  <c r="A5326" i="8"/>
  <c r="V5326" i="8" s="1"/>
  <c r="A5327" i="8"/>
  <c r="V5327" i="8" s="1"/>
  <c r="A5328" i="8"/>
  <c r="V5328" i="8" s="1"/>
  <c r="A5329" i="8"/>
  <c r="V5329" i="8" s="1"/>
  <c r="A5330" i="8"/>
  <c r="V5330" i="8" s="1"/>
  <c r="A5331" i="8"/>
  <c r="V5331" i="8" s="1"/>
  <c r="A5332" i="8"/>
  <c r="V5332" i="8" s="1"/>
  <c r="A5333" i="8"/>
  <c r="V5333" i="8" s="1"/>
  <c r="A5334" i="8"/>
  <c r="V5334" i="8" s="1"/>
  <c r="A5335" i="8"/>
  <c r="V5335" i="8" s="1"/>
  <c r="A5336" i="8"/>
  <c r="V5336" i="8" s="1"/>
  <c r="A5337" i="8"/>
  <c r="V5337" i="8" s="1"/>
  <c r="A5338" i="8"/>
  <c r="V5338" i="8" s="1"/>
  <c r="A5339" i="8"/>
  <c r="V5339" i="8" s="1"/>
  <c r="A5340" i="8"/>
  <c r="V5340" i="8" s="1"/>
  <c r="A5341" i="8"/>
  <c r="V5341" i="8" s="1"/>
  <c r="A5342" i="8"/>
  <c r="V5342" i="8" s="1"/>
  <c r="A5343" i="8"/>
  <c r="V5343" i="8" s="1"/>
  <c r="A5344" i="8"/>
  <c r="V5344" i="8" s="1"/>
  <c r="A5345" i="8"/>
  <c r="V5345" i="8" s="1"/>
  <c r="A5346" i="8"/>
  <c r="V5346" i="8" s="1"/>
  <c r="A5347" i="8"/>
  <c r="V5347" i="8" s="1"/>
  <c r="A5348" i="8"/>
  <c r="V5348" i="8" s="1"/>
  <c r="A5349" i="8"/>
  <c r="V5349" i="8" s="1"/>
  <c r="A5350" i="8"/>
  <c r="V5350" i="8" s="1"/>
  <c r="A5351" i="8"/>
  <c r="V5351" i="8" s="1"/>
  <c r="A5352" i="8"/>
  <c r="V5352" i="8" s="1"/>
  <c r="A5353" i="8"/>
  <c r="V5353" i="8" s="1"/>
  <c r="A5354" i="8"/>
  <c r="V5354" i="8" s="1"/>
  <c r="A5355" i="8"/>
  <c r="V5355" i="8" s="1"/>
  <c r="A5356" i="8"/>
  <c r="V5356" i="8" s="1"/>
  <c r="A5357" i="8"/>
  <c r="V5357" i="8" s="1"/>
  <c r="A5358" i="8"/>
  <c r="V5358" i="8" s="1"/>
  <c r="A5359" i="8"/>
  <c r="V5359" i="8" s="1"/>
  <c r="A5360" i="8"/>
  <c r="V5360" i="8" s="1"/>
  <c r="A5361" i="8"/>
  <c r="V5361" i="8" s="1"/>
  <c r="A5362" i="8"/>
  <c r="V5362" i="8" s="1"/>
  <c r="A5363" i="8"/>
  <c r="V5363" i="8" s="1"/>
  <c r="A5364" i="8"/>
  <c r="V5364" i="8" s="1"/>
  <c r="A5365" i="8"/>
  <c r="V5365" i="8" s="1"/>
  <c r="A5366" i="8"/>
  <c r="V5366" i="8" s="1"/>
  <c r="A5367" i="8"/>
  <c r="V5367" i="8" s="1"/>
  <c r="A5368" i="8"/>
  <c r="V5368" i="8" s="1"/>
  <c r="A5369" i="8"/>
  <c r="V5369" i="8" s="1"/>
  <c r="A5370" i="8"/>
  <c r="V5370" i="8" s="1"/>
  <c r="A5371" i="8"/>
  <c r="V5371" i="8" s="1"/>
  <c r="A5372" i="8"/>
  <c r="V5372" i="8" s="1"/>
  <c r="A5373" i="8"/>
  <c r="V5373" i="8" s="1"/>
  <c r="A5374" i="8"/>
  <c r="V5374" i="8" s="1"/>
  <c r="A5375" i="8"/>
  <c r="V5375" i="8" s="1"/>
  <c r="A5376" i="8"/>
  <c r="V5376" i="8" s="1"/>
  <c r="A5377" i="8"/>
  <c r="V5377" i="8" s="1"/>
  <c r="A5378" i="8"/>
  <c r="V5378" i="8" s="1"/>
  <c r="A5379" i="8"/>
  <c r="V5379" i="8" s="1"/>
  <c r="A5380" i="8"/>
  <c r="V5380" i="8" s="1"/>
  <c r="A5381" i="8"/>
  <c r="V5381" i="8" s="1"/>
  <c r="A5382" i="8"/>
  <c r="V5382" i="8" s="1"/>
  <c r="A5383" i="8"/>
  <c r="V5383" i="8" s="1"/>
  <c r="A5384" i="8"/>
  <c r="V5384" i="8" s="1"/>
  <c r="A5385" i="8"/>
  <c r="V5385" i="8" s="1"/>
  <c r="A5386" i="8"/>
  <c r="V5386" i="8" s="1"/>
  <c r="A5387" i="8"/>
  <c r="V5387" i="8" s="1"/>
  <c r="A5388" i="8"/>
  <c r="V5388" i="8" s="1"/>
  <c r="A5389" i="8"/>
  <c r="V5389" i="8" s="1"/>
  <c r="A5390" i="8"/>
  <c r="V5390" i="8" s="1"/>
  <c r="A5391" i="8"/>
  <c r="V5391" i="8" s="1"/>
  <c r="A5392" i="8"/>
  <c r="V5392" i="8" s="1"/>
  <c r="A5393" i="8"/>
  <c r="V5393" i="8" s="1"/>
  <c r="A5394" i="8"/>
  <c r="V5394" i="8" s="1"/>
  <c r="A5395" i="8"/>
  <c r="V5395" i="8" s="1"/>
  <c r="A5396" i="8"/>
  <c r="V5396" i="8" s="1"/>
  <c r="A5397" i="8"/>
  <c r="V5397" i="8" s="1"/>
  <c r="A5398" i="8"/>
  <c r="V5398" i="8" s="1"/>
  <c r="A5399" i="8"/>
  <c r="V5399" i="8" s="1"/>
  <c r="A5400" i="8"/>
  <c r="V5400" i="8" s="1"/>
  <c r="A5401" i="8"/>
  <c r="V5401" i="8" s="1"/>
  <c r="A5402" i="8"/>
  <c r="V5402" i="8" s="1"/>
  <c r="A5403" i="8"/>
  <c r="V5403" i="8" s="1"/>
  <c r="A5404" i="8"/>
  <c r="V5404" i="8" s="1"/>
  <c r="A5405" i="8"/>
  <c r="V5405" i="8" s="1"/>
  <c r="A5406" i="8"/>
  <c r="V5406" i="8" s="1"/>
  <c r="A5407" i="8"/>
  <c r="V5407" i="8" s="1"/>
  <c r="A5408" i="8"/>
  <c r="V5408" i="8" s="1"/>
  <c r="A5409" i="8"/>
  <c r="V5409" i="8" s="1"/>
  <c r="A5410" i="8"/>
  <c r="V5410" i="8" s="1"/>
  <c r="A5411" i="8"/>
  <c r="V5411" i="8" s="1"/>
  <c r="A5412" i="8"/>
  <c r="V5412" i="8" s="1"/>
  <c r="A5413" i="8"/>
  <c r="V5413" i="8" s="1"/>
  <c r="A5414" i="8"/>
  <c r="V5414" i="8" s="1"/>
  <c r="A5415" i="8"/>
  <c r="V5415" i="8" s="1"/>
  <c r="A5416" i="8"/>
  <c r="V5416" i="8" s="1"/>
  <c r="A5417" i="8"/>
  <c r="V5417" i="8" s="1"/>
  <c r="A5418" i="8"/>
  <c r="V5418" i="8" s="1"/>
  <c r="A5419" i="8"/>
  <c r="V5419" i="8" s="1"/>
  <c r="A5420" i="8"/>
  <c r="V5420" i="8" s="1"/>
  <c r="A5421" i="8"/>
  <c r="V5421" i="8" s="1"/>
  <c r="A5422" i="8"/>
  <c r="V5422" i="8" s="1"/>
  <c r="A5423" i="8"/>
  <c r="V5423" i="8" s="1"/>
  <c r="A5424" i="8"/>
  <c r="V5424" i="8" s="1"/>
  <c r="A5425" i="8"/>
  <c r="V5425" i="8" s="1"/>
  <c r="A5426" i="8"/>
  <c r="V5426" i="8" s="1"/>
  <c r="A5427" i="8"/>
  <c r="V5427" i="8" s="1"/>
  <c r="A5428" i="8"/>
  <c r="V5428" i="8" s="1"/>
  <c r="A5429" i="8"/>
  <c r="V5429" i="8" s="1"/>
  <c r="A5430" i="8"/>
  <c r="V5430" i="8" s="1"/>
  <c r="A5431" i="8"/>
  <c r="V5431" i="8" s="1"/>
  <c r="A5432" i="8"/>
  <c r="V5432" i="8" s="1"/>
  <c r="A5433" i="8"/>
  <c r="V5433" i="8" s="1"/>
  <c r="A5434" i="8"/>
  <c r="V5434" i="8" s="1"/>
  <c r="A5435" i="8"/>
  <c r="V5435" i="8" s="1"/>
  <c r="A5436" i="8"/>
  <c r="V5436" i="8" s="1"/>
  <c r="A5437" i="8"/>
  <c r="V5437" i="8" s="1"/>
  <c r="A5438" i="8"/>
  <c r="V5438" i="8" s="1"/>
  <c r="A5439" i="8"/>
  <c r="V5439" i="8" s="1"/>
  <c r="A5440" i="8"/>
  <c r="V5440" i="8" s="1"/>
  <c r="A5441" i="8"/>
  <c r="V5441" i="8" s="1"/>
  <c r="A5442" i="8"/>
  <c r="V5442" i="8" s="1"/>
  <c r="A5443" i="8"/>
  <c r="V5443" i="8" s="1"/>
  <c r="A5444" i="8"/>
  <c r="V5444" i="8" s="1"/>
  <c r="A5445" i="8"/>
  <c r="V5445" i="8" s="1"/>
  <c r="A5446" i="8"/>
  <c r="V5446" i="8" s="1"/>
  <c r="A5447" i="8"/>
  <c r="V5447" i="8" s="1"/>
  <c r="A5448" i="8"/>
  <c r="V5448" i="8" s="1"/>
  <c r="A5449" i="8"/>
  <c r="V5449" i="8" s="1"/>
  <c r="A5450" i="8"/>
  <c r="V5450" i="8" s="1"/>
  <c r="A5451" i="8"/>
  <c r="V5451" i="8" s="1"/>
  <c r="A5452" i="8"/>
  <c r="V5452" i="8" s="1"/>
  <c r="A5453" i="8"/>
  <c r="V5453" i="8" s="1"/>
  <c r="A5454" i="8"/>
  <c r="V5454" i="8" s="1"/>
  <c r="A5455" i="8"/>
  <c r="V5455" i="8" s="1"/>
  <c r="A5456" i="8"/>
  <c r="V5456" i="8" s="1"/>
  <c r="A5457" i="8"/>
  <c r="V5457" i="8" s="1"/>
  <c r="A5458" i="8"/>
  <c r="V5458" i="8" s="1"/>
  <c r="A5459" i="8"/>
  <c r="V5459" i="8" s="1"/>
  <c r="A5460" i="8"/>
  <c r="V5460" i="8" s="1"/>
  <c r="A5461" i="8"/>
  <c r="V5461" i="8" s="1"/>
  <c r="A5462" i="8"/>
  <c r="V5462" i="8" s="1"/>
  <c r="A5463" i="8"/>
  <c r="V5463" i="8" s="1"/>
  <c r="A5464" i="8"/>
  <c r="V5464" i="8" s="1"/>
  <c r="A5465" i="8"/>
  <c r="V5465" i="8" s="1"/>
  <c r="A5466" i="8"/>
  <c r="V5466" i="8" s="1"/>
  <c r="A5467" i="8"/>
  <c r="V5467" i="8" s="1"/>
  <c r="A5468" i="8"/>
  <c r="V5468" i="8" s="1"/>
  <c r="A5469" i="8"/>
  <c r="V5469" i="8" s="1"/>
  <c r="A5470" i="8"/>
  <c r="V5470" i="8" s="1"/>
  <c r="A5471" i="8"/>
  <c r="V5471" i="8" s="1"/>
  <c r="A5472" i="8"/>
  <c r="V5472" i="8" s="1"/>
  <c r="A5473" i="8"/>
  <c r="V5473" i="8" s="1"/>
  <c r="A5474" i="8"/>
  <c r="V5474" i="8" s="1"/>
  <c r="A5475" i="8"/>
  <c r="V5475" i="8" s="1"/>
  <c r="A5476" i="8"/>
  <c r="V5476" i="8" s="1"/>
  <c r="A5477" i="8"/>
  <c r="V5477" i="8" s="1"/>
  <c r="A5478" i="8"/>
  <c r="V5478" i="8" s="1"/>
  <c r="A5479" i="8"/>
  <c r="V5479" i="8" s="1"/>
  <c r="A5480" i="8"/>
  <c r="V5480" i="8" s="1"/>
  <c r="A5481" i="8"/>
  <c r="V5481" i="8" s="1"/>
  <c r="A5482" i="8"/>
  <c r="V5482" i="8" s="1"/>
  <c r="A5483" i="8"/>
  <c r="V5483" i="8" s="1"/>
  <c r="A5484" i="8"/>
  <c r="V5484" i="8" s="1"/>
  <c r="A5485" i="8"/>
  <c r="V5485" i="8" s="1"/>
  <c r="A5486" i="8"/>
  <c r="V5486" i="8" s="1"/>
  <c r="A5487" i="8"/>
  <c r="V5487" i="8" s="1"/>
  <c r="A5488" i="8"/>
  <c r="V5488" i="8" s="1"/>
  <c r="A5489" i="8"/>
  <c r="V5489" i="8" s="1"/>
  <c r="A5490" i="8"/>
  <c r="V5490" i="8" s="1"/>
  <c r="A5491" i="8"/>
  <c r="V5491" i="8" s="1"/>
  <c r="A5492" i="8"/>
  <c r="V5492" i="8" s="1"/>
  <c r="A5493" i="8"/>
  <c r="V5493" i="8" s="1"/>
  <c r="A5494" i="8"/>
  <c r="V5494" i="8" s="1"/>
  <c r="A5495" i="8"/>
  <c r="V5495" i="8" s="1"/>
  <c r="A5496" i="8"/>
  <c r="V5496" i="8" s="1"/>
  <c r="A5497" i="8"/>
  <c r="V5497" i="8" s="1"/>
  <c r="A5498" i="8"/>
  <c r="V5498" i="8" s="1"/>
  <c r="A5499" i="8"/>
  <c r="V5499" i="8" s="1"/>
  <c r="A5500" i="8"/>
  <c r="V5500" i="8" s="1"/>
  <c r="A5501" i="8"/>
  <c r="V5501" i="8" s="1"/>
  <c r="A5502" i="8"/>
  <c r="V5502" i="8" s="1"/>
  <c r="A5503" i="8"/>
  <c r="V5503" i="8" s="1"/>
  <c r="A5504" i="8"/>
  <c r="V5504" i="8" s="1"/>
  <c r="A5505" i="8"/>
  <c r="V5505" i="8" s="1"/>
  <c r="A5506" i="8"/>
  <c r="V5506" i="8" s="1"/>
  <c r="A5507" i="8"/>
  <c r="V5507" i="8" s="1"/>
  <c r="A5508" i="8"/>
  <c r="V5508" i="8" s="1"/>
  <c r="A5509" i="8"/>
  <c r="V5509" i="8" s="1"/>
  <c r="A5510" i="8"/>
  <c r="V5510" i="8" s="1"/>
  <c r="A5511" i="8"/>
  <c r="V5511" i="8" s="1"/>
  <c r="A5512" i="8"/>
  <c r="V5512" i="8" s="1"/>
  <c r="A5513" i="8"/>
  <c r="V5513" i="8" s="1"/>
  <c r="A5514" i="8"/>
  <c r="V5514" i="8" s="1"/>
  <c r="A5515" i="8"/>
  <c r="V5515" i="8" s="1"/>
  <c r="A5516" i="8"/>
  <c r="V5516" i="8" s="1"/>
  <c r="A5517" i="8"/>
  <c r="V5517" i="8" s="1"/>
  <c r="A5518" i="8"/>
  <c r="V5518" i="8" s="1"/>
  <c r="A5519" i="8"/>
  <c r="V5519" i="8" s="1"/>
  <c r="A5520" i="8"/>
  <c r="V5520" i="8" s="1"/>
  <c r="A5521" i="8"/>
  <c r="V5521" i="8" s="1"/>
  <c r="A5522" i="8"/>
  <c r="V5522" i="8" s="1"/>
  <c r="A5523" i="8"/>
  <c r="V5523" i="8" s="1"/>
  <c r="A5524" i="8"/>
  <c r="V5524" i="8" s="1"/>
  <c r="A5525" i="8"/>
  <c r="V5525" i="8" s="1"/>
  <c r="A5526" i="8"/>
  <c r="V5526" i="8" s="1"/>
  <c r="A5527" i="8"/>
  <c r="V5527" i="8" s="1"/>
  <c r="A5528" i="8"/>
  <c r="V5528" i="8" s="1"/>
  <c r="A5529" i="8"/>
  <c r="V5529" i="8" s="1"/>
  <c r="A5530" i="8"/>
  <c r="V5530" i="8" s="1"/>
  <c r="A5531" i="8"/>
  <c r="V5531" i="8" s="1"/>
  <c r="A5532" i="8"/>
  <c r="V5532" i="8" s="1"/>
  <c r="A5533" i="8"/>
  <c r="V5533" i="8" s="1"/>
  <c r="A5534" i="8"/>
  <c r="V5534" i="8" s="1"/>
  <c r="A5535" i="8"/>
  <c r="V5535" i="8" s="1"/>
  <c r="A5536" i="8"/>
  <c r="V5536" i="8" s="1"/>
  <c r="A5537" i="8"/>
  <c r="V5537" i="8" s="1"/>
  <c r="A5538" i="8"/>
  <c r="V5538" i="8" s="1"/>
  <c r="A5539" i="8"/>
  <c r="V5539" i="8" s="1"/>
  <c r="A5540" i="8"/>
  <c r="V5540" i="8" s="1"/>
  <c r="A5541" i="8"/>
  <c r="V5541" i="8" s="1"/>
  <c r="A5542" i="8"/>
  <c r="V5542" i="8" s="1"/>
  <c r="A5543" i="8"/>
  <c r="V5543" i="8" s="1"/>
  <c r="A5544" i="8"/>
  <c r="V5544" i="8" s="1"/>
  <c r="A5545" i="8"/>
  <c r="V5545" i="8" s="1"/>
  <c r="A5546" i="8"/>
  <c r="V5546" i="8" s="1"/>
  <c r="A5547" i="8"/>
  <c r="V5547" i="8" s="1"/>
  <c r="A5548" i="8"/>
  <c r="V5548" i="8" s="1"/>
  <c r="A5549" i="8"/>
  <c r="V5549" i="8" s="1"/>
  <c r="A5550" i="8"/>
  <c r="V5550" i="8" s="1"/>
  <c r="A5551" i="8"/>
  <c r="V5551" i="8" s="1"/>
  <c r="A5552" i="8"/>
  <c r="V5552" i="8" s="1"/>
  <c r="A5553" i="8"/>
  <c r="V5553" i="8" s="1"/>
  <c r="A5554" i="8"/>
  <c r="V5554" i="8" s="1"/>
  <c r="A5555" i="8"/>
  <c r="V5555" i="8" s="1"/>
  <c r="A5556" i="8"/>
  <c r="V5556" i="8" s="1"/>
  <c r="A5557" i="8"/>
  <c r="V5557" i="8" s="1"/>
  <c r="A5558" i="8"/>
  <c r="V5558" i="8" s="1"/>
  <c r="A5559" i="8"/>
  <c r="V5559" i="8" s="1"/>
  <c r="A5560" i="8"/>
  <c r="V5560" i="8" s="1"/>
  <c r="A5561" i="8"/>
  <c r="V5561" i="8" s="1"/>
  <c r="A5562" i="8"/>
  <c r="V5562" i="8" s="1"/>
  <c r="A5563" i="8"/>
  <c r="V5563" i="8" s="1"/>
  <c r="A5564" i="8"/>
  <c r="V5564" i="8" s="1"/>
  <c r="A5565" i="8"/>
  <c r="V5565" i="8" s="1"/>
  <c r="A5566" i="8"/>
  <c r="V5566" i="8" s="1"/>
  <c r="A5567" i="8"/>
  <c r="V5567" i="8" s="1"/>
  <c r="A5568" i="8"/>
  <c r="V5568" i="8" s="1"/>
  <c r="A5569" i="8"/>
  <c r="V5569" i="8" s="1"/>
  <c r="A5570" i="8"/>
  <c r="V5570" i="8" s="1"/>
  <c r="A5571" i="8"/>
  <c r="V5571" i="8" s="1"/>
  <c r="A5572" i="8"/>
  <c r="V5572" i="8" s="1"/>
  <c r="A5573" i="8"/>
  <c r="V5573" i="8" s="1"/>
  <c r="A5574" i="8"/>
  <c r="V5574" i="8" s="1"/>
  <c r="A5575" i="8"/>
  <c r="V5575" i="8" s="1"/>
  <c r="A5576" i="8"/>
  <c r="V5576" i="8" s="1"/>
  <c r="A5577" i="8"/>
  <c r="V5577" i="8" s="1"/>
  <c r="A5578" i="8"/>
  <c r="V5578" i="8" s="1"/>
  <c r="A5579" i="8"/>
  <c r="V5579" i="8" s="1"/>
  <c r="A5580" i="8"/>
  <c r="V5580" i="8" s="1"/>
  <c r="A5581" i="8"/>
  <c r="V5581" i="8" s="1"/>
  <c r="A5582" i="8"/>
  <c r="V5582" i="8" s="1"/>
  <c r="A5583" i="8"/>
  <c r="V5583" i="8" s="1"/>
  <c r="A5584" i="8"/>
  <c r="V5584" i="8" s="1"/>
  <c r="A5585" i="8"/>
  <c r="V5585" i="8" s="1"/>
  <c r="A5586" i="8"/>
  <c r="V5586" i="8" s="1"/>
  <c r="A5587" i="8"/>
  <c r="V5587" i="8" s="1"/>
  <c r="A5588" i="8"/>
  <c r="V5588" i="8" s="1"/>
  <c r="A5589" i="8"/>
  <c r="V5589" i="8" s="1"/>
  <c r="A5590" i="8"/>
  <c r="V5590" i="8" s="1"/>
  <c r="A5591" i="8"/>
  <c r="V5591" i="8" s="1"/>
  <c r="A5592" i="8"/>
  <c r="V5592" i="8" s="1"/>
  <c r="A5593" i="8"/>
  <c r="V5593" i="8" s="1"/>
  <c r="A5594" i="8"/>
  <c r="V5594" i="8" s="1"/>
  <c r="A5595" i="8"/>
  <c r="V5595" i="8" s="1"/>
  <c r="A5596" i="8"/>
  <c r="V5596" i="8" s="1"/>
  <c r="A5597" i="8"/>
  <c r="V5597" i="8" s="1"/>
  <c r="A5598" i="8"/>
  <c r="V5598" i="8" s="1"/>
  <c r="A5599" i="8"/>
  <c r="V5599" i="8" s="1"/>
  <c r="A5600" i="8"/>
  <c r="V5600" i="8" s="1"/>
  <c r="A5601" i="8"/>
  <c r="V5601" i="8" s="1"/>
  <c r="A5602" i="8"/>
  <c r="V5602" i="8" s="1"/>
  <c r="A5603" i="8"/>
  <c r="V5603" i="8" s="1"/>
  <c r="A5604" i="8"/>
  <c r="V5604" i="8" s="1"/>
  <c r="A5605" i="8"/>
  <c r="V5605" i="8" s="1"/>
  <c r="A5606" i="8"/>
  <c r="V5606" i="8" s="1"/>
  <c r="A5607" i="8"/>
  <c r="V5607" i="8" s="1"/>
  <c r="A5608" i="8"/>
  <c r="V5608" i="8" s="1"/>
  <c r="A5609" i="8"/>
  <c r="V5609" i="8" s="1"/>
  <c r="A5610" i="8"/>
  <c r="V5610" i="8" s="1"/>
  <c r="A5611" i="8"/>
  <c r="V5611" i="8" s="1"/>
  <c r="A5612" i="8"/>
  <c r="V5612" i="8" s="1"/>
  <c r="A5613" i="8"/>
  <c r="V5613" i="8" s="1"/>
  <c r="A5614" i="8"/>
  <c r="V5614" i="8" s="1"/>
  <c r="A5615" i="8"/>
  <c r="V5615" i="8" s="1"/>
  <c r="A5616" i="8"/>
  <c r="V5616" i="8" s="1"/>
  <c r="A5617" i="8"/>
  <c r="V5617" i="8" s="1"/>
  <c r="A5618" i="8"/>
  <c r="V5618" i="8" s="1"/>
  <c r="A5619" i="8"/>
  <c r="V5619" i="8" s="1"/>
  <c r="A5620" i="8"/>
  <c r="V5620" i="8" s="1"/>
  <c r="A5621" i="8"/>
  <c r="V5621" i="8" s="1"/>
  <c r="A5622" i="8"/>
  <c r="V5622" i="8" s="1"/>
  <c r="A5623" i="8"/>
  <c r="V5623" i="8" s="1"/>
  <c r="A5624" i="8"/>
  <c r="V5624" i="8" s="1"/>
  <c r="A5625" i="8"/>
  <c r="V5625" i="8" s="1"/>
  <c r="A5626" i="8"/>
  <c r="V5626" i="8" s="1"/>
  <c r="A5627" i="8"/>
  <c r="V5627" i="8" s="1"/>
  <c r="A5628" i="8"/>
  <c r="V5628" i="8" s="1"/>
  <c r="A5629" i="8"/>
  <c r="V5629" i="8" s="1"/>
  <c r="A5630" i="8"/>
  <c r="V5630" i="8" s="1"/>
  <c r="A5631" i="8"/>
  <c r="V5631" i="8" s="1"/>
  <c r="A5632" i="8"/>
  <c r="V5632" i="8" s="1"/>
  <c r="A5633" i="8"/>
  <c r="V5633" i="8" s="1"/>
  <c r="A5634" i="8"/>
  <c r="V5634" i="8" s="1"/>
  <c r="A5635" i="8"/>
  <c r="V5635" i="8" s="1"/>
  <c r="A5636" i="8"/>
  <c r="V5636" i="8" s="1"/>
  <c r="A5637" i="8"/>
  <c r="V5637" i="8" s="1"/>
  <c r="A5638" i="8"/>
  <c r="V5638" i="8" s="1"/>
  <c r="A5639" i="8"/>
  <c r="V5639" i="8" s="1"/>
  <c r="A5640" i="8"/>
  <c r="V5640" i="8" s="1"/>
  <c r="A5641" i="8"/>
  <c r="V5641" i="8" s="1"/>
  <c r="A5642" i="8"/>
  <c r="V5642" i="8" s="1"/>
  <c r="A5643" i="8"/>
  <c r="V5643" i="8" s="1"/>
  <c r="A5644" i="8"/>
  <c r="V5644" i="8" s="1"/>
  <c r="A5645" i="8"/>
  <c r="V5645" i="8" s="1"/>
  <c r="A5646" i="8"/>
  <c r="V5646" i="8" s="1"/>
  <c r="A5647" i="8"/>
  <c r="V5647" i="8" s="1"/>
  <c r="A5648" i="8"/>
  <c r="V5648" i="8" s="1"/>
  <c r="A5649" i="8"/>
  <c r="V5649" i="8" s="1"/>
  <c r="A5650" i="8"/>
  <c r="V5650" i="8" s="1"/>
  <c r="A5651" i="8"/>
  <c r="V5651" i="8" s="1"/>
  <c r="A5652" i="8"/>
  <c r="V5652" i="8" s="1"/>
  <c r="A5653" i="8"/>
  <c r="V5653" i="8" s="1"/>
  <c r="A5654" i="8"/>
  <c r="V5654" i="8" s="1"/>
  <c r="A5655" i="8"/>
  <c r="V5655" i="8" s="1"/>
  <c r="A5656" i="8"/>
  <c r="V5656" i="8" s="1"/>
  <c r="A5657" i="8"/>
  <c r="V5657" i="8" s="1"/>
  <c r="A5658" i="8"/>
  <c r="V5658" i="8" s="1"/>
  <c r="A5659" i="8"/>
  <c r="V5659" i="8" s="1"/>
  <c r="A5660" i="8"/>
  <c r="V5660" i="8" s="1"/>
  <c r="A5661" i="8"/>
  <c r="V5661" i="8" s="1"/>
  <c r="A5662" i="8"/>
  <c r="V5662" i="8" s="1"/>
  <c r="A5663" i="8"/>
  <c r="V5663" i="8" s="1"/>
  <c r="A5664" i="8"/>
  <c r="V5664" i="8" s="1"/>
  <c r="A5665" i="8"/>
  <c r="V5665" i="8" s="1"/>
  <c r="A5666" i="8"/>
  <c r="V5666" i="8" s="1"/>
  <c r="A5667" i="8"/>
  <c r="V5667" i="8" s="1"/>
  <c r="A5668" i="8"/>
  <c r="V5668" i="8" s="1"/>
  <c r="A5669" i="8"/>
  <c r="V5669" i="8" s="1"/>
  <c r="A5670" i="8"/>
  <c r="V5670" i="8" s="1"/>
  <c r="A5671" i="8"/>
  <c r="V5671" i="8" s="1"/>
  <c r="A5672" i="8"/>
  <c r="V5672" i="8" s="1"/>
  <c r="A5673" i="8"/>
  <c r="V5673" i="8" s="1"/>
  <c r="A5674" i="8"/>
  <c r="V5674" i="8" s="1"/>
  <c r="A5675" i="8"/>
  <c r="V5675" i="8" s="1"/>
  <c r="A5676" i="8"/>
  <c r="V5676" i="8" s="1"/>
  <c r="A5677" i="8"/>
  <c r="V5677" i="8" s="1"/>
  <c r="A5678" i="8"/>
  <c r="V5678" i="8" s="1"/>
  <c r="A5679" i="8"/>
  <c r="V5679" i="8" s="1"/>
  <c r="A5680" i="8"/>
  <c r="V5680" i="8" s="1"/>
  <c r="A5681" i="8"/>
  <c r="V5681" i="8" s="1"/>
  <c r="A5682" i="8"/>
  <c r="V5682" i="8" s="1"/>
  <c r="A5683" i="8"/>
  <c r="V5683" i="8" s="1"/>
  <c r="A5684" i="8"/>
  <c r="V5684" i="8" s="1"/>
  <c r="A5685" i="8"/>
  <c r="V5685" i="8" s="1"/>
  <c r="A5686" i="8"/>
  <c r="V5686" i="8" s="1"/>
  <c r="A5687" i="8"/>
  <c r="V5687" i="8" s="1"/>
  <c r="A5688" i="8"/>
  <c r="V5688" i="8" s="1"/>
  <c r="A5689" i="8"/>
  <c r="V5689" i="8" s="1"/>
  <c r="A5690" i="8"/>
  <c r="V5690" i="8" s="1"/>
  <c r="A5691" i="8"/>
  <c r="V5691" i="8" s="1"/>
  <c r="A5692" i="8"/>
  <c r="V5692" i="8" s="1"/>
  <c r="A5693" i="8"/>
  <c r="V5693" i="8" s="1"/>
  <c r="A5694" i="8"/>
  <c r="V5694" i="8" s="1"/>
  <c r="A5695" i="8"/>
  <c r="V5695" i="8" s="1"/>
  <c r="A5696" i="8"/>
  <c r="V5696" i="8" s="1"/>
  <c r="A5697" i="8"/>
  <c r="V5697" i="8" s="1"/>
  <c r="A5698" i="8"/>
  <c r="V5698" i="8" s="1"/>
  <c r="A5699" i="8"/>
  <c r="V5699" i="8" s="1"/>
  <c r="A5700" i="8"/>
  <c r="V5700" i="8" s="1"/>
  <c r="A5701" i="8"/>
  <c r="V5701" i="8" s="1"/>
  <c r="A5702" i="8"/>
  <c r="V5702" i="8" s="1"/>
  <c r="A5703" i="8"/>
  <c r="V5703" i="8" s="1"/>
  <c r="A5704" i="8"/>
  <c r="V5704" i="8" s="1"/>
  <c r="A5705" i="8"/>
  <c r="V5705" i="8" s="1"/>
  <c r="A5706" i="8"/>
  <c r="V5706" i="8" s="1"/>
  <c r="A5707" i="8"/>
  <c r="V5707" i="8" s="1"/>
  <c r="A5708" i="8"/>
  <c r="V5708" i="8" s="1"/>
  <c r="A5709" i="8"/>
  <c r="V5709" i="8" s="1"/>
  <c r="A5710" i="8"/>
  <c r="V5710" i="8" s="1"/>
  <c r="A5711" i="8"/>
  <c r="V5711" i="8" s="1"/>
  <c r="A5712" i="8"/>
  <c r="V5712" i="8" s="1"/>
  <c r="A5713" i="8"/>
  <c r="V5713" i="8" s="1"/>
  <c r="A5714" i="8"/>
  <c r="V5714" i="8" s="1"/>
  <c r="A5715" i="8"/>
  <c r="V5715" i="8" s="1"/>
  <c r="A5716" i="8"/>
  <c r="V5716" i="8" s="1"/>
  <c r="A5717" i="8"/>
  <c r="V5717" i="8" s="1"/>
  <c r="A5718" i="8"/>
  <c r="V5718" i="8" s="1"/>
  <c r="A5719" i="8"/>
  <c r="V5719" i="8" s="1"/>
  <c r="A5720" i="8"/>
  <c r="V5720" i="8" s="1"/>
  <c r="A5721" i="8"/>
  <c r="V5721" i="8" s="1"/>
  <c r="A5722" i="8"/>
  <c r="V5722" i="8" s="1"/>
  <c r="A5723" i="8"/>
  <c r="V5723" i="8" s="1"/>
  <c r="A5724" i="8"/>
  <c r="V5724" i="8" s="1"/>
  <c r="A5725" i="8"/>
  <c r="V5725" i="8" s="1"/>
  <c r="A5726" i="8"/>
  <c r="V5726" i="8" s="1"/>
  <c r="A5727" i="8"/>
  <c r="V5727" i="8" s="1"/>
  <c r="A5728" i="8"/>
  <c r="V5728" i="8" s="1"/>
  <c r="A5729" i="8"/>
  <c r="V5729" i="8" s="1"/>
  <c r="A5730" i="8"/>
  <c r="V5730" i="8" s="1"/>
  <c r="A5731" i="8"/>
  <c r="V5731" i="8" s="1"/>
  <c r="A5732" i="8"/>
  <c r="V5732" i="8" s="1"/>
  <c r="A5733" i="8"/>
  <c r="V5733" i="8" s="1"/>
  <c r="A5734" i="8"/>
  <c r="V5734" i="8" s="1"/>
  <c r="A5735" i="8"/>
  <c r="V5735" i="8" s="1"/>
  <c r="A5736" i="8"/>
  <c r="V5736" i="8" s="1"/>
  <c r="A5737" i="8"/>
  <c r="V5737" i="8" s="1"/>
  <c r="A5738" i="8"/>
  <c r="V5738" i="8" s="1"/>
  <c r="A5739" i="8"/>
  <c r="V5739" i="8" s="1"/>
  <c r="A5740" i="8"/>
  <c r="V5740" i="8" s="1"/>
  <c r="A5741" i="8"/>
  <c r="V5741" i="8" s="1"/>
  <c r="A5742" i="8"/>
  <c r="V5742" i="8" s="1"/>
  <c r="A5743" i="8"/>
  <c r="V5743" i="8" s="1"/>
  <c r="A5744" i="8"/>
  <c r="V5744" i="8" s="1"/>
  <c r="A5745" i="8"/>
  <c r="V5745" i="8" s="1"/>
  <c r="A5746" i="8"/>
  <c r="V5746" i="8" s="1"/>
  <c r="A5747" i="8"/>
  <c r="V5747" i="8" s="1"/>
  <c r="A5748" i="8"/>
  <c r="V5748" i="8" s="1"/>
  <c r="A5749" i="8"/>
  <c r="V5749" i="8" s="1"/>
  <c r="A5750" i="8"/>
  <c r="V5750" i="8" s="1"/>
  <c r="A5751" i="8"/>
  <c r="V5751" i="8" s="1"/>
  <c r="A5752" i="8"/>
  <c r="V5752" i="8" s="1"/>
  <c r="A5753" i="8"/>
  <c r="V5753" i="8" s="1"/>
  <c r="A5754" i="8"/>
  <c r="V5754" i="8" s="1"/>
  <c r="A5755" i="8"/>
  <c r="V5755" i="8" s="1"/>
  <c r="A5756" i="8"/>
  <c r="V5756" i="8" s="1"/>
  <c r="A5757" i="8"/>
  <c r="V5757" i="8" s="1"/>
  <c r="A5758" i="8"/>
  <c r="V5758" i="8" s="1"/>
  <c r="A5759" i="8"/>
  <c r="V5759" i="8" s="1"/>
  <c r="A5760" i="8"/>
  <c r="V5760" i="8" s="1"/>
  <c r="A5761" i="8"/>
  <c r="V5761" i="8" s="1"/>
  <c r="A5762" i="8"/>
  <c r="V5762" i="8" s="1"/>
  <c r="A5763" i="8"/>
  <c r="V5763" i="8" s="1"/>
  <c r="A5764" i="8"/>
  <c r="V5764" i="8" s="1"/>
  <c r="A5765" i="8"/>
  <c r="V5765" i="8" s="1"/>
  <c r="A5766" i="8"/>
  <c r="V5766" i="8" s="1"/>
  <c r="A5767" i="8"/>
  <c r="V5767" i="8" s="1"/>
  <c r="A5768" i="8"/>
  <c r="V5768" i="8" s="1"/>
  <c r="A5769" i="8"/>
  <c r="V5769" i="8" s="1"/>
  <c r="A5770" i="8"/>
  <c r="V5770" i="8" s="1"/>
  <c r="A5771" i="8"/>
  <c r="V5771" i="8" s="1"/>
  <c r="A5772" i="8"/>
  <c r="V5772" i="8" s="1"/>
  <c r="A5773" i="8"/>
  <c r="V5773" i="8" s="1"/>
  <c r="A5774" i="8"/>
  <c r="V5774" i="8" s="1"/>
  <c r="A5775" i="8"/>
  <c r="V5775" i="8" s="1"/>
  <c r="A5776" i="8"/>
  <c r="V5776" i="8" s="1"/>
  <c r="A5777" i="8"/>
  <c r="V5777" i="8" s="1"/>
  <c r="A5778" i="8"/>
  <c r="V5778" i="8" s="1"/>
  <c r="A5779" i="8"/>
  <c r="V5779" i="8" s="1"/>
  <c r="A5780" i="8"/>
  <c r="V5780" i="8" s="1"/>
  <c r="A5781" i="8"/>
  <c r="V5781" i="8" s="1"/>
  <c r="A5782" i="8"/>
  <c r="V5782" i="8" s="1"/>
  <c r="A5783" i="8"/>
  <c r="V5783" i="8" s="1"/>
  <c r="A5784" i="8"/>
  <c r="V5784" i="8" s="1"/>
  <c r="A5785" i="8"/>
  <c r="V5785" i="8" s="1"/>
  <c r="A5786" i="8"/>
  <c r="V5786" i="8" s="1"/>
  <c r="A5787" i="8"/>
  <c r="V5787" i="8" s="1"/>
  <c r="A5788" i="8"/>
  <c r="V5788" i="8" s="1"/>
  <c r="A5789" i="8"/>
  <c r="V5789" i="8" s="1"/>
  <c r="A5790" i="8"/>
  <c r="V5790" i="8" s="1"/>
  <c r="A5791" i="8"/>
  <c r="V5791" i="8" s="1"/>
  <c r="A5792" i="8"/>
  <c r="V5792" i="8" s="1"/>
  <c r="A5793" i="8"/>
  <c r="V5793" i="8" s="1"/>
  <c r="A5794" i="8"/>
  <c r="V5794" i="8" s="1"/>
  <c r="A5795" i="8"/>
  <c r="V5795" i="8" s="1"/>
  <c r="A5796" i="8"/>
  <c r="V5796" i="8" s="1"/>
  <c r="A5797" i="8"/>
  <c r="V5797" i="8" s="1"/>
  <c r="A5798" i="8"/>
  <c r="V5798" i="8" s="1"/>
  <c r="A5799" i="8"/>
  <c r="V5799" i="8" s="1"/>
  <c r="A5800" i="8"/>
  <c r="V5800" i="8" s="1"/>
  <c r="A5801" i="8"/>
  <c r="V5801" i="8" s="1"/>
  <c r="A5802" i="8"/>
  <c r="V5802" i="8" s="1"/>
  <c r="A5803" i="8"/>
  <c r="V5803" i="8" s="1"/>
  <c r="A5804" i="8"/>
  <c r="V5804" i="8" s="1"/>
  <c r="A5805" i="8"/>
  <c r="V5805" i="8" s="1"/>
  <c r="A5806" i="8"/>
  <c r="V5806" i="8" s="1"/>
  <c r="A5807" i="8"/>
  <c r="V5807" i="8" s="1"/>
  <c r="A5808" i="8"/>
  <c r="V5808" i="8" s="1"/>
  <c r="A5809" i="8"/>
  <c r="V5809" i="8" s="1"/>
  <c r="A5810" i="8"/>
  <c r="V5810" i="8" s="1"/>
  <c r="A5811" i="8"/>
  <c r="V5811" i="8" s="1"/>
  <c r="A5812" i="8"/>
  <c r="V5812" i="8" s="1"/>
  <c r="A5813" i="8"/>
  <c r="V5813" i="8" s="1"/>
  <c r="A5814" i="8"/>
  <c r="V5814" i="8" s="1"/>
  <c r="A5815" i="8"/>
  <c r="V5815" i="8" s="1"/>
  <c r="A5816" i="8"/>
  <c r="V5816" i="8" s="1"/>
  <c r="A5817" i="8"/>
  <c r="V5817" i="8" s="1"/>
  <c r="A5818" i="8"/>
  <c r="V5818" i="8" s="1"/>
  <c r="A5819" i="8"/>
  <c r="V5819" i="8" s="1"/>
  <c r="A5820" i="8"/>
  <c r="V5820" i="8" s="1"/>
  <c r="A5821" i="8"/>
  <c r="V5821" i="8" s="1"/>
  <c r="A5822" i="8"/>
  <c r="V5822" i="8" s="1"/>
  <c r="A5823" i="8"/>
  <c r="V5823" i="8" s="1"/>
  <c r="A5824" i="8"/>
  <c r="V5824" i="8" s="1"/>
  <c r="A5825" i="8"/>
  <c r="V5825" i="8" s="1"/>
  <c r="A5826" i="8"/>
  <c r="V5826" i="8" s="1"/>
  <c r="A5827" i="8"/>
  <c r="V5827" i="8" s="1"/>
  <c r="A5828" i="8"/>
  <c r="V5828" i="8" s="1"/>
  <c r="A5829" i="8"/>
  <c r="V5829" i="8" s="1"/>
  <c r="A5830" i="8"/>
  <c r="V5830" i="8" s="1"/>
  <c r="A5831" i="8"/>
  <c r="V5831" i="8" s="1"/>
  <c r="A5832" i="8"/>
  <c r="V5832" i="8" s="1"/>
  <c r="A5833" i="8"/>
  <c r="V5833" i="8" s="1"/>
  <c r="A5834" i="8"/>
  <c r="V5834" i="8" s="1"/>
  <c r="A5835" i="8"/>
  <c r="V5835" i="8" s="1"/>
  <c r="A5836" i="8"/>
  <c r="V5836" i="8" s="1"/>
  <c r="A5837" i="8"/>
  <c r="V5837" i="8" s="1"/>
  <c r="A5838" i="8"/>
  <c r="V5838" i="8" s="1"/>
  <c r="A5839" i="8"/>
  <c r="V5839" i="8" s="1"/>
  <c r="A5840" i="8"/>
  <c r="V5840" i="8" s="1"/>
  <c r="A5841" i="8"/>
  <c r="V5841" i="8" s="1"/>
  <c r="A5842" i="8"/>
  <c r="V5842" i="8" s="1"/>
  <c r="A5843" i="8"/>
  <c r="V5843" i="8" s="1"/>
  <c r="A5844" i="8"/>
  <c r="V5844" i="8" s="1"/>
  <c r="A5845" i="8"/>
  <c r="V5845" i="8" s="1"/>
  <c r="A5846" i="8"/>
  <c r="V5846" i="8" s="1"/>
  <c r="A5847" i="8"/>
  <c r="V5847" i="8" s="1"/>
  <c r="A5848" i="8"/>
  <c r="V5848" i="8" s="1"/>
  <c r="A5849" i="8"/>
  <c r="V5849" i="8" s="1"/>
  <c r="A5850" i="8"/>
  <c r="V5850" i="8" s="1"/>
  <c r="A5851" i="8"/>
  <c r="V5851" i="8" s="1"/>
  <c r="A5852" i="8"/>
  <c r="V5852" i="8" s="1"/>
  <c r="A5853" i="8"/>
  <c r="V5853" i="8" s="1"/>
  <c r="A5854" i="8"/>
  <c r="V5854" i="8" s="1"/>
  <c r="A5855" i="8"/>
  <c r="V5855" i="8" s="1"/>
  <c r="A5856" i="8"/>
  <c r="V5856" i="8" s="1"/>
  <c r="A5857" i="8"/>
  <c r="V5857" i="8" s="1"/>
  <c r="A5858" i="8"/>
  <c r="V5858" i="8" s="1"/>
  <c r="A5859" i="8"/>
  <c r="V5859" i="8" s="1"/>
  <c r="A5860" i="8"/>
  <c r="V5860" i="8" s="1"/>
  <c r="A5861" i="8"/>
  <c r="V5861" i="8" s="1"/>
  <c r="A5862" i="8"/>
  <c r="V5862" i="8" s="1"/>
  <c r="A5863" i="8"/>
  <c r="V5863" i="8" s="1"/>
  <c r="A5864" i="8"/>
  <c r="V5864" i="8" s="1"/>
  <c r="A5865" i="8"/>
  <c r="V5865" i="8" s="1"/>
  <c r="A5866" i="8"/>
  <c r="V5866" i="8" s="1"/>
  <c r="A5867" i="8"/>
  <c r="V5867" i="8" s="1"/>
  <c r="A5868" i="8"/>
  <c r="V5868" i="8" s="1"/>
  <c r="A5869" i="8"/>
  <c r="V5869" i="8" s="1"/>
  <c r="A5870" i="8"/>
  <c r="V5870" i="8" s="1"/>
  <c r="A5871" i="8"/>
  <c r="V5871" i="8" s="1"/>
  <c r="A5872" i="8"/>
  <c r="V5872" i="8" s="1"/>
  <c r="A5873" i="8"/>
  <c r="V5873" i="8" s="1"/>
  <c r="A5874" i="8"/>
  <c r="V5874" i="8" s="1"/>
  <c r="A5875" i="8"/>
  <c r="V5875" i="8" s="1"/>
  <c r="A5876" i="8"/>
  <c r="V5876" i="8" s="1"/>
  <c r="A5877" i="8"/>
  <c r="V5877" i="8" s="1"/>
  <c r="A5878" i="8"/>
  <c r="V5878" i="8" s="1"/>
  <c r="A5879" i="8"/>
  <c r="V5879" i="8" s="1"/>
  <c r="A5880" i="8"/>
  <c r="V5880" i="8" s="1"/>
  <c r="A5881" i="8"/>
  <c r="V5881" i="8" s="1"/>
  <c r="A5882" i="8"/>
  <c r="V5882" i="8" s="1"/>
  <c r="A5883" i="8"/>
  <c r="V5883" i="8" s="1"/>
  <c r="A5884" i="8"/>
  <c r="V5884" i="8" s="1"/>
  <c r="A5885" i="8"/>
  <c r="V5885" i="8" s="1"/>
  <c r="A5886" i="8"/>
  <c r="V5886" i="8" s="1"/>
  <c r="A5887" i="8"/>
  <c r="V5887" i="8" s="1"/>
  <c r="A5888" i="8"/>
  <c r="V5888" i="8" s="1"/>
  <c r="A5889" i="8"/>
  <c r="V5889" i="8" s="1"/>
  <c r="A5890" i="8"/>
  <c r="V5890" i="8" s="1"/>
  <c r="A5891" i="8"/>
  <c r="V5891" i="8" s="1"/>
  <c r="A5892" i="8"/>
  <c r="V5892" i="8" s="1"/>
  <c r="A5893" i="8"/>
  <c r="V5893" i="8" s="1"/>
  <c r="A5894" i="8"/>
  <c r="V5894" i="8" s="1"/>
  <c r="A5895" i="8"/>
  <c r="V5895" i="8" s="1"/>
  <c r="A5896" i="8"/>
  <c r="V5896" i="8" s="1"/>
  <c r="A5897" i="8"/>
  <c r="V5897" i="8" s="1"/>
  <c r="A5898" i="8"/>
  <c r="V5898" i="8" s="1"/>
  <c r="A5899" i="8"/>
  <c r="V5899" i="8" s="1"/>
  <c r="A5900" i="8"/>
  <c r="V5900" i="8" s="1"/>
  <c r="A5901" i="8"/>
  <c r="V5901" i="8" s="1"/>
  <c r="A5902" i="8"/>
  <c r="V5902" i="8" s="1"/>
  <c r="A5903" i="8"/>
  <c r="V5903" i="8" s="1"/>
  <c r="A5904" i="8"/>
  <c r="V5904" i="8" s="1"/>
  <c r="A5905" i="8"/>
  <c r="V5905" i="8" s="1"/>
  <c r="A5906" i="8"/>
  <c r="V5906" i="8" s="1"/>
  <c r="A5907" i="8"/>
  <c r="V5907" i="8" s="1"/>
  <c r="A5908" i="8"/>
  <c r="V5908" i="8" s="1"/>
  <c r="A5909" i="8"/>
  <c r="V5909" i="8" s="1"/>
  <c r="A5910" i="8"/>
  <c r="V5910" i="8" s="1"/>
  <c r="A5911" i="8"/>
  <c r="V5911" i="8" s="1"/>
  <c r="A5912" i="8"/>
  <c r="V5912" i="8" s="1"/>
  <c r="A5913" i="8"/>
  <c r="V5913" i="8" s="1"/>
  <c r="A5914" i="8"/>
  <c r="V5914" i="8" s="1"/>
  <c r="A5915" i="8"/>
  <c r="V5915" i="8" s="1"/>
  <c r="A5916" i="8"/>
  <c r="V5916" i="8" s="1"/>
  <c r="A5917" i="8"/>
  <c r="V5917" i="8" s="1"/>
  <c r="A5918" i="8"/>
  <c r="V5918" i="8" s="1"/>
  <c r="A5919" i="8"/>
  <c r="V5919" i="8" s="1"/>
  <c r="A5920" i="8"/>
  <c r="V5920" i="8" s="1"/>
  <c r="A5921" i="8"/>
  <c r="V5921" i="8" s="1"/>
  <c r="A5922" i="8"/>
  <c r="V5922" i="8" s="1"/>
  <c r="A5923" i="8"/>
  <c r="V5923" i="8" s="1"/>
  <c r="A5924" i="8"/>
  <c r="V5924" i="8" s="1"/>
  <c r="A5925" i="8"/>
  <c r="V5925" i="8" s="1"/>
  <c r="A5926" i="8"/>
  <c r="V5926" i="8" s="1"/>
  <c r="A5927" i="8"/>
  <c r="V5927" i="8" s="1"/>
  <c r="A5928" i="8"/>
  <c r="V5928" i="8" s="1"/>
  <c r="A5929" i="8"/>
  <c r="V5929" i="8" s="1"/>
  <c r="A5930" i="8"/>
  <c r="V5930" i="8" s="1"/>
  <c r="A5931" i="8"/>
  <c r="V5931" i="8" s="1"/>
  <c r="A5932" i="8"/>
  <c r="V5932" i="8" s="1"/>
  <c r="A5933" i="8"/>
  <c r="V5933" i="8" s="1"/>
  <c r="A5934" i="8"/>
  <c r="V5934" i="8" s="1"/>
  <c r="A5935" i="8"/>
  <c r="V5935" i="8" s="1"/>
  <c r="A5936" i="8"/>
  <c r="V5936" i="8" s="1"/>
  <c r="A5937" i="8"/>
  <c r="V5937" i="8" s="1"/>
  <c r="A5938" i="8"/>
  <c r="V5938" i="8" s="1"/>
  <c r="A5939" i="8"/>
  <c r="V5939" i="8" s="1"/>
  <c r="A5940" i="8"/>
  <c r="V5940" i="8" s="1"/>
  <c r="A5941" i="8"/>
  <c r="V5941" i="8" s="1"/>
  <c r="A5942" i="8"/>
  <c r="V5942" i="8" s="1"/>
  <c r="A5943" i="8"/>
  <c r="V5943" i="8" s="1"/>
  <c r="A5944" i="8"/>
  <c r="V5944" i="8" s="1"/>
  <c r="A5945" i="8"/>
  <c r="V5945" i="8" s="1"/>
  <c r="A5946" i="8"/>
  <c r="V5946" i="8" s="1"/>
  <c r="A5947" i="8"/>
  <c r="V5947" i="8" s="1"/>
  <c r="A5948" i="8"/>
  <c r="V5948" i="8" s="1"/>
  <c r="A5949" i="8"/>
  <c r="V5949" i="8" s="1"/>
  <c r="A5950" i="8"/>
  <c r="V5950" i="8" s="1"/>
  <c r="A5951" i="8"/>
  <c r="V5951" i="8" s="1"/>
  <c r="A5952" i="8"/>
  <c r="V5952" i="8" s="1"/>
  <c r="A5953" i="8"/>
  <c r="V5953" i="8" s="1"/>
  <c r="A5954" i="8"/>
  <c r="V5954" i="8" s="1"/>
  <c r="A5955" i="8"/>
  <c r="V5955" i="8" s="1"/>
  <c r="A5956" i="8"/>
  <c r="V5956" i="8" s="1"/>
  <c r="A5957" i="8"/>
  <c r="V5957" i="8" s="1"/>
  <c r="A5958" i="8"/>
  <c r="V5958" i="8" s="1"/>
  <c r="A5959" i="8"/>
  <c r="V5959" i="8" s="1"/>
  <c r="A5960" i="8"/>
  <c r="V5960" i="8" s="1"/>
  <c r="A5961" i="8"/>
  <c r="V5961" i="8" s="1"/>
  <c r="A5962" i="8"/>
  <c r="V5962" i="8" s="1"/>
  <c r="A5963" i="8"/>
  <c r="V5963" i="8" s="1"/>
  <c r="A5964" i="8"/>
  <c r="V5964" i="8" s="1"/>
  <c r="A5965" i="8"/>
  <c r="V5965" i="8" s="1"/>
  <c r="A5966" i="8"/>
  <c r="V5966" i="8" s="1"/>
  <c r="A5967" i="8"/>
  <c r="V5967" i="8" s="1"/>
  <c r="A5968" i="8"/>
  <c r="V5968" i="8" s="1"/>
  <c r="A5969" i="8"/>
  <c r="V5969" i="8" s="1"/>
  <c r="A5970" i="8"/>
  <c r="V5970" i="8" s="1"/>
  <c r="A5971" i="8"/>
  <c r="V5971" i="8" s="1"/>
  <c r="A5972" i="8"/>
  <c r="V5972" i="8" s="1"/>
  <c r="A5973" i="8"/>
  <c r="V5973" i="8" s="1"/>
  <c r="A5974" i="8"/>
  <c r="V5974" i="8" s="1"/>
  <c r="A5975" i="8"/>
  <c r="V5975" i="8" s="1"/>
  <c r="A5976" i="8"/>
  <c r="V5976" i="8" s="1"/>
  <c r="A5977" i="8"/>
  <c r="V5977" i="8" s="1"/>
  <c r="A5978" i="8"/>
  <c r="V5978" i="8" s="1"/>
  <c r="A5979" i="8"/>
  <c r="V5979" i="8" s="1"/>
  <c r="A5980" i="8"/>
  <c r="V5980" i="8" s="1"/>
  <c r="A5981" i="8"/>
  <c r="V5981" i="8" s="1"/>
  <c r="A5982" i="8"/>
  <c r="V5982" i="8" s="1"/>
  <c r="A5983" i="8"/>
  <c r="V5983" i="8" s="1"/>
  <c r="A5984" i="8"/>
  <c r="V5984" i="8" s="1"/>
  <c r="A5985" i="8"/>
  <c r="V5985" i="8" s="1"/>
  <c r="A5986" i="8"/>
  <c r="V5986" i="8" s="1"/>
  <c r="A5987" i="8"/>
  <c r="V5987" i="8" s="1"/>
  <c r="A5988" i="8"/>
  <c r="V5988" i="8" s="1"/>
  <c r="A5989" i="8"/>
  <c r="V5989" i="8" s="1"/>
  <c r="A5990" i="8"/>
  <c r="V5990" i="8" s="1"/>
  <c r="A5991" i="8"/>
  <c r="V5991" i="8" s="1"/>
  <c r="A5992" i="8"/>
  <c r="V5992" i="8" s="1"/>
  <c r="A5993" i="8"/>
  <c r="V5993" i="8" s="1"/>
  <c r="A5994" i="8"/>
  <c r="V5994" i="8" s="1"/>
  <c r="A5995" i="8"/>
  <c r="V5995" i="8" s="1"/>
  <c r="A5996" i="8"/>
  <c r="V5996" i="8" s="1"/>
  <c r="A5997" i="8"/>
  <c r="V5997" i="8" s="1"/>
  <c r="A5998" i="8"/>
  <c r="V5998" i="8" s="1"/>
  <c r="A5999" i="8"/>
  <c r="V5999" i="8" s="1"/>
  <c r="A6000" i="8"/>
  <c r="V6000" i="8" s="1"/>
  <c r="A3" i="8"/>
  <c r="V3" i="8" s="1"/>
  <c r="A4" i="8"/>
  <c r="V4" i="8" s="1"/>
  <c r="A5" i="8"/>
  <c r="V5" i="8" s="1"/>
  <c r="A6" i="8"/>
  <c r="V6" i="8" s="1"/>
  <c r="A7" i="8"/>
  <c r="V7" i="8" s="1"/>
  <c r="A9" i="8"/>
  <c r="V9" i="8" s="1"/>
  <c r="A11" i="8"/>
  <c r="V11" i="8" s="1"/>
  <c r="A12" i="8"/>
  <c r="V12" i="8" s="1"/>
  <c r="A13" i="8"/>
  <c r="V13" i="8" s="1"/>
  <c r="A14" i="8"/>
  <c r="V14" i="8" s="1"/>
  <c r="A15" i="8"/>
  <c r="V15" i="8" s="1"/>
  <c r="A17" i="8"/>
  <c r="V17" i="8" s="1"/>
  <c r="A19" i="8"/>
  <c r="V19" i="8" s="1"/>
  <c r="A20" i="8"/>
  <c r="V20" i="8" s="1"/>
  <c r="A21" i="8"/>
  <c r="V21" i="8" s="1"/>
  <c r="A22" i="8"/>
  <c r="V22" i="8" s="1"/>
  <c r="A23" i="8"/>
  <c r="V23" i="8" s="1"/>
  <c r="A25" i="8"/>
  <c r="V25" i="8" s="1"/>
  <c r="A27" i="8"/>
  <c r="V27" i="8" s="1"/>
  <c r="A28" i="8"/>
  <c r="V28" i="8" s="1"/>
  <c r="A29" i="8"/>
  <c r="V29" i="8" s="1"/>
  <c r="A30" i="8"/>
  <c r="V30" i="8" s="1"/>
  <c r="A31" i="8"/>
  <c r="V31" i="8" s="1"/>
  <c r="A33" i="8"/>
  <c r="V33" i="8" s="1"/>
  <c r="A35" i="8"/>
  <c r="V35" i="8" s="1"/>
  <c r="A36" i="8"/>
  <c r="V36" i="8" s="1"/>
  <c r="A37" i="8"/>
  <c r="V37" i="8" s="1"/>
  <c r="A38" i="8"/>
  <c r="V38" i="8" s="1"/>
  <c r="A39" i="8"/>
  <c r="V39" i="8" s="1"/>
  <c r="A41" i="8"/>
  <c r="V41" i="8" s="1"/>
  <c r="A43" i="8"/>
  <c r="V43" i="8" s="1"/>
  <c r="A44" i="8"/>
  <c r="V44" i="8" s="1"/>
  <c r="A45" i="8"/>
  <c r="V45" i="8" s="1"/>
  <c r="A46" i="8"/>
  <c r="V46" i="8" s="1"/>
  <c r="A47" i="8"/>
  <c r="V47" i="8" s="1"/>
  <c r="A48" i="8"/>
  <c r="V48" i="8" s="1"/>
  <c r="A49" i="8"/>
  <c r="V49" i="8" s="1"/>
  <c r="A51" i="8"/>
  <c r="V51" i="8" s="1"/>
  <c r="A52" i="8"/>
  <c r="A53" i="8"/>
  <c r="V53" i="8" s="1"/>
  <c r="A54" i="8"/>
  <c r="V54" i="8" s="1"/>
  <c r="A55" i="8"/>
  <c r="V55" i="8" s="1"/>
  <c r="A56" i="8"/>
  <c r="V56" i="8" s="1"/>
  <c r="A57" i="8"/>
  <c r="V57" i="8" s="1"/>
  <c r="A59" i="8"/>
  <c r="V59" i="8" s="1"/>
  <c r="A60" i="8"/>
  <c r="V60" i="8" s="1"/>
  <c r="A61" i="8"/>
  <c r="V61" i="8" s="1"/>
  <c r="A62" i="8"/>
  <c r="V62" i="8" s="1"/>
  <c r="A63" i="8"/>
  <c r="V63" i="8" s="1"/>
  <c r="A64" i="8"/>
  <c r="V64" i="8" s="1"/>
  <c r="A65" i="8"/>
  <c r="V65" i="8" s="1"/>
  <c r="A67" i="8"/>
  <c r="V67" i="8" s="1"/>
  <c r="A68" i="8"/>
  <c r="V68" i="8" s="1"/>
  <c r="A69" i="8"/>
  <c r="V69" i="8" s="1"/>
  <c r="A70" i="8"/>
  <c r="V70" i="8" s="1"/>
  <c r="A71" i="8"/>
  <c r="V71" i="8" s="1"/>
  <c r="A72" i="8"/>
  <c r="V72" i="8" s="1"/>
  <c r="A73" i="8"/>
  <c r="V73" i="8" s="1"/>
  <c r="A75" i="8"/>
  <c r="V75" i="8" s="1"/>
  <c r="A76" i="8"/>
  <c r="V76" i="8" s="1"/>
  <c r="A77" i="8"/>
  <c r="V77" i="8" s="1"/>
  <c r="A78" i="8"/>
  <c r="V78" i="8" s="1"/>
  <c r="A79" i="8"/>
  <c r="V79" i="8" s="1"/>
  <c r="A80" i="8"/>
  <c r="V80" i="8" s="1"/>
  <c r="A81" i="8"/>
  <c r="V81" i="8" s="1"/>
  <c r="A83" i="8"/>
  <c r="V83" i="8" s="1"/>
  <c r="A84" i="8"/>
  <c r="V84" i="8" s="1"/>
  <c r="A85" i="8"/>
  <c r="V85" i="8" s="1"/>
  <c r="A86" i="8"/>
  <c r="V86" i="8" s="1"/>
  <c r="A87" i="8"/>
  <c r="V87" i="8" s="1"/>
  <c r="A88" i="8"/>
  <c r="V88" i="8" s="1"/>
  <c r="A89" i="8"/>
  <c r="V89" i="8" s="1"/>
  <c r="A91" i="8"/>
  <c r="V91" i="8" s="1"/>
  <c r="A92" i="8"/>
  <c r="V92" i="8" s="1"/>
  <c r="A93" i="8"/>
  <c r="V93" i="8" s="1"/>
  <c r="A94" i="8"/>
  <c r="V94" i="8" s="1"/>
  <c r="A95" i="8"/>
  <c r="V95" i="8" s="1"/>
  <c r="A96" i="8"/>
  <c r="V96" i="8" s="1"/>
  <c r="A97" i="8"/>
  <c r="V97" i="8" s="1"/>
  <c r="A99" i="8"/>
  <c r="V99" i="8" s="1"/>
  <c r="A100" i="8"/>
  <c r="V100" i="8" s="1"/>
  <c r="A101" i="8"/>
  <c r="V101" i="8" s="1"/>
  <c r="A102" i="8"/>
  <c r="V102" i="8" s="1"/>
  <c r="A103" i="8"/>
  <c r="V103" i="8" s="1"/>
  <c r="A104" i="8"/>
  <c r="V104" i="8" s="1"/>
  <c r="A105" i="8"/>
  <c r="V105" i="8" s="1"/>
  <c r="A107" i="8"/>
  <c r="V107" i="8" s="1"/>
  <c r="A108" i="8"/>
  <c r="V108" i="8" s="1"/>
  <c r="A109" i="8"/>
  <c r="V109" i="8" s="1"/>
  <c r="A110" i="8"/>
  <c r="V110" i="8" s="1"/>
  <c r="A111" i="8"/>
  <c r="V111" i="8" s="1"/>
  <c r="A112" i="8"/>
  <c r="V112" i="8" s="1"/>
  <c r="A113" i="8"/>
  <c r="V113" i="8" s="1"/>
  <c r="A115" i="8"/>
  <c r="V115" i="8" s="1"/>
  <c r="A116" i="8"/>
  <c r="V116" i="8" s="1"/>
  <c r="A117" i="8"/>
  <c r="V117" i="8" s="1"/>
  <c r="A118" i="8"/>
  <c r="V118" i="8" s="1"/>
  <c r="A119" i="8"/>
  <c r="V119" i="8" s="1"/>
  <c r="A120" i="8"/>
  <c r="V120" i="8" s="1"/>
  <c r="A121" i="8"/>
  <c r="V121" i="8" s="1"/>
  <c r="A123" i="8"/>
  <c r="V123" i="8" s="1"/>
  <c r="A124" i="8"/>
  <c r="V124" i="8" s="1"/>
  <c r="A125" i="8"/>
  <c r="V125" i="8" s="1"/>
  <c r="A126" i="8"/>
  <c r="V126" i="8" s="1"/>
  <c r="A127" i="8"/>
  <c r="V127" i="8" s="1"/>
  <c r="A128" i="8"/>
  <c r="V128" i="8" s="1"/>
  <c r="A129" i="8"/>
  <c r="V129" i="8" s="1"/>
  <c r="A131" i="8"/>
  <c r="V131" i="8" s="1"/>
  <c r="A132" i="8"/>
  <c r="V132" i="8" s="1"/>
  <c r="A133" i="8"/>
  <c r="V133" i="8" s="1"/>
  <c r="A134" i="8"/>
  <c r="V134" i="8" s="1"/>
  <c r="A135" i="8"/>
  <c r="V135" i="8" s="1"/>
  <c r="A136" i="8"/>
  <c r="V136" i="8" s="1"/>
  <c r="A137" i="8"/>
  <c r="V137" i="8" s="1"/>
  <c r="A139" i="8"/>
  <c r="V139" i="8" s="1"/>
  <c r="A140" i="8"/>
  <c r="V140" i="8" s="1"/>
  <c r="A141" i="8"/>
  <c r="V141" i="8" s="1"/>
  <c r="A142" i="8"/>
  <c r="V142" i="8" s="1"/>
  <c r="A143" i="8"/>
  <c r="V143" i="8" s="1"/>
  <c r="A144" i="8"/>
  <c r="V144" i="8" s="1"/>
  <c r="A145" i="8"/>
  <c r="V145" i="8" s="1"/>
  <c r="A147" i="8"/>
  <c r="V147" i="8" s="1"/>
  <c r="A148" i="8"/>
  <c r="V148" i="8" s="1"/>
  <c r="A149" i="8"/>
  <c r="V149" i="8" s="1"/>
  <c r="A150" i="8"/>
  <c r="V150" i="8" s="1"/>
  <c r="A151" i="8"/>
  <c r="V151" i="8" s="1"/>
  <c r="A152" i="8"/>
  <c r="V152" i="8" s="1"/>
  <c r="A153" i="8"/>
  <c r="V153" i="8" s="1"/>
  <c r="A155" i="8"/>
  <c r="V155" i="8" s="1"/>
  <c r="A156" i="8"/>
  <c r="V156" i="8" s="1"/>
  <c r="A157" i="8"/>
  <c r="V157" i="8" s="1"/>
  <c r="A158" i="8"/>
  <c r="V158" i="8" s="1"/>
  <c r="A159" i="8"/>
  <c r="V159" i="8" s="1"/>
  <c r="A160" i="8"/>
  <c r="V160" i="8" s="1"/>
  <c r="A161" i="8"/>
  <c r="V161" i="8" s="1"/>
  <c r="A163" i="8"/>
  <c r="V163" i="8" s="1"/>
  <c r="A164" i="8"/>
  <c r="V164" i="8" s="1"/>
  <c r="A165" i="8"/>
  <c r="V165" i="8" s="1"/>
  <c r="A166" i="8"/>
  <c r="V166" i="8" s="1"/>
  <c r="A167" i="8"/>
  <c r="V167" i="8" s="1"/>
  <c r="A168" i="8"/>
  <c r="V168" i="8" s="1"/>
  <c r="A169" i="8"/>
  <c r="V169" i="8" s="1"/>
  <c r="A171" i="8"/>
  <c r="V171" i="8" s="1"/>
  <c r="A172" i="8"/>
  <c r="V172" i="8" s="1"/>
  <c r="A173" i="8"/>
  <c r="V173" i="8" s="1"/>
  <c r="A174" i="8"/>
  <c r="V174" i="8" s="1"/>
  <c r="A175" i="8"/>
  <c r="V175" i="8" s="1"/>
  <c r="A176" i="8"/>
  <c r="V176" i="8" s="1"/>
  <c r="A177" i="8"/>
  <c r="V177" i="8" s="1"/>
  <c r="A179" i="8"/>
  <c r="V179" i="8" s="1"/>
  <c r="A180" i="8"/>
  <c r="V180" i="8" s="1"/>
  <c r="A181" i="8"/>
  <c r="V181" i="8" s="1"/>
  <c r="A182" i="8"/>
  <c r="V182" i="8" s="1"/>
  <c r="A183" i="8"/>
  <c r="V183" i="8" s="1"/>
  <c r="A184" i="8"/>
  <c r="V184" i="8" s="1"/>
  <c r="A185" i="8"/>
  <c r="V185" i="8" s="1"/>
  <c r="A187" i="8"/>
  <c r="V187" i="8" s="1"/>
  <c r="A188" i="8"/>
  <c r="V188" i="8" s="1"/>
  <c r="A189" i="8"/>
  <c r="V189" i="8" s="1"/>
  <c r="A190" i="8"/>
  <c r="V190" i="8" s="1"/>
  <c r="A191" i="8"/>
  <c r="V191" i="8" s="1"/>
  <c r="A192" i="8"/>
  <c r="V192" i="8" s="1"/>
  <c r="A193" i="8"/>
  <c r="V193" i="8" s="1"/>
  <c r="A195" i="8"/>
  <c r="V195" i="8" s="1"/>
  <c r="A196" i="8"/>
  <c r="V196" i="8" s="1"/>
  <c r="A197" i="8"/>
  <c r="V197" i="8" s="1"/>
  <c r="A198" i="8"/>
  <c r="V198" i="8" s="1"/>
  <c r="A199" i="8"/>
  <c r="V199" i="8" s="1"/>
  <c r="A200" i="8"/>
  <c r="V200" i="8" s="1"/>
  <c r="A201" i="8"/>
  <c r="V201" i="8" s="1"/>
  <c r="A203" i="8"/>
  <c r="V203" i="8" s="1"/>
  <c r="A204" i="8"/>
  <c r="V204" i="8" s="1"/>
  <c r="A205" i="8"/>
  <c r="V205" i="8" s="1"/>
  <c r="A206" i="8"/>
  <c r="V206" i="8" s="1"/>
  <c r="A207" i="8"/>
  <c r="V207" i="8" s="1"/>
  <c r="A208" i="8"/>
  <c r="V208" i="8" s="1"/>
  <c r="A209" i="8"/>
  <c r="V209" i="8" s="1"/>
  <c r="A211" i="8"/>
  <c r="V211" i="8" s="1"/>
  <c r="A212" i="8"/>
  <c r="V212" i="8" s="1"/>
  <c r="A213" i="8"/>
  <c r="V213" i="8" s="1"/>
  <c r="A214" i="8"/>
  <c r="V214" i="8" s="1"/>
  <c r="A215" i="8"/>
  <c r="V215" i="8" s="1"/>
  <c r="A216" i="8"/>
  <c r="V216" i="8" s="1"/>
  <c r="A217" i="8"/>
  <c r="V217" i="8" s="1"/>
  <c r="A219" i="8"/>
  <c r="V219" i="8" s="1"/>
  <c r="A220" i="8"/>
  <c r="V220" i="8" s="1"/>
  <c r="A221" i="8"/>
  <c r="V221" i="8" s="1"/>
  <c r="A222" i="8"/>
  <c r="V222" i="8" s="1"/>
  <c r="A223" i="8"/>
  <c r="V223" i="8" s="1"/>
  <c r="A224" i="8"/>
  <c r="V224" i="8" s="1"/>
  <c r="A225" i="8"/>
  <c r="V225" i="8" s="1"/>
  <c r="A227" i="8"/>
  <c r="V227" i="8" s="1"/>
  <c r="A228" i="8"/>
  <c r="V228" i="8" s="1"/>
  <c r="A229" i="8"/>
  <c r="V229" i="8" s="1"/>
  <c r="A230" i="8"/>
  <c r="V230" i="8" s="1"/>
  <c r="A231" i="8"/>
  <c r="V231" i="8" s="1"/>
  <c r="A232" i="8"/>
  <c r="V232" i="8" s="1"/>
  <c r="A233" i="8"/>
  <c r="V233" i="8" s="1"/>
  <c r="A235" i="8"/>
  <c r="V235" i="8" s="1"/>
  <c r="A236" i="8"/>
  <c r="V236" i="8" s="1"/>
  <c r="A237" i="8"/>
  <c r="V237" i="8" s="1"/>
  <c r="A238" i="8"/>
  <c r="V238" i="8" s="1"/>
  <c r="A239" i="8"/>
  <c r="V239" i="8" s="1"/>
  <c r="A240" i="8"/>
  <c r="V240" i="8" s="1"/>
  <c r="A241" i="8"/>
  <c r="V241" i="8" s="1"/>
  <c r="A243" i="8"/>
  <c r="V243" i="8" s="1"/>
  <c r="A244" i="8"/>
  <c r="V244" i="8" s="1"/>
  <c r="A245" i="8"/>
  <c r="V245" i="8" s="1"/>
  <c r="A246" i="8"/>
  <c r="V246" i="8" s="1"/>
  <c r="A247" i="8"/>
  <c r="V247" i="8" s="1"/>
  <c r="A248" i="8"/>
  <c r="V248" i="8" s="1"/>
  <c r="A249" i="8"/>
  <c r="V249" i="8" s="1"/>
  <c r="A251" i="8"/>
  <c r="V251" i="8" s="1"/>
  <c r="A252" i="8"/>
  <c r="V252" i="8" s="1"/>
  <c r="A253" i="8"/>
  <c r="V253" i="8" s="1"/>
  <c r="A254" i="8"/>
  <c r="V254" i="8" s="1"/>
  <c r="A255" i="8"/>
  <c r="V255" i="8" s="1"/>
  <c r="A256" i="8"/>
  <c r="V256" i="8" s="1"/>
  <c r="A257" i="8"/>
  <c r="V257" i="8" s="1"/>
  <c r="A259" i="8"/>
  <c r="V259" i="8" s="1"/>
  <c r="A260" i="8"/>
  <c r="V260" i="8" s="1"/>
  <c r="A261" i="8"/>
  <c r="V261" i="8" s="1"/>
  <c r="A262" i="8"/>
  <c r="V262" i="8" s="1"/>
  <c r="A263" i="8"/>
  <c r="V263" i="8" s="1"/>
  <c r="A264" i="8"/>
  <c r="V264" i="8" s="1"/>
  <c r="A265" i="8"/>
  <c r="V265" i="8" s="1"/>
  <c r="A267" i="8"/>
  <c r="V267" i="8" s="1"/>
  <c r="A268" i="8"/>
  <c r="V268" i="8" s="1"/>
  <c r="A269" i="8"/>
  <c r="V269" i="8" s="1"/>
  <c r="A270" i="8"/>
  <c r="V270" i="8" s="1"/>
  <c r="A271" i="8"/>
  <c r="V271" i="8" s="1"/>
  <c r="A272" i="8"/>
  <c r="V272" i="8" s="1"/>
  <c r="A273" i="8"/>
  <c r="V273" i="8" s="1"/>
  <c r="A275" i="8"/>
  <c r="V275" i="8" s="1"/>
  <c r="A276" i="8"/>
  <c r="V276" i="8" s="1"/>
  <c r="A277" i="8"/>
  <c r="V277" i="8" s="1"/>
  <c r="A278" i="8"/>
  <c r="V278" i="8" s="1"/>
  <c r="A279" i="8"/>
  <c r="V279" i="8" s="1"/>
  <c r="A280" i="8"/>
  <c r="V280" i="8" s="1"/>
  <c r="A281" i="8"/>
  <c r="V281" i="8" s="1"/>
  <c r="A283" i="8"/>
  <c r="V283" i="8" s="1"/>
  <c r="A284" i="8"/>
  <c r="V284" i="8" s="1"/>
  <c r="A285" i="8"/>
  <c r="V285" i="8" s="1"/>
  <c r="A286" i="8"/>
  <c r="V286" i="8" s="1"/>
  <c r="A287" i="8"/>
  <c r="V287" i="8" s="1"/>
  <c r="A288" i="8"/>
  <c r="V288" i="8" s="1"/>
  <c r="A289" i="8"/>
  <c r="V289" i="8" s="1"/>
  <c r="A291" i="8"/>
  <c r="V291" i="8" s="1"/>
  <c r="A292" i="8"/>
  <c r="V292" i="8" s="1"/>
  <c r="A293" i="8"/>
  <c r="V293" i="8" s="1"/>
  <c r="A294" i="8"/>
  <c r="V294" i="8" s="1"/>
  <c r="A295" i="8"/>
  <c r="V295" i="8" s="1"/>
  <c r="A296" i="8"/>
  <c r="V296" i="8" s="1"/>
  <c r="A297" i="8"/>
  <c r="V297" i="8" s="1"/>
  <c r="A299" i="8"/>
  <c r="V299" i="8" s="1"/>
  <c r="A300" i="8"/>
  <c r="V300" i="8" s="1"/>
  <c r="A301" i="8"/>
  <c r="V301" i="8" s="1"/>
  <c r="A302" i="8"/>
  <c r="V302" i="8" s="1"/>
  <c r="A303" i="8"/>
  <c r="V303" i="8" s="1"/>
  <c r="A304" i="8"/>
  <c r="V304" i="8" s="1"/>
  <c r="A305" i="8"/>
  <c r="V305" i="8" s="1"/>
  <c r="A307" i="8"/>
  <c r="V307" i="8" s="1"/>
  <c r="A308" i="8"/>
  <c r="V308" i="8" s="1"/>
  <c r="A309" i="8"/>
  <c r="V309" i="8" s="1"/>
  <c r="A310" i="8"/>
  <c r="V310" i="8" s="1"/>
  <c r="A311" i="8"/>
  <c r="V311" i="8" s="1"/>
  <c r="A312" i="8"/>
  <c r="V312" i="8" s="1"/>
  <c r="A313" i="8"/>
  <c r="V313" i="8" s="1"/>
  <c r="A315" i="8"/>
  <c r="V315" i="8" s="1"/>
  <c r="A316" i="8"/>
  <c r="V316" i="8" s="1"/>
  <c r="A317" i="8"/>
  <c r="V317" i="8" s="1"/>
  <c r="A318" i="8"/>
  <c r="V318" i="8" s="1"/>
  <c r="A319" i="8"/>
  <c r="V319" i="8" s="1"/>
  <c r="A320" i="8"/>
  <c r="V320" i="8" s="1"/>
  <c r="A321" i="8"/>
  <c r="V321" i="8" s="1"/>
  <c r="A323" i="8"/>
  <c r="V323" i="8" s="1"/>
  <c r="A324" i="8"/>
  <c r="V324" i="8" s="1"/>
  <c r="A325" i="8"/>
  <c r="V325" i="8" s="1"/>
  <c r="A326" i="8"/>
  <c r="V326" i="8" s="1"/>
  <c r="A327" i="8"/>
  <c r="V327" i="8" s="1"/>
  <c r="A328" i="8"/>
  <c r="V328" i="8" s="1"/>
  <c r="A329" i="8"/>
  <c r="V329" i="8" s="1"/>
  <c r="A331" i="8"/>
  <c r="V331" i="8" s="1"/>
  <c r="A332" i="8"/>
  <c r="V332" i="8" s="1"/>
  <c r="A333" i="8"/>
  <c r="V333" i="8" s="1"/>
  <c r="A334" i="8"/>
  <c r="V334" i="8" s="1"/>
  <c r="A335" i="8"/>
  <c r="V335" i="8" s="1"/>
  <c r="A336" i="8"/>
  <c r="V336" i="8" s="1"/>
  <c r="A337" i="8"/>
  <c r="V337" i="8" s="1"/>
  <c r="A339" i="8"/>
  <c r="V339" i="8" s="1"/>
  <c r="A340" i="8"/>
  <c r="V340" i="8" s="1"/>
  <c r="A341" i="8"/>
  <c r="V341" i="8" s="1"/>
  <c r="A342" i="8"/>
  <c r="V342" i="8" s="1"/>
  <c r="A343" i="8"/>
  <c r="V343" i="8" s="1"/>
  <c r="A344" i="8"/>
  <c r="V344" i="8" s="1"/>
  <c r="A345" i="8"/>
  <c r="V345" i="8" s="1"/>
  <c r="A347" i="8"/>
  <c r="V347" i="8" s="1"/>
  <c r="A348" i="8"/>
  <c r="V348" i="8" s="1"/>
  <c r="A349" i="8"/>
  <c r="V349" i="8" s="1"/>
  <c r="A350" i="8"/>
  <c r="V350" i="8" s="1"/>
  <c r="A351" i="8"/>
  <c r="V351" i="8" s="1"/>
  <c r="A352" i="8"/>
  <c r="V352" i="8" s="1"/>
  <c r="A353" i="8"/>
  <c r="V353" i="8" s="1"/>
  <c r="A355" i="8"/>
  <c r="V355" i="8" s="1"/>
  <c r="A356" i="8"/>
  <c r="V356" i="8" s="1"/>
  <c r="A357" i="8"/>
  <c r="V357" i="8" s="1"/>
  <c r="A358" i="8"/>
  <c r="V358" i="8" s="1"/>
  <c r="A359" i="8"/>
  <c r="V359" i="8" s="1"/>
  <c r="A360" i="8"/>
  <c r="V360" i="8" s="1"/>
  <c r="A361" i="8"/>
  <c r="V361" i="8" s="1"/>
  <c r="A363" i="8"/>
  <c r="V363" i="8" s="1"/>
  <c r="A364" i="8"/>
  <c r="V364" i="8" s="1"/>
  <c r="A365" i="8"/>
  <c r="V365" i="8" s="1"/>
  <c r="A366" i="8"/>
  <c r="V366" i="8" s="1"/>
  <c r="A367" i="8"/>
  <c r="V367" i="8" s="1"/>
  <c r="A368" i="8"/>
  <c r="V368" i="8" s="1"/>
  <c r="A369" i="8"/>
  <c r="V369" i="8" s="1"/>
  <c r="A371" i="8"/>
  <c r="V371" i="8" s="1"/>
  <c r="A372" i="8"/>
  <c r="V372" i="8" s="1"/>
  <c r="A373" i="8"/>
  <c r="V373" i="8" s="1"/>
  <c r="A374" i="8"/>
  <c r="V374" i="8" s="1"/>
  <c r="A375" i="8"/>
  <c r="V375" i="8" s="1"/>
  <c r="A376" i="8"/>
  <c r="V376" i="8" s="1"/>
  <c r="A377" i="8"/>
  <c r="V377" i="8" s="1"/>
  <c r="A379" i="8"/>
  <c r="V379" i="8" s="1"/>
  <c r="A380" i="8"/>
  <c r="V380" i="8" s="1"/>
  <c r="A381" i="8"/>
  <c r="V381" i="8" s="1"/>
  <c r="A382" i="8"/>
  <c r="V382" i="8" s="1"/>
  <c r="A383" i="8"/>
  <c r="V383" i="8" s="1"/>
  <c r="A384" i="8"/>
  <c r="V384" i="8" s="1"/>
  <c r="A385" i="8"/>
  <c r="V385" i="8" s="1"/>
  <c r="A387" i="8"/>
  <c r="V387" i="8" s="1"/>
  <c r="A388" i="8"/>
  <c r="V388" i="8" s="1"/>
  <c r="A389" i="8"/>
  <c r="V389" i="8" s="1"/>
  <c r="A390" i="8"/>
  <c r="V390" i="8" s="1"/>
  <c r="A391" i="8"/>
  <c r="V391" i="8" s="1"/>
  <c r="A392" i="8"/>
  <c r="V392" i="8" s="1"/>
  <c r="A393" i="8"/>
  <c r="V393" i="8" s="1"/>
  <c r="A395" i="8"/>
  <c r="V395" i="8" s="1"/>
  <c r="A396" i="8"/>
  <c r="V396" i="8" s="1"/>
  <c r="A397" i="8"/>
  <c r="V397" i="8" s="1"/>
  <c r="A398" i="8"/>
  <c r="V398" i="8" s="1"/>
  <c r="A399" i="8"/>
  <c r="V399" i="8" s="1"/>
  <c r="A400" i="8"/>
  <c r="V400" i="8" s="1"/>
  <c r="A401" i="8"/>
  <c r="V401" i="8" s="1"/>
  <c r="A403" i="8"/>
  <c r="V403" i="8" s="1"/>
  <c r="A404" i="8"/>
  <c r="V404" i="8" s="1"/>
  <c r="A405" i="8"/>
  <c r="V405" i="8" s="1"/>
  <c r="A406" i="8"/>
  <c r="V406" i="8" s="1"/>
  <c r="A407" i="8"/>
  <c r="V407" i="8" s="1"/>
  <c r="A408" i="8"/>
  <c r="V408" i="8" s="1"/>
  <c r="A409" i="8"/>
  <c r="V409" i="8" s="1"/>
  <c r="A411" i="8"/>
  <c r="V411" i="8" s="1"/>
  <c r="A412" i="8"/>
  <c r="V412" i="8" s="1"/>
  <c r="A413" i="8"/>
  <c r="V413" i="8" s="1"/>
  <c r="A414" i="8"/>
  <c r="V414" i="8" s="1"/>
  <c r="A415" i="8"/>
  <c r="V415" i="8" s="1"/>
  <c r="A416" i="8"/>
  <c r="V416" i="8" s="1"/>
  <c r="A417" i="8"/>
  <c r="V417" i="8" s="1"/>
  <c r="A419" i="8"/>
  <c r="V419" i="8" s="1"/>
  <c r="A420" i="8"/>
  <c r="V420" i="8" s="1"/>
  <c r="A421" i="8"/>
  <c r="V421" i="8" s="1"/>
  <c r="A422" i="8"/>
  <c r="V422" i="8" s="1"/>
  <c r="A423" i="8"/>
  <c r="V423" i="8" s="1"/>
  <c r="A424" i="8"/>
  <c r="V424" i="8" s="1"/>
  <c r="A425" i="8"/>
  <c r="V425" i="8" s="1"/>
  <c r="A427" i="8"/>
  <c r="V427" i="8" s="1"/>
  <c r="A428" i="8"/>
  <c r="V428" i="8" s="1"/>
  <c r="A429" i="8"/>
  <c r="V429" i="8" s="1"/>
  <c r="A430" i="8"/>
  <c r="V430" i="8" s="1"/>
  <c r="A431" i="8"/>
  <c r="V431" i="8" s="1"/>
  <c r="A432" i="8"/>
  <c r="V432" i="8" s="1"/>
  <c r="A433" i="8"/>
  <c r="V433" i="8" s="1"/>
  <c r="A435" i="8"/>
  <c r="V435" i="8" s="1"/>
  <c r="A436" i="8"/>
  <c r="V436" i="8" s="1"/>
  <c r="A437" i="8"/>
  <c r="V437" i="8" s="1"/>
  <c r="A438" i="8"/>
  <c r="V438" i="8" s="1"/>
  <c r="A439" i="8"/>
  <c r="V439" i="8" s="1"/>
  <c r="A440" i="8"/>
  <c r="V440" i="8" s="1"/>
  <c r="A441" i="8"/>
  <c r="V441" i="8" s="1"/>
  <c r="A443" i="8"/>
  <c r="V443" i="8" s="1"/>
  <c r="A444" i="8"/>
  <c r="V444" i="8" s="1"/>
  <c r="A445" i="8"/>
  <c r="V445" i="8" s="1"/>
  <c r="A446" i="8"/>
  <c r="V446" i="8" s="1"/>
  <c r="A447" i="8"/>
  <c r="V447" i="8" s="1"/>
  <c r="A448" i="8"/>
  <c r="V448" i="8" s="1"/>
  <c r="A449" i="8"/>
  <c r="V449" i="8" s="1"/>
  <c r="A451" i="8"/>
  <c r="V451" i="8" s="1"/>
  <c r="A452" i="8"/>
  <c r="V452" i="8" s="1"/>
  <c r="A453" i="8"/>
  <c r="V453" i="8" s="1"/>
  <c r="A454" i="8"/>
  <c r="V454" i="8" s="1"/>
  <c r="A455" i="8"/>
  <c r="V455" i="8" s="1"/>
  <c r="A456" i="8"/>
  <c r="V456" i="8" s="1"/>
  <c r="A457" i="8"/>
  <c r="V457" i="8" s="1"/>
  <c r="A459" i="8"/>
  <c r="V459" i="8" s="1"/>
  <c r="A460" i="8"/>
  <c r="V460" i="8" s="1"/>
  <c r="A461" i="8"/>
  <c r="V461" i="8" s="1"/>
  <c r="A462" i="8"/>
  <c r="V462" i="8" s="1"/>
  <c r="A463" i="8"/>
  <c r="V463" i="8" s="1"/>
  <c r="A464" i="8"/>
  <c r="V464" i="8" s="1"/>
  <c r="A465" i="8"/>
  <c r="V465" i="8" s="1"/>
  <c r="A467" i="8"/>
  <c r="V467" i="8" s="1"/>
  <c r="A468" i="8"/>
  <c r="V468" i="8" s="1"/>
  <c r="A469" i="8"/>
  <c r="V469" i="8" s="1"/>
  <c r="A470" i="8"/>
  <c r="V470" i="8" s="1"/>
  <c r="A471" i="8"/>
  <c r="V471" i="8" s="1"/>
  <c r="A472" i="8"/>
  <c r="V472" i="8" s="1"/>
  <c r="A473" i="8"/>
  <c r="V473" i="8" s="1"/>
  <c r="A475" i="8"/>
  <c r="V475" i="8" s="1"/>
  <c r="A476" i="8"/>
  <c r="V476" i="8" s="1"/>
  <c r="A477" i="8"/>
  <c r="V477" i="8" s="1"/>
  <c r="A478" i="8"/>
  <c r="V478" i="8" s="1"/>
  <c r="A479" i="8"/>
  <c r="V479" i="8" s="1"/>
  <c r="A480" i="8"/>
  <c r="V480" i="8" s="1"/>
  <c r="A481" i="8"/>
  <c r="V481" i="8" s="1"/>
  <c r="A483" i="8"/>
  <c r="V483" i="8" s="1"/>
  <c r="A484" i="8"/>
  <c r="V484" i="8" s="1"/>
  <c r="A485" i="8"/>
  <c r="V485" i="8" s="1"/>
  <c r="A486" i="8"/>
  <c r="V486" i="8" s="1"/>
  <c r="A487" i="8"/>
  <c r="V487" i="8" s="1"/>
  <c r="A488" i="8"/>
  <c r="V488" i="8" s="1"/>
  <c r="A489" i="8"/>
  <c r="V489" i="8" s="1"/>
  <c r="A491" i="8"/>
  <c r="V491" i="8" s="1"/>
  <c r="A492" i="8"/>
  <c r="V492" i="8" s="1"/>
  <c r="A493" i="8"/>
  <c r="V493" i="8" s="1"/>
  <c r="A494" i="8"/>
  <c r="V494" i="8" s="1"/>
  <c r="A495" i="8"/>
  <c r="V495" i="8" s="1"/>
  <c r="A496" i="8"/>
  <c r="V496" i="8" s="1"/>
  <c r="A497" i="8"/>
  <c r="V497" i="8" s="1"/>
  <c r="A499" i="8"/>
  <c r="V499" i="8" s="1"/>
  <c r="A500" i="8"/>
  <c r="V500" i="8" s="1"/>
  <c r="A501" i="8"/>
  <c r="V501" i="8" s="1"/>
  <c r="A502" i="8"/>
  <c r="V502" i="8" s="1"/>
  <c r="A503" i="8"/>
  <c r="V503" i="8" s="1"/>
  <c r="A504" i="8"/>
  <c r="V504" i="8" s="1"/>
  <c r="A505" i="8"/>
  <c r="V505" i="8" s="1"/>
  <c r="A507" i="8"/>
  <c r="V507" i="8" s="1"/>
  <c r="A508" i="8"/>
  <c r="V508" i="8" s="1"/>
  <c r="A509" i="8"/>
  <c r="V509" i="8" s="1"/>
  <c r="A510" i="8"/>
  <c r="V510" i="8" s="1"/>
  <c r="A511" i="8"/>
  <c r="V511" i="8" s="1"/>
  <c r="A512" i="8"/>
  <c r="V512" i="8" s="1"/>
  <c r="A513" i="8"/>
  <c r="V513" i="8" s="1"/>
  <c r="A515" i="8"/>
  <c r="V515" i="8" s="1"/>
  <c r="A516" i="8"/>
  <c r="V516" i="8" s="1"/>
  <c r="A517" i="8"/>
  <c r="V517" i="8" s="1"/>
  <c r="A518" i="8"/>
  <c r="V518" i="8" s="1"/>
  <c r="A519" i="8"/>
  <c r="V519" i="8" s="1"/>
  <c r="A520" i="8"/>
  <c r="V520" i="8" s="1"/>
  <c r="A521" i="8"/>
  <c r="V521" i="8" s="1"/>
  <c r="A523" i="8"/>
  <c r="V523" i="8" s="1"/>
  <c r="A524" i="8"/>
  <c r="V524" i="8" s="1"/>
  <c r="A525" i="8"/>
  <c r="V525" i="8" s="1"/>
  <c r="A526" i="8"/>
  <c r="V526" i="8" s="1"/>
  <c r="A527" i="8"/>
  <c r="V527" i="8" s="1"/>
  <c r="A528" i="8"/>
  <c r="V528" i="8" s="1"/>
  <c r="A529" i="8"/>
  <c r="V529" i="8" s="1"/>
  <c r="A531" i="8"/>
  <c r="V531" i="8" s="1"/>
  <c r="A532" i="8"/>
  <c r="V532" i="8" s="1"/>
  <c r="A533" i="8"/>
  <c r="V533" i="8" s="1"/>
  <c r="A534" i="8"/>
  <c r="V534" i="8" s="1"/>
  <c r="A535" i="8"/>
  <c r="V535" i="8" s="1"/>
  <c r="A536" i="8"/>
  <c r="V536" i="8" s="1"/>
  <c r="A537" i="8"/>
  <c r="V537" i="8" s="1"/>
  <c r="A539" i="8"/>
  <c r="V539" i="8" s="1"/>
  <c r="A540" i="8"/>
  <c r="V540" i="8" s="1"/>
  <c r="A541" i="8"/>
  <c r="V541" i="8" s="1"/>
  <c r="A542" i="8"/>
  <c r="V542" i="8" s="1"/>
  <c r="A543" i="8"/>
  <c r="V543" i="8" s="1"/>
  <c r="A544" i="8"/>
  <c r="V544" i="8" s="1"/>
  <c r="A545" i="8"/>
  <c r="V545" i="8" s="1"/>
  <c r="A547" i="8"/>
  <c r="V547" i="8" s="1"/>
  <c r="A548" i="8"/>
  <c r="V548" i="8" s="1"/>
  <c r="A549" i="8"/>
  <c r="V549" i="8" s="1"/>
  <c r="A550" i="8"/>
  <c r="V550" i="8" s="1"/>
  <c r="A551" i="8"/>
  <c r="V551" i="8" s="1"/>
  <c r="A552" i="8"/>
  <c r="V552" i="8" s="1"/>
  <c r="A553" i="8"/>
  <c r="V553" i="8" s="1"/>
  <c r="A555" i="8"/>
  <c r="V555" i="8" s="1"/>
  <c r="A556" i="8"/>
  <c r="V556" i="8" s="1"/>
  <c r="A557" i="8"/>
  <c r="V557" i="8" s="1"/>
  <c r="A558" i="8"/>
  <c r="V558" i="8" s="1"/>
  <c r="A559" i="8"/>
  <c r="V559" i="8" s="1"/>
  <c r="A560" i="8"/>
  <c r="V560" i="8" s="1"/>
  <c r="A561" i="8"/>
  <c r="V561" i="8" s="1"/>
  <c r="A563" i="8"/>
  <c r="V563" i="8" s="1"/>
  <c r="A564" i="8"/>
  <c r="V564" i="8" s="1"/>
  <c r="A565" i="8"/>
  <c r="V565" i="8" s="1"/>
  <c r="A566" i="8"/>
  <c r="V566" i="8" s="1"/>
  <c r="A567" i="8"/>
  <c r="V567" i="8" s="1"/>
  <c r="A568" i="8"/>
  <c r="V568" i="8" s="1"/>
  <c r="A569" i="8"/>
  <c r="V569" i="8" s="1"/>
  <c r="A571" i="8"/>
  <c r="V571" i="8" s="1"/>
  <c r="A572" i="8"/>
  <c r="V572" i="8" s="1"/>
  <c r="A573" i="8"/>
  <c r="V573" i="8" s="1"/>
  <c r="A574" i="8"/>
  <c r="V574" i="8" s="1"/>
  <c r="A575" i="8"/>
  <c r="V575" i="8" s="1"/>
  <c r="A576" i="8"/>
  <c r="V576" i="8" s="1"/>
  <c r="A577" i="8"/>
  <c r="V577" i="8" s="1"/>
  <c r="A579" i="8"/>
  <c r="V579" i="8" s="1"/>
  <c r="A580" i="8"/>
  <c r="V580" i="8" s="1"/>
  <c r="A581" i="8"/>
  <c r="V581" i="8" s="1"/>
  <c r="A582" i="8"/>
  <c r="V582" i="8" s="1"/>
  <c r="A583" i="8"/>
  <c r="V583" i="8" s="1"/>
  <c r="A584" i="8"/>
  <c r="V584" i="8" s="1"/>
  <c r="A585" i="8"/>
  <c r="V585" i="8" s="1"/>
  <c r="A587" i="8"/>
  <c r="V587" i="8" s="1"/>
  <c r="A588" i="8"/>
  <c r="V588" i="8" s="1"/>
  <c r="A589" i="8"/>
  <c r="V589" i="8" s="1"/>
  <c r="A590" i="8"/>
  <c r="V590" i="8" s="1"/>
  <c r="A591" i="8"/>
  <c r="V591" i="8" s="1"/>
  <c r="A592" i="8"/>
  <c r="V592" i="8" s="1"/>
  <c r="A593" i="8"/>
  <c r="V593" i="8" s="1"/>
  <c r="A595" i="8"/>
  <c r="V595" i="8" s="1"/>
  <c r="A596" i="8"/>
  <c r="V596" i="8" s="1"/>
  <c r="A597" i="8"/>
  <c r="V597" i="8" s="1"/>
  <c r="A598" i="8"/>
  <c r="V598" i="8" s="1"/>
  <c r="A599" i="8"/>
  <c r="V599" i="8" s="1"/>
  <c r="A600" i="8"/>
  <c r="V600" i="8" s="1"/>
  <c r="A601" i="8"/>
  <c r="V601" i="8" s="1"/>
  <c r="A603" i="8"/>
  <c r="V603" i="8" s="1"/>
  <c r="A604" i="8"/>
  <c r="V604" i="8" s="1"/>
  <c r="A605" i="8"/>
  <c r="V605" i="8" s="1"/>
  <c r="A606" i="8"/>
  <c r="V606" i="8" s="1"/>
  <c r="A607" i="8"/>
  <c r="V607" i="8" s="1"/>
  <c r="A608" i="8"/>
  <c r="V608" i="8" s="1"/>
  <c r="A609" i="8"/>
  <c r="V609" i="8" s="1"/>
  <c r="A611" i="8"/>
  <c r="V611" i="8" s="1"/>
  <c r="A612" i="8"/>
  <c r="V612" i="8" s="1"/>
  <c r="A613" i="8"/>
  <c r="V613" i="8" s="1"/>
  <c r="A614" i="8"/>
  <c r="V614" i="8" s="1"/>
  <c r="A615" i="8"/>
  <c r="V615" i="8" s="1"/>
  <c r="A616" i="8"/>
  <c r="V616" i="8" s="1"/>
  <c r="A617" i="8"/>
  <c r="V617" i="8" s="1"/>
  <c r="A619" i="8"/>
  <c r="V619" i="8" s="1"/>
  <c r="A620" i="8"/>
  <c r="V620" i="8" s="1"/>
  <c r="A621" i="8"/>
  <c r="V621" i="8" s="1"/>
  <c r="A622" i="8"/>
  <c r="V622" i="8" s="1"/>
  <c r="A623" i="8"/>
  <c r="V623" i="8" s="1"/>
  <c r="A624" i="8"/>
  <c r="V624" i="8" s="1"/>
  <c r="A625" i="8"/>
  <c r="V625" i="8" s="1"/>
  <c r="A627" i="8"/>
  <c r="V627" i="8" s="1"/>
  <c r="A628" i="8"/>
  <c r="V628" i="8" s="1"/>
  <c r="A629" i="8"/>
  <c r="V629" i="8" s="1"/>
  <c r="A630" i="8"/>
  <c r="V630" i="8" s="1"/>
  <c r="A631" i="8"/>
  <c r="V631" i="8" s="1"/>
  <c r="A632" i="8"/>
  <c r="V632" i="8" s="1"/>
  <c r="A633" i="8"/>
  <c r="V633" i="8" s="1"/>
  <c r="A635" i="8"/>
  <c r="V635" i="8" s="1"/>
  <c r="A636" i="8"/>
  <c r="V636" i="8" s="1"/>
  <c r="A637" i="8"/>
  <c r="V637" i="8" s="1"/>
  <c r="A638" i="8"/>
  <c r="V638" i="8" s="1"/>
  <c r="A639" i="8"/>
  <c r="V639" i="8" s="1"/>
  <c r="A640" i="8"/>
  <c r="V640" i="8" s="1"/>
  <c r="A641" i="8"/>
  <c r="V641" i="8" s="1"/>
  <c r="A643" i="8"/>
  <c r="V643" i="8" s="1"/>
  <c r="A644" i="8"/>
  <c r="V644" i="8" s="1"/>
  <c r="A645" i="8"/>
  <c r="V645" i="8" s="1"/>
  <c r="A646" i="8"/>
  <c r="V646" i="8" s="1"/>
  <c r="A647" i="8"/>
  <c r="V647" i="8" s="1"/>
  <c r="A648" i="8"/>
  <c r="V648" i="8" s="1"/>
  <c r="A649" i="8"/>
  <c r="V649" i="8" s="1"/>
  <c r="A651" i="8"/>
  <c r="V651" i="8" s="1"/>
  <c r="A652" i="8"/>
  <c r="V652" i="8" s="1"/>
  <c r="A653" i="8"/>
  <c r="V653" i="8" s="1"/>
  <c r="A654" i="8"/>
  <c r="V654" i="8" s="1"/>
  <c r="A655" i="8"/>
  <c r="V655" i="8" s="1"/>
  <c r="A656" i="8"/>
  <c r="V656" i="8" s="1"/>
  <c r="A657" i="8"/>
  <c r="V657" i="8" s="1"/>
  <c r="A659" i="8"/>
  <c r="V659" i="8" s="1"/>
  <c r="A660" i="8"/>
  <c r="V660" i="8" s="1"/>
  <c r="A661" i="8"/>
  <c r="V661" i="8" s="1"/>
  <c r="A662" i="8"/>
  <c r="V662" i="8" s="1"/>
  <c r="A663" i="8"/>
  <c r="V663" i="8" s="1"/>
  <c r="A664" i="8"/>
  <c r="V664" i="8" s="1"/>
  <c r="A665" i="8"/>
  <c r="V665" i="8" s="1"/>
  <c r="A667" i="8"/>
  <c r="V667" i="8" s="1"/>
  <c r="A668" i="8"/>
  <c r="V668" i="8" s="1"/>
  <c r="A669" i="8"/>
  <c r="V669" i="8" s="1"/>
  <c r="A670" i="8"/>
  <c r="V670" i="8" s="1"/>
  <c r="A671" i="8"/>
  <c r="V671" i="8" s="1"/>
  <c r="A672" i="8"/>
  <c r="V672" i="8" s="1"/>
  <c r="A673" i="8"/>
  <c r="V673" i="8" s="1"/>
  <c r="A675" i="8"/>
  <c r="V675" i="8" s="1"/>
  <c r="A676" i="8"/>
  <c r="V676" i="8" s="1"/>
  <c r="A677" i="8"/>
  <c r="V677" i="8" s="1"/>
  <c r="A678" i="8"/>
  <c r="V678" i="8" s="1"/>
  <c r="A679" i="8"/>
  <c r="V679" i="8" s="1"/>
  <c r="A680" i="8"/>
  <c r="V680" i="8" s="1"/>
  <c r="A681" i="8"/>
  <c r="V681" i="8" s="1"/>
  <c r="A683" i="8"/>
  <c r="V683" i="8" s="1"/>
  <c r="A684" i="8"/>
  <c r="V684" i="8" s="1"/>
  <c r="A685" i="8"/>
  <c r="V685" i="8" s="1"/>
  <c r="A686" i="8"/>
  <c r="V686" i="8" s="1"/>
  <c r="A687" i="8"/>
  <c r="V687" i="8" s="1"/>
  <c r="A688" i="8"/>
  <c r="V688" i="8" s="1"/>
  <c r="A689" i="8"/>
  <c r="V689" i="8" s="1"/>
  <c r="A690" i="8"/>
  <c r="V690" i="8" s="1"/>
  <c r="A691" i="8"/>
  <c r="V691" i="8" s="1"/>
  <c r="A692" i="8"/>
  <c r="V692" i="8" s="1"/>
  <c r="A693" i="8"/>
  <c r="V693" i="8" s="1"/>
  <c r="A694" i="8"/>
  <c r="V694" i="8" s="1"/>
  <c r="A695" i="8"/>
  <c r="V695" i="8" s="1"/>
  <c r="A696" i="8"/>
  <c r="V696" i="8" s="1"/>
  <c r="A697" i="8"/>
  <c r="V697" i="8" s="1"/>
  <c r="A698" i="8"/>
  <c r="V698" i="8" s="1"/>
  <c r="A699" i="8"/>
  <c r="V699" i="8" s="1"/>
  <c r="A700" i="8"/>
  <c r="V700" i="8" s="1"/>
  <c r="A701" i="8"/>
  <c r="V701" i="8" s="1"/>
  <c r="A702" i="8"/>
  <c r="V702" i="8" s="1"/>
  <c r="A703" i="8"/>
  <c r="V703" i="8" s="1"/>
  <c r="A704" i="8"/>
  <c r="V704" i="8" s="1"/>
  <c r="A705" i="8"/>
  <c r="V705" i="8" s="1"/>
  <c r="A706" i="8"/>
  <c r="V706" i="8" s="1"/>
  <c r="A707" i="8"/>
  <c r="V707" i="8" s="1"/>
  <c r="A708" i="8"/>
  <c r="V708" i="8" s="1"/>
  <c r="A709" i="8"/>
  <c r="V709" i="8" s="1"/>
  <c r="A710" i="8"/>
  <c r="V710" i="8" s="1"/>
  <c r="A711" i="8"/>
  <c r="V711" i="8" s="1"/>
  <c r="A712" i="8"/>
  <c r="V712" i="8" s="1"/>
  <c r="A713" i="8"/>
  <c r="V713" i="8" s="1"/>
  <c r="A714" i="8"/>
  <c r="V714" i="8" s="1"/>
  <c r="A715" i="8"/>
  <c r="V715" i="8" s="1"/>
  <c r="A716" i="8"/>
  <c r="V716" i="8" s="1"/>
  <c r="A717" i="8"/>
  <c r="V717" i="8" s="1"/>
  <c r="A718" i="8"/>
  <c r="V718" i="8" s="1"/>
  <c r="A719" i="8"/>
  <c r="V719" i="8" s="1"/>
  <c r="A720" i="8"/>
  <c r="V720" i="8" s="1"/>
  <c r="A721" i="8"/>
  <c r="V721" i="8" s="1"/>
  <c r="A722" i="8"/>
  <c r="V722" i="8" s="1"/>
  <c r="A723" i="8"/>
  <c r="V723" i="8" s="1"/>
  <c r="A724" i="8"/>
  <c r="V724" i="8" s="1"/>
  <c r="A725" i="8"/>
  <c r="V725" i="8" s="1"/>
  <c r="A726" i="8"/>
  <c r="V726" i="8" s="1"/>
  <c r="A727" i="8"/>
  <c r="V727" i="8" s="1"/>
  <c r="A728" i="8"/>
  <c r="V728" i="8" s="1"/>
  <c r="A729" i="8"/>
  <c r="V729" i="8" s="1"/>
  <c r="A730" i="8"/>
  <c r="V730" i="8" s="1"/>
  <c r="A731" i="8"/>
  <c r="V731" i="8" s="1"/>
  <c r="A732" i="8"/>
  <c r="V732" i="8" s="1"/>
  <c r="A733" i="8"/>
  <c r="V733" i="8" s="1"/>
  <c r="A734" i="8"/>
  <c r="V734" i="8" s="1"/>
  <c r="A735" i="8"/>
  <c r="V735" i="8" s="1"/>
  <c r="A736" i="8"/>
  <c r="V736" i="8" s="1"/>
  <c r="A737" i="8"/>
  <c r="V737" i="8" s="1"/>
  <c r="A738" i="8"/>
  <c r="V738" i="8" s="1"/>
  <c r="A739" i="8"/>
  <c r="V739" i="8" s="1"/>
  <c r="A740" i="8"/>
  <c r="V740" i="8" s="1"/>
  <c r="A741" i="8"/>
  <c r="V741" i="8" s="1"/>
  <c r="A742" i="8"/>
  <c r="V742" i="8" s="1"/>
  <c r="A743" i="8"/>
  <c r="V743" i="8" s="1"/>
  <c r="A744" i="8"/>
  <c r="V744" i="8" s="1"/>
  <c r="A745" i="8"/>
  <c r="V745" i="8" s="1"/>
  <c r="A746" i="8"/>
  <c r="V746" i="8" s="1"/>
  <c r="A747" i="8"/>
  <c r="V747" i="8" s="1"/>
  <c r="A748" i="8"/>
  <c r="V748" i="8" s="1"/>
  <c r="A749" i="8"/>
  <c r="V749" i="8" s="1"/>
  <c r="A750" i="8"/>
  <c r="V750" i="8" s="1"/>
  <c r="A751" i="8"/>
  <c r="V751" i="8" s="1"/>
  <c r="A752" i="8"/>
  <c r="V752" i="8" s="1"/>
  <c r="A753" i="8"/>
  <c r="V753" i="8" s="1"/>
  <c r="A754" i="8"/>
  <c r="V754" i="8" s="1"/>
  <c r="A755" i="8"/>
  <c r="V755" i="8" s="1"/>
  <c r="A756" i="8"/>
  <c r="V756" i="8" s="1"/>
  <c r="A757" i="8"/>
  <c r="V757" i="8" s="1"/>
  <c r="A758" i="8"/>
  <c r="V758" i="8" s="1"/>
  <c r="A759" i="8"/>
  <c r="V759" i="8" s="1"/>
  <c r="A760" i="8"/>
  <c r="V760" i="8" s="1"/>
  <c r="A761" i="8"/>
  <c r="V761" i="8" s="1"/>
  <c r="A762" i="8"/>
  <c r="V762" i="8" s="1"/>
  <c r="A763" i="8"/>
  <c r="V763" i="8" s="1"/>
  <c r="A764" i="8"/>
  <c r="V764" i="8" s="1"/>
  <c r="A765" i="8"/>
  <c r="V765" i="8" s="1"/>
  <c r="A766" i="8"/>
  <c r="V766" i="8" s="1"/>
  <c r="A767" i="8"/>
  <c r="V767" i="8" s="1"/>
  <c r="A768" i="8"/>
  <c r="V768" i="8" s="1"/>
  <c r="A769" i="8"/>
  <c r="V769" i="8" s="1"/>
  <c r="A770" i="8"/>
  <c r="V770" i="8" s="1"/>
  <c r="A771" i="8"/>
  <c r="V771" i="8" s="1"/>
  <c r="A772" i="8"/>
  <c r="V772" i="8" s="1"/>
  <c r="A773" i="8"/>
  <c r="V773" i="8" s="1"/>
  <c r="A774" i="8"/>
  <c r="V774" i="8" s="1"/>
  <c r="A775" i="8"/>
  <c r="V775" i="8" s="1"/>
  <c r="A776" i="8"/>
  <c r="V776" i="8" s="1"/>
  <c r="A777" i="8"/>
  <c r="V777" i="8" s="1"/>
  <c r="A778" i="8"/>
  <c r="V778" i="8" s="1"/>
  <c r="A779" i="8"/>
  <c r="V779" i="8" s="1"/>
  <c r="A780" i="8"/>
  <c r="V780" i="8" s="1"/>
  <c r="A781" i="8"/>
  <c r="V781" i="8" s="1"/>
  <c r="A782" i="8"/>
  <c r="V782" i="8" s="1"/>
  <c r="A783" i="8"/>
  <c r="V783" i="8" s="1"/>
  <c r="A784" i="8"/>
  <c r="V784" i="8" s="1"/>
  <c r="A785" i="8"/>
  <c r="V785" i="8" s="1"/>
  <c r="A786" i="8"/>
  <c r="V786" i="8" s="1"/>
  <c r="A787" i="8"/>
  <c r="V787" i="8" s="1"/>
  <c r="A788" i="8"/>
  <c r="V788" i="8" s="1"/>
  <c r="A789" i="8"/>
  <c r="V789" i="8" s="1"/>
  <c r="A790" i="8"/>
  <c r="V790" i="8" s="1"/>
  <c r="A791" i="8"/>
  <c r="V791" i="8" s="1"/>
  <c r="A792" i="8"/>
  <c r="V792" i="8" s="1"/>
  <c r="A793" i="8"/>
  <c r="V793" i="8" s="1"/>
  <c r="A794" i="8"/>
  <c r="V794" i="8" s="1"/>
  <c r="A795" i="8"/>
  <c r="V795" i="8" s="1"/>
  <c r="A796" i="8"/>
  <c r="V796" i="8" s="1"/>
  <c r="A797" i="8"/>
  <c r="V797" i="8" s="1"/>
  <c r="A798" i="8"/>
  <c r="V798" i="8" s="1"/>
  <c r="A799" i="8"/>
  <c r="V799" i="8" s="1"/>
  <c r="A800" i="8"/>
  <c r="V800" i="8" s="1"/>
  <c r="A801" i="8"/>
  <c r="V801" i="8" s="1"/>
  <c r="A802" i="8"/>
  <c r="V802" i="8" s="1"/>
  <c r="A803" i="8"/>
  <c r="V803" i="8" s="1"/>
  <c r="A804" i="8"/>
  <c r="V804" i="8" s="1"/>
  <c r="A805" i="8"/>
  <c r="V805" i="8" s="1"/>
  <c r="A806" i="8"/>
  <c r="V806" i="8" s="1"/>
  <c r="A807" i="8"/>
  <c r="V807" i="8" s="1"/>
  <c r="A808" i="8"/>
  <c r="V808" i="8" s="1"/>
  <c r="A809" i="8"/>
  <c r="V809" i="8" s="1"/>
  <c r="A810" i="8"/>
  <c r="V810" i="8" s="1"/>
  <c r="A811" i="8"/>
  <c r="V811" i="8" s="1"/>
  <c r="A812" i="8"/>
  <c r="V812" i="8" s="1"/>
  <c r="A813" i="8"/>
  <c r="V813" i="8" s="1"/>
  <c r="A814" i="8"/>
  <c r="V814" i="8" s="1"/>
  <c r="A815" i="8"/>
  <c r="V815" i="8" s="1"/>
  <c r="A816" i="8"/>
  <c r="V816" i="8" s="1"/>
  <c r="A817" i="8"/>
  <c r="V817" i="8" s="1"/>
  <c r="A818" i="8"/>
  <c r="V818" i="8" s="1"/>
  <c r="A819" i="8"/>
  <c r="V819" i="8" s="1"/>
  <c r="A820" i="8"/>
  <c r="V820" i="8" s="1"/>
  <c r="A821" i="8"/>
  <c r="V821" i="8" s="1"/>
  <c r="A822" i="8"/>
  <c r="V822" i="8" s="1"/>
  <c r="A823" i="8"/>
  <c r="V823" i="8" s="1"/>
  <c r="A824" i="8"/>
  <c r="V824" i="8" s="1"/>
  <c r="A825" i="8"/>
  <c r="V825" i="8" s="1"/>
  <c r="A826" i="8"/>
  <c r="V826" i="8" s="1"/>
  <c r="A827" i="8"/>
  <c r="V827" i="8" s="1"/>
  <c r="A828" i="8"/>
  <c r="V828" i="8" s="1"/>
  <c r="A829" i="8"/>
  <c r="V829" i="8" s="1"/>
  <c r="A830" i="8"/>
  <c r="V830" i="8" s="1"/>
  <c r="A831" i="8"/>
  <c r="V831" i="8" s="1"/>
  <c r="A832" i="8"/>
  <c r="V832" i="8" s="1"/>
  <c r="A833" i="8"/>
  <c r="V833" i="8" s="1"/>
  <c r="A834" i="8"/>
  <c r="V834" i="8" s="1"/>
  <c r="A835" i="8"/>
  <c r="V835" i="8" s="1"/>
  <c r="A836" i="8"/>
  <c r="V836" i="8" s="1"/>
  <c r="A837" i="8"/>
  <c r="V837" i="8" s="1"/>
  <c r="A838" i="8"/>
  <c r="V838" i="8" s="1"/>
  <c r="A839" i="8"/>
  <c r="V839" i="8" s="1"/>
  <c r="A840" i="8"/>
  <c r="V840" i="8" s="1"/>
  <c r="A841" i="8"/>
  <c r="V841" i="8" s="1"/>
  <c r="A842" i="8"/>
  <c r="V842" i="8" s="1"/>
  <c r="A843" i="8"/>
  <c r="V843" i="8" s="1"/>
  <c r="A844" i="8"/>
  <c r="V844" i="8" s="1"/>
  <c r="A845" i="8"/>
  <c r="V845" i="8" s="1"/>
  <c r="A846" i="8"/>
  <c r="V846" i="8" s="1"/>
  <c r="A847" i="8"/>
  <c r="V847" i="8" s="1"/>
  <c r="A848" i="8"/>
  <c r="V848" i="8" s="1"/>
  <c r="A849" i="8"/>
  <c r="V849" i="8" s="1"/>
  <c r="A850" i="8"/>
  <c r="V850" i="8" s="1"/>
  <c r="A851" i="8"/>
  <c r="V851" i="8" s="1"/>
  <c r="A852" i="8"/>
  <c r="V852" i="8" s="1"/>
  <c r="A853" i="8"/>
  <c r="V853" i="8" s="1"/>
  <c r="A854" i="8"/>
  <c r="V854" i="8" s="1"/>
  <c r="A855" i="8"/>
  <c r="V855" i="8" s="1"/>
  <c r="A856" i="8"/>
  <c r="V856" i="8" s="1"/>
  <c r="A857" i="8"/>
  <c r="V857" i="8" s="1"/>
  <c r="A858" i="8"/>
  <c r="V858" i="8" s="1"/>
  <c r="A859" i="8"/>
  <c r="V859" i="8" s="1"/>
  <c r="A860" i="8"/>
  <c r="V860" i="8" s="1"/>
  <c r="A861" i="8"/>
  <c r="V861" i="8" s="1"/>
  <c r="A862" i="8"/>
  <c r="V862" i="8" s="1"/>
  <c r="A863" i="8"/>
  <c r="V863" i="8" s="1"/>
  <c r="A864" i="8"/>
  <c r="V864" i="8" s="1"/>
  <c r="A865" i="8"/>
  <c r="V865" i="8" s="1"/>
  <c r="A866" i="8"/>
  <c r="V866" i="8" s="1"/>
  <c r="A867" i="8"/>
  <c r="V867" i="8" s="1"/>
  <c r="A868" i="8"/>
  <c r="V868" i="8" s="1"/>
  <c r="A869" i="8"/>
  <c r="V869" i="8" s="1"/>
  <c r="A870" i="8"/>
  <c r="V870" i="8" s="1"/>
  <c r="A871" i="8"/>
  <c r="V871" i="8" s="1"/>
  <c r="A872" i="8"/>
  <c r="V872" i="8" s="1"/>
  <c r="A873" i="8"/>
  <c r="V873" i="8" s="1"/>
  <c r="A874" i="8"/>
  <c r="V874" i="8" s="1"/>
  <c r="A875" i="8"/>
  <c r="V875" i="8" s="1"/>
  <c r="A876" i="8"/>
  <c r="V876" i="8" s="1"/>
  <c r="A877" i="8"/>
  <c r="V877" i="8" s="1"/>
  <c r="A878" i="8"/>
  <c r="V878" i="8" s="1"/>
  <c r="A879" i="8"/>
  <c r="V879" i="8" s="1"/>
  <c r="A880" i="8"/>
  <c r="V880" i="8" s="1"/>
  <c r="A881" i="8"/>
  <c r="V881" i="8" s="1"/>
  <c r="A882" i="8"/>
  <c r="V882" i="8" s="1"/>
  <c r="A883" i="8"/>
  <c r="V883" i="8" s="1"/>
  <c r="A884" i="8"/>
  <c r="V884" i="8" s="1"/>
  <c r="A885" i="8"/>
  <c r="V885" i="8" s="1"/>
  <c r="A886" i="8"/>
  <c r="V886" i="8" s="1"/>
  <c r="A887" i="8"/>
  <c r="V887" i="8" s="1"/>
  <c r="A888" i="8"/>
  <c r="V888" i="8" s="1"/>
  <c r="A889" i="8"/>
  <c r="V889" i="8" s="1"/>
  <c r="A890" i="8"/>
  <c r="V890" i="8" s="1"/>
  <c r="A891" i="8"/>
  <c r="V891" i="8" s="1"/>
  <c r="A892" i="8"/>
  <c r="V892" i="8" s="1"/>
  <c r="A893" i="8"/>
  <c r="V893" i="8" s="1"/>
  <c r="A894" i="8"/>
  <c r="V894" i="8" s="1"/>
  <c r="A895" i="8"/>
  <c r="V895" i="8" s="1"/>
  <c r="A896" i="8"/>
  <c r="V896" i="8" s="1"/>
  <c r="A897" i="8"/>
  <c r="V897" i="8" s="1"/>
  <c r="A898" i="8"/>
  <c r="V898" i="8" s="1"/>
  <c r="A899" i="8"/>
  <c r="V899" i="8" s="1"/>
  <c r="A900" i="8"/>
  <c r="V900" i="8" s="1"/>
  <c r="A901" i="8"/>
  <c r="V901" i="8" s="1"/>
  <c r="A902" i="8"/>
  <c r="V902" i="8" s="1"/>
  <c r="A903" i="8"/>
  <c r="V903" i="8" s="1"/>
  <c r="A904" i="8"/>
  <c r="V904" i="8" s="1"/>
  <c r="A905" i="8"/>
  <c r="V905" i="8" s="1"/>
  <c r="A906" i="8"/>
  <c r="V906" i="8" s="1"/>
  <c r="A907" i="8"/>
  <c r="V907" i="8" s="1"/>
  <c r="A908" i="8"/>
  <c r="V908" i="8" s="1"/>
  <c r="A909" i="8"/>
  <c r="V909" i="8" s="1"/>
  <c r="A910" i="8"/>
  <c r="V910" i="8" s="1"/>
  <c r="A911" i="8"/>
  <c r="V911" i="8" s="1"/>
  <c r="A912" i="8"/>
  <c r="V912" i="8" s="1"/>
  <c r="A913" i="8"/>
  <c r="V913" i="8" s="1"/>
  <c r="A914" i="8"/>
  <c r="V914" i="8" s="1"/>
  <c r="A915" i="8"/>
  <c r="V915" i="8" s="1"/>
  <c r="A916" i="8"/>
  <c r="V916" i="8" s="1"/>
  <c r="A917" i="8"/>
  <c r="V917" i="8" s="1"/>
  <c r="A918" i="8"/>
  <c r="V918" i="8" s="1"/>
  <c r="A919" i="8"/>
  <c r="V919" i="8" s="1"/>
  <c r="A920" i="8"/>
  <c r="V920" i="8" s="1"/>
  <c r="A921" i="8"/>
  <c r="V921" i="8" s="1"/>
  <c r="A922" i="8"/>
  <c r="V922" i="8" s="1"/>
  <c r="A923" i="8"/>
  <c r="V923" i="8" s="1"/>
  <c r="A924" i="8"/>
  <c r="V924" i="8" s="1"/>
  <c r="A925" i="8"/>
  <c r="V925" i="8" s="1"/>
  <c r="A926" i="8"/>
  <c r="V926" i="8" s="1"/>
  <c r="A927" i="8"/>
  <c r="V927" i="8" s="1"/>
  <c r="A928" i="8"/>
  <c r="V928" i="8" s="1"/>
  <c r="A929" i="8"/>
  <c r="V929" i="8" s="1"/>
  <c r="A930" i="8"/>
  <c r="V930" i="8" s="1"/>
  <c r="A931" i="8"/>
  <c r="V931" i="8" s="1"/>
  <c r="A932" i="8"/>
  <c r="V932" i="8" s="1"/>
  <c r="A933" i="8"/>
  <c r="V933" i="8" s="1"/>
  <c r="A934" i="8"/>
  <c r="V934" i="8" s="1"/>
  <c r="A935" i="8"/>
  <c r="V935" i="8" s="1"/>
  <c r="A936" i="8"/>
  <c r="V936" i="8" s="1"/>
  <c r="A937" i="8"/>
  <c r="V937" i="8" s="1"/>
  <c r="A938" i="8"/>
  <c r="V938" i="8" s="1"/>
  <c r="A939" i="8"/>
  <c r="V939" i="8" s="1"/>
  <c r="A940" i="8"/>
  <c r="V940" i="8" s="1"/>
  <c r="A941" i="8"/>
  <c r="V941" i="8" s="1"/>
  <c r="A942" i="8"/>
  <c r="V942" i="8" s="1"/>
  <c r="A943" i="8"/>
  <c r="V943" i="8" s="1"/>
  <c r="A944" i="8"/>
  <c r="V944" i="8" s="1"/>
  <c r="A945" i="8"/>
  <c r="V945" i="8" s="1"/>
  <c r="A946" i="8"/>
  <c r="V946" i="8" s="1"/>
  <c r="A947" i="8"/>
  <c r="V947" i="8" s="1"/>
  <c r="A948" i="8"/>
  <c r="V948" i="8" s="1"/>
  <c r="A949" i="8"/>
  <c r="V949" i="8" s="1"/>
  <c r="A950" i="8"/>
  <c r="V950" i="8" s="1"/>
  <c r="A951" i="8"/>
  <c r="V951" i="8" s="1"/>
  <c r="A952" i="8"/>
  <c r="V952" i="8" s="1"/>
  <c r="A953" i="8"/>
  <c r="V953" i="8" s="1"/>
  <c r="A954" i="8"/>
  <c r="V954" i="8" s="1"/>
  <c r="A955" i="8"/>
  <c r="V955" i="8" s="1"/>
  <c r="A956" i="8"/>
  <c r="V956" i="8" s="1"/>
  <c r="A957" i="8"/>
  <c r="V957" i="8" s="1"/>
  <c r="A958" i="8"/>
  <c r="V958" i="8" s="1"/>
  <c r="A959" i="8"/>
  <c r="V959" i="8" s="1"/>
  <c r="A960" i="8"/>
  <c r="V960" i="8" s="1"/>
  <c r="A961" i="8"/>
  <c r="V961" i="8" s="1"/>
  <c r="A962" i="8"/>
  <c r="V962" i="8" s="1"/>
  <c r="A963" i="8"/>
  <c r="V963" i="8" s="1"/>
  <c r="A964" i="8"/>
  <c r="V964" i="8" s="1"/>
  <c r="A965" i="8"/>
  <c r="V965" i="8" s="1"/>
  <c r="A966" i="8"/>
  <c r="V966" i="8" s="1"/>
  <c r="A967" i="8"/>
  <c r="V967" i="8" s="1"/>
  <c r="A968" i="8"/>
  <c r="V968" i="8" s="1"/>
  <c r="A969" i="8"/>
  <c r="V969" i="8" s="1"/>
  <c r="A970" i="8"/>
  <c r="V970" i="8" s="1"/>
  <c r="A971" i="8"/>
  <c r="V971" i="8" s="1"/>
  <c r="A972" i="8"/>
  <c r="V972" i="8" s="1"/>
  <c r="A973" i="8"/>
  <c r="V973" i="8" s="1"/>
  <c r="A974" i="8"/>
  <c r="V974" i="8" s="1"/>
  <c r="A975" i="8"/>
  <c r="V975" i="8" s="1"/>
  <c r="A976" i="8"/>
  <c r="V976" i="8" s="1"/>
  <c r="A977" i="8"/>
  <c r="V977" i="8" s="1"/>
  <c r="A978" i="8"/>
  <c r="V978" i="8" s="1"/>
  <c r="A979" i="8"/>
  <c r="V979" i="8" s="1"/>
  <c r="A980" i="8"/>
  <c r="V980" i="8" s="1"/>
  <c r="A981" i="8"/>
  <c r="V981" i="8" s="1"/>
  <c r="A982" i="8"/>
  <c r="V982" i="8" s="1"/>
  <c r="A983" i="8"/>
  <c r="V983" i="8" s="1"/>
  <c r="A984" i="8"/>
  <c r="V984" i="8" s="1"/>
  <c r="A985" i="8"/>
  <c r="V985" i="8" s="1"/>
  <c r="A986" i="8"/>
  <c r="V986" i="8" s="1"/>
  <c r="A987" i="8"/>
  <c r="V987" i="8" s="1"/>
  <c r="A988" i="8"/>
  <c r="V988" i="8" s="1"/>
  <c r="A989" i="8"/>
  <c r="V989" i="8" s="1"/>
  <c r="A990" i="8"/>
  <c r="V990" i="8" s="1"/>
  <c r="A991" i="8"/>
  <c r="V991" i="8" s="1"/>
  <c r="A992" i="8"/>
  <c r="V992" i="8" s="1"/>
  <c r="A993" i="8"/>
  <c r="V993" i="8" s="1"/>
  <c r="A994" i="8"/>
  <c r="V994" i="8" s="1"/>
  <c r="A995" i="8"/>
  <c r="V995" i="8" s="1"/>
  <c r="A996" i="8"/>
  <c r="V996" i="8" s="1"/>
  <c r="A997" i="8"/>
  <c r="V997" i="8" s="1"/>
  <c r="A998" i="8"/>
  <c r="V998" i="8" s="1"/>
  <c r="A999" i="8"/>
  <c r="V999" i="8" s="1"/>
  <c r="A1000" i="8"/>
  <c r="V1000" i="8" s="1"/>
  <c r="A1001" i="8"/>
  <c r="V1001" i="8" s="1"/>
  <c r="A1002" i="8"/>
  <c r="V1002" i="8" s="1"/>
  <c r="A1003" i="8"/>
  <c r="V1003" i="8" s="1"/>
  <c r="A1004" i="8"/>
  <c r="V1004" i="8" s="1"/>
  <c r="A1005" i="8"/>
  <c r="V1005" i="8" s="1"/>
  <c r="A1006" i="8"/>
  <c r="V1006" i="8" s="1"/>
  <c r="A1007" i="8"/>
  <c r="V1007" i="8" s="1"/>
  <c r="A1008" i="8"/>
  <c r="V1008" i="8" s="1"/>
  <c r="A1009" i="8"/>
  <c r="V1009" i="8" s="1"/>
  <c r="A1010" i="8"/>
  <c r="V1010" i="8" s="1"/>
  <c r="A1011" i="8"/>
  <c r="V1011" i="8" s="1"/>
  <c r="A1012" i="8"/>
  <c r="V1012" i="8" s="1"/>
  <c r="A1013" i="8"/>
  <c r="V1013" i="8" s="1"/>
  <c r="A1014" i="8"/>
  <c r="V1014" i="8" s="1"/>
  <c r="A1015" i="8"/>
  <c r="V1015" i="8" s="1"/>
  <c r="A1016" i="8"/>
  <c r="V1016" i="8" s="1"/>
  <c r="A1017" i="8"/>
  <c r="V1017" i="8" s="1"/>
  <c r="A1018" i="8"/>
  <c r="V1018" i="8" s="1"/>
  <c r="A1019" i="8"/>
  <c r="V1019" i="8" s="1"/>
  <c r="A1020" i="8"/>
  <c r="V1020" i="8" s="1"/>
  <c r="A1021" i="8"/>
  <c r="V1021" i="8" s="1"/>
  <c r="A1022" i="8"/>
  <c r="V1022" i="8" s="1"/>
  <c r="A1023" i="8"/>
  <c r="V1023" i="8" s="1"/>
  <c r="A1024" i="8"/>
  <c r="V1024" i="8" s="1"/>
  <c r="A1025" i="8"/>
  <c r="V1025" i="8" s="1"/>
  <c r="A1026" i="8"/>
  <c r="V1026" i="8" s="1"/>
  <c r="A1027" i="8"/>
  <c r="V1027" i="8" s="1"/>
  <c r="A1028" i="8"/>
  <c r="V1028" i="8" s="1"/>
  <c r="A1029" i="8"/>
  <c r="V1029" i="8" s="1"/>
  <c r="A1030" i="8"/>
  <c r="V1030" i="8" s="1"/>
  <c r="A1031" i="8"/>
  <c r="V1031" i="8" s="1"/>
  <c r="A1032" i="8"/>
  <c r="V1032" i="8" s="1"/>
  <c r="A1033" i="8"/>
  <c r="V1033" i="8" s="1"/>
  <c r="A1034" i="8"/>
  <c r="V1034" i="8" s="1"/>
  <c r="A1035" i="8"/>
  <c r="V1035" i="8" s="1"/>
  <c r="A1036" i="8"/>
  <c r="V1036" i="8" s="1"/>
  <c r="A1037" i="8"/>
  <c r="V1037" i="8" s="1"/>
  <c r="A1038" i="8"/>
  <c r="V1038" i="8" s="1"/>
  <c r="A1039" i="8"/>
  <c r="V1039" i="8" s="1"/>
  <c r="A1040" i="8"/>
  <c r="V1040" i="8" s="1"/>
  <c r="A1041" i="8"/>
  <c r="V1041" i="8" s="1"/>
  <c r="A1042" i="8"/>
  <c r="V1042" i="8" s="1"/>
  <c r="A1043" i="8"/>
  <c r="V1043" i="8" s="1"/>
  <c r="A1044" i="8"/>
  <c r="V1044" i="8" s="1"/>
  <c r="A1045" i="8"/>
  <c r="V1045" i="8" s="1"/>
  <c r="A1046" i="8"/>
  <c r="V1046" i="8" s="1"/>
  <c r="A1047" i="8"/>
  <c r="V1047" i="8" s="1"/>
  <c r="A1048" i="8"/>
  <c r="V1048" i="8" s="1"/>
  <c r="A1049" i="8"/>
  <c r="V1049" i="8" s="1"/>
  <c r="A1050" i="8"/>
  <c r="V1050" i="8" s="1"/>
  <c r="A1051" i="8"/>
  <c r="V1051" i="8" s="1"/>
  <c r="A1052" i="8"/>
  <c r="V1052" i="8" s="1"/>
  <c r="A1053" i="8"/>
  <c r="V1053" i="8" s="1"/>
  <c r="A1054" i="8"/>
  <c r="V1054" i="8" s="1"/>
  <c r="A1055" i="8"/>
  <c r="V1055" i="8" s="1"/>
  <c r="A1056" i="8"/>
  <c r="V1056" i="8" s="1"/>
  <c r="A1057" i="8"/>
  <c r="V1057" i="8" s="1"/>
  <c r="A1058" i="8"/>
  <c r="V1058" i="8" s="1"/>
  <c r="A1059" i="8"/>
  <c r="V1059" i="8" s="1"/>
  <c r="A1060" i="8"/>
  <c r="V1060" i="8" s="1"/>
  <c r="A1061" i="8"/>
  <c r="V1061" i="8" s="1"/>
  <c r="A1062" i="8"/>
  <c r="V1062" i="8" s="1"/>
  <c r="A1063" i="8"/>
  <c r="V1063" i="8" s="1"/>
  <c r="A1064" i="8"/>
  <c r="V1064" i="8" s="1"/>
  <c r="A1065" i="8"/>
  <c r="V1065" i="8" s="1"/>
  <c r="A1066" i="8"/>
  <c r="V1066" i="8" s="1"/>
  <c r="A1067" i="8"/>
  <c r="V1067" i="8" s="1"/>
  <c r="A1068" i="8"/>
  <c r="V1068" i="8" s="1"/>
  <c r="A1069" i="8"/>
  <c r="V1069" i="8" s="1"/>
  <c r="A1070" i="8"/>
  <c r="V1070" i="8" s="1"/>
  <c r="A1071" i="8"/>
  <c r="V1071" i="8" s="1"/>
  <c r="A1072" i="8"/>
  <c r="V1072" i="8" s="1"/>
  <c r="A1073" i="8"/>
  <c r="V1073" i="8" s="1"/>
  <c r="A1074" i="8"/>
  <c r="V1074" i="8" s="1"/>
  <c r="A1075" i="8"/>
  <c r="V1075" i="8" s="1"/>
  <c r="A1076" i="8"/>
  <c r="V1076" i="8" s="1"/>
  <c r="A1077" i="8"/>
  <c r="V1077" i="8" s="1"/>
  <c r="A1078" i="8"/>
  <c r="V1078" i="8" s="1"/>
  <c r="A1079" i="8"/>
  <c r="V1079" i="8" s="1"/>
  <c r="A1080" i="8"/>
  <c r="V1080" i="8" s="1"/>
  <c r="A1081" i="8"/>
  <c r="V1081" i="8" s="1"/>
  <c r="A1082" i="8"/>
  <c r="V1082" i="8" s="1"/>
  <c r="A1083" i="8"/>
  <c r="V1083" i="8" s="1"/>
  <c r="A1084" i="8"/>
  <c r="V1084" i="8" s="1"/>
  <c r="A1085" i="8"/>
  <c r="V1085" i="8" s="1"/>
  <c r="A1086" i="8"/>
  <c r="V1086" i="8" s="1"/>
  <c r="A1087" i="8"/>
  <c r="V1087" i="8" s="1"/>
  <c r="A1088" i="8"/>
  <c r="V1088" i="8" s="1"/>
  <c r="A1089" i="8"/>
  <c r="V1089" i="8" s="1"/>
  <c r="A1090" i="8"/>
  <c r="V1090" i="8" s="1"/>
  <c r="A1091" i="8"/>
  <c r="V1091" i="8" s="1"/>
  <c r="A1092" i="8"/>
  <c r="V1092" i="8" s="1"/>
  <c r="A1093" i="8"/>
  <c r="V1093" i="8" s="1"/>
  <c r="A1094" i="8"/>
  <c r="V1094" i="8" s="1"/>
  <c r="A1095" i="8"/>
  <c r="V1095" i="8" s="1"/>
  <c r="A1096" i="8"/>
  <c r="V1096" i="8" s="1"/>
  <c r="A1097" i="8"/>
  <c r="V1097" i="8" s="1"/>
  <c r="A1098" i="8"/>
  <c r="V1098" i="8" s="1"/>
  <c r="A1099" i="8"/>
  <c r="V1099" i="8" s="1"/>
  <c r="A1100" i="8"/>
  <c r="V1100" i="8" s="1"/>
  <c r="A1101" i="8"/>
  <c r="V1101" i="8" s="1"/>
  <c r="A1102" i="8"/>
  <c r="V1102" i="8" s="1"/>
  <c r="A1103" i="8"/>
  <c r="V1103" i="8" s="1"/>
  <c r="A1104" i="8"/>
  <c r="V1104" i="8" s="1"/>
  <c r="A1105" i="8"/>
  <c r="V1105" i="8" s="1"/>
  <c r="A1106" i="8"/>
  <c r="V1106" i="8" s="1"/>
  <c r="A1107" i="8"/>
  <c r="V1107" i="8" s="1"/>
  <c r="A1108" i="8"/>
  <c r="V1108" i="8" s="1"/>
  <c r="A1109" i="8"/>
  <c r="V1109" i="8" s="1"/>
  <c r="A1110" i="8"/>
  <c r="V1110" i="8" s="1"/>
  <c r="A1111" i="8"/>
  <c r="V1111" i="8" s="1"/>
  <c r="A1112" i="8"/>
  <c r="V1112" i="8" s="1"/>
  <c r="A1113" i="8"/>
  <c r="V1113" i="8" s="1"/>
  <c r="A1114" i="8"/>
  <c r="V1114" i="8" s="1"/>
  <c r="A1115" i="8"/>
  <c r="V1115" i="8" s="1"/>
  <c r="A1116" i="8"/>
  <c r="V1116" i="8" s="1"/>
  <c r="A1117" i="8"/>
  <c r="V1117" i="8" s="1"/>
  <c r="A1118" i="8"/>
  <c r="V1118" i="8" s="1"/>
  <c r="A1119" i="8"/>
  <c r="V1119" i="8" s="1"/>
  <c r="A1120" i="8"/>
  <c r="V1120" i="8" s="1"/>
  <c r="A1121" i="8"/>
  <c r="V1121" i="8" s="1"/>
  <c r="A1122" i="8"/>
  <c r="V1122" i="8" s="1"/>
  <c r="A1123" i="8"/>
  <c r="V1123" i="8" s="1"/>
  <c r="A1124" i="8"/>
  <c r="V1124" i="8" s="1"/>
  <c r="A1125" i="8"/>
  <c r="V1125" i="8" s="1"/>
  <c r="A1126" i="8"/>
  <c r="V1126" i="8" s="1"/>
  <c r="A1127" i="8"/>
  <c r="V1127" i="8" s="1"/>
  <c r="A1128" i="8"/>
  <c r="V1128" i="8" s="1"/>
  <c r="A1129" i="8"/>
  <c r="V1129" i="8" s="1"/>
  <c r="A1130" i="8"/>
  <c r="V1130" i="8" s="1"/>
  <c r="A1131" i="8"/>
  <c r="V1131" i="8" s="1"/>
  <c r="A1132" i="8"/>
  <c r="V1132" i="8" s="1"/>
  <c r="A1133" i="8"/>
  <c r="V1133" i="8" s="1"/>
  <c r="A1134" i="8"/>
  <c r="V1134" i="8" s="1"/>
  <c r="A1135" i="8"/>
  <c r="V1135" i="8" s="1"/>
  <c r="A1136" i="8"/>
  <c r="V1136" i="8" s="1"/>
  <c r="A1137" i="8"/>
  <c r="V1137" i="8" s="1"/>
  <c r="A1138" i="8"/>
  <c r="V1138" i="8" s="1"/>
  <c r="A1139" i="8"/>
  <c r="V1139" i="8" s="1"/>
  <c r="A1140" i="8"/>
  <c r="V1140" i="8" s="1"/>
  <c r="A1141" i="8"/>
  <c r="V1141" i="8" s="1"/>
  <c r="A1142" i="8"/>
  <c r="V1142" i="8" s="1"/>
  <c r="A1143" i="8"/>
  <c r="V1143" i="8" s="1"/>
  <c r="A1144" i="8"/>
  <c r="V1144" i="8" s="1"/>
  <c r="A1145" i="8"/>
  <c r="V1145" i="8" s="1"/>
  <c r="A1146" i="8"/>
  <c r="V1146" i="8" s="1"/>
  <c r="A1147" i="8"/>
  <c r="V1147" i="8" s="1"/>
  <c r="A1148" i="8"/>
  <c r="V1148" i="8" s="1"/>
  <c r="A1149" i="8"/>
  <c r="V1149" i="8" s="1"/>
  <c r="A1150" i="8"/>
  <c r="V1150" i="8" s="1"/>
  <c r="A1151" i="8"/>
  <c r="V1151" i="8" s="1"/>
  <c r="A1152" i="8"/>
  <c r="V1152" i="8" s="1"/>
  <c r="A1153" i="8"/>
  <c r="V1153" i="8" s="1"/>
  <c r="A1154" i="8"/>
  <c r="V1154" i="8" s="1"/>
  <c r="A1155" i="8"/>
  <c r="V1155" i="8" s="1"/>
  <c r="A1156" i="8"/>
  <c r="V1156" i="8" s="1"/>
  <c r="A1157" i="8"/>
  <c r="V1157" i="8" s="1"/>
  <c r="A1158" i="8"/>
  <c r="V1158" i="8" s="1"/>
  <c r="A1159" i="8"/>
  <c r="V1159" i="8" s="1"/>
  <c r="A1160" i="8"/>
  <c r="V1160" i="8" s="1"/>
  <c r="A1161" i="8"/>
  <c r="V1161" i="8" s="1"/>
  <c r="A1162" i="8"/>
  <c r="V1162" i="8" s="1"/>
  <c r="A1163" i="8"/>
  <c r="V1163" i="8" s="1"/>
  <c r="A1164" i="8"/>
  <c r="V1164" i="8" s="1"/>
  <c r="A1165" i="8"/>
  <c r="V1165" i="8" s="1"/>
  <c r="A1166" i="8"/>
  <c r="V1166" i="8" s="1"/>
  <c r="A1167" i="8"/>
  <c r="V1167" i="8" s="1"/>
  <c r="A1168" i="8"/>
  <c r="V1168" i="8" s="1"/>
  <c r="A1169" i="8"/>
  <c r="V1169" i="8" s="1"/>
  <c r="A1170" i="8"/>
  <c r="V1170" i="8" s="1"/>
  <c r="A1171" i="8"/>
  <c r="V1171" i="8" s="1"/>
  <c r="A1172" i="8"/>
  <c r="V1172" i="8" s="1"/>
  <c r="A1173" i="8"/>
  <c r="V1173" i="8" s="1"/>
  <c r="A1174" i="8"/>
  <c r="V1174" i="8" s="1"/>
  <c r="A1175" i="8"/>
  <c r="V1175" i="8" s="1"/>
  <c r="A1176" i="8"/>
  <c r="V1176" i="8" s="1"/>
  <c r="A1177" i="8"/>
  <c r="V1177" i="8" s="1"/>
  <c r="A1178" i="8"/>
  <c r="V1178" i="8" s="1"/>
  <c r="A1179" i="8"/>
  <c r="V1179" i="8" s="1"/>
  <c r="A1180" i="8"/>
  <c r="V1180" i="8" s="1"/>
  <c r="A1181" i="8"/>
  <c r="V1181" i="8" s="1"/>
  <c r="A1182" i="8"/>
  <c r="V1182" i="8" s="1"/>
  <c r="A1183" i="8"/>
  <c r="V1183" i="8" s="1"/>
  <c r="A1184" i="8"/>
  <c r="V1184" i="8" s="1"/>
  <c r="A1185" i="8"/>
  <c r="V1185" i="8" s="1"/>
  <c r="A1186" i="8"/>
  <c r="V1186" i="8" s="1"/>
  <c r="A1187" i="8"/>
  <c r="V1187" i="8" s="1"/>
  <c r="A1188" i="8"/>
  <c r="V1188" i="8" s="1"/>
  <c r="A1189" i="8"/>
  <c r="V1189" i="8" s="1"/>
  <c r="A1190" i="8"/>
  <c r="V1190" i="8" s="1"/>
  <c r="A1191" i="8"/>
  <c r="V1191" i="8" s="1"/>
  <c r="A1192" i="8"/>
  <c r="V1192" i="8" s="1"/>
  <c r="A1193" i="8"/>
  <c r="V1193" i="8" s="1"/>
  <c r="A1194" i="8"/>
  <c r="V1194" i="8" s="1"/>
  <c r="A1195" i="8"/>
  <c r="V1195" i="8" s="1"/>
  <c r="A1196" i="8"/>
  <c r="V1196" i="8" s="1"/>
  <c r="A1197" i="8"/>
  <c r="V1197" i="8" s="1"/>
  <c r="A1198" i="8"/>
  <c r="V1198" i="8" s="1"/>
  <c r="A1199" i="8"/>
  <c r="V1199" i="8" s="1"/>
  <c r="A1200" i="8"/>
  <c r="V1200" i="8" s="1"/>
  <c r="A1201" i="8"/>
  <c r="V1201" i="8" s="1"/>
  <c r="A1202" i="8"/>
  <c r="V1202" i="8" s="1"/>
  <c r="A1203" i="8"/>
  <c r="V1203" i="8" s="1"/>
  <c r="A1204" i="8"/>
  <c r="V1204" i="8" s="1"/>
  <c r="A1205" i="8"/>
  <c r="V1205" i="8" s="1"/>
  <c r="A1206" i="8"/>
  <c r="V1206" i="8" s="1"/>
  <c r="A1207" i="8"/>
  <c r="V1207" i="8" s="1"/>
  <c r="A1208" i="8"/>
  <c r="V1208" i="8" s="1"/>
  <c r="A1209" i="8"/>
  <c r="V1209" i="8" s="1"/>
  <c r="A1210" i="8"/>
  <c r="V1210" i="8" s="1"/>
  <c r="A1211" i="8"/>
  <c r="V1211" i="8" s="1"/>
  <c r="A1212" i="8"/>
  <c r="V1212" i="8" s="1"/>
  <c r="A1213" i="8"/>
  <c r="V1213" i="8" s="1"/>
  <c r="A1214" i="8"/>
  <c r="V1214" i="8" s="1"/>
  <c r="A1215" i="8"/>
  <c r="V1215" i="8" s="1"/>
  <c r="A1216" i="8"/>
  <c r="V1216" i="8" s="1"/>
  <c r="A1217" i="8"/>
  <c r="V1217" i="8" s="1"/>
  <c r="A1218" i="8"/>
  <c r="V1218" i="8" s="1"/>
  <c r="A1219" i="8"/>
  <c r="V1219" i="8" s="1"/>
  <c r="A1220" i="8"/>
  <c r="V1220" i="8" s="1"/>
  <c r="A1221" i="8"/>
  <c r="V1221" i="8" s="1"/>
  <c r="A1222" i="8"/>
  <c r="V1222" i="8" s="1"/>
  <c r="A1223" i="8"/>
  <c r="V1223" i="8" s="1"/>
  <c r="A1224" i="8"/>
  <c r="V1224" i="8" s="1"/>
  <c r="A1225" i="8"/>
  <c r="V1225" i="8" s="1"/>
  <c r="A1226" i="8"/>
  <c r="V1226" i="8" s="1"/>
  <c r="A1227" i="8"/>
  <c r="V1227" i="8" s="1"/>
  <c r="A1228" i="8"/>
  <c r="V1228" i="8" s="1"/>
  <c r="A1229" i="8"/>
  <c r="V1229" i="8" s="1"/>
  <c r="A1230" i="8"/>
  <c r="V1230" i="8" s="1"/>
  <c r="A1231" i="8"/>
  <c r="V1231" i="8" s="1"/>
  <c r="A1232" i="8"/>
  <c r="V1232" i="8" s="1"/>
  <c r="A1233" i="8"/>
  <c r="V1233" i="8" s="1"/>
  <c r="A1234" i="8"/>
  <c r="V1234" i="8" s="1"/>
  <c r="A1235" i="8"/>
  <c r="V1235" i="8" s="1"/>
  <c r="A1236" i="8"/>
  <c r="V1236" i="8" s="1"/>
  <c r="A1237" i="8"/>
  <c r="V1237" i="8" s="1"/>
  <c r="A1238" i="8"/>
  <c r="V1238" i="8" s="1"/>
  <c r="A1239" i="8"/>
  <c r="V1239" i="8" s="1"/>
  <c r="A1240" i="8"/>
  <c r="V1240" i="8" s="1"/>
  <c r="A1241" i="8"/>
  <c r="V1241" i="8" s="1"/>
  <c r="A1242" i="8"/>
  <c r="V1242" i="8" s="1"/>
  <c r="A1243" i="8"/>
  <c r="V1243" i="8" s="1"/>
  <c r="A1244" i="8"/>
  <c r="V1244" i="8" s="1"/>
  <c r="A1245" i="8"/>
  <c r="V1245" i="8" s="1"/>
  <c r="A1246" i="8"/>
  <c r="V1246" i="8" s="1"/>
  <c r="A1247" i="8"/>
  <c r="V1247" i="8" s="1"/>
  <c r="A1248" i="8"/>
  <c r="V1248" i="8" s="1"/>
  <c r="A1249" i="8"/>
  <c r="V1249" i="8" s="1"/>
  <c r="A1250" i="8"/>
  <c r="V1250" i="8" s="1"/>
  <c r="A1251" i="8"/>
  <c r="V1251" i="8" s="1"/>
  <c r="A1252" i="8"/>
  <c r="V1252" i="8" s="1"/>
  <c r="A1253" i="8"/>
  <c r="V1253" i="8" s="1"/>
  <c r="A1254" i="8"/>
  <c r="V1254" i="8" s="1"/>
  <c r="A1255" i="8"/>
  <c r="V1255" i="8" s="1"/>
  <c r="A1256" i="8"/>
  <c r="V1256" i="8" s="1"/>
  <c r="A1257" i="8"/>
  <c r="V1257" i="8" s="1"/>
  <c r="A1258" i="8"/>
  <c r="V1258" i="8" s="1"/>
  <c r="A1259" i="8"/>
  <c r="V1259" i="8" s="1"/>
  <c r="A1260" i="8"/>
  <c r="V1260" i="8" s="1"/>
  <c r="A1261" i="8"/>
  <c r="V1261" i="8" s="1"/>
  <c r="A1262" i="8"/>
  <c r="V1262" i="8" s="1"/>
  <c r="A1263" i="8"/>
  <c r="V1263" i="8" s="1"/>
  <c r="A1264" i="8"/>
  <c r="V1264" i="8" s="1"/>
  <c r="A1265" i="8"/>
  <c r="V1265" i="8" s="1"/>
  <c r="A1266" i="8"/>
  <c r="V1266" i="8" s="1"/>
  <c r="A1267" i="8"/>
  <c r="V1267" i="8" s="1"/>
  <c r="A1268" i="8"/>
  <c r="V1268" i="8" s="1"/>
  <c r="A1269" i="8"/>
  <c r="V1269" i="8" s="1"/>
  <c r="A1270" i="8"/>
  <c r="V1270" i="8" s="1"/>
  <c r="A1271" i="8"/>
  <c r="V1271" i="8" s="1"/>
  <c r="A1272" i="8"/>
  <c r="V1272" i="8" s="1"/>
  <c r="A1273" i="8"/>
  <c r="V1273" i="8" s="1"/>
  <c r="A1274" i="8"/>
  <c r="V1274" i="8" s="1"/>
  <c r="A1275" i="8"/>
  <c r="V1275" i="8" s="1"/>
  <c r="A1276" i="8"/>
  <c r="V1276" i="8" s="1"/>
  <c r="A1277" i="8"/>
  <c r="V1277" i="8" s="1"/>
  <c r="A1278" i="8"/>
  <c r="V1278" i="8" s="1"/>
  <c r="A1279" i="8"/>
  <c r="V1279" i="8" s="1"/>
  <c r="A1280" i="8"/>
  <c r="V1280" i="8" s="1"/>
  <c r="A1281" i="8"/>
  <c r="V1281" i="8" s="1"/>
  <c r="A1282" i="8"/>
  <c r="V1282" i="8" s="1"/>
  <c r="A1283" i="8"/>
  <c r="V1283" i="8" s="1"/>
  <c r="A1284" i="8"/>
  <c r="V1284" i="8" s="1"/>
  <c r="A1285" i="8"/>
  <c r="V1285" i="8" s="1"/>
  <c r="A1286" i="8"/>
  <c r="V1286" i="8" s="1"/>
  <c r="A1287" i="8"/>
  <c r="V1287" i="8" s="1"/>
  <c r="A1288" i="8"/>
  <c r="V1288" i="8" s="1"/>
  <c r="A1289" i="8"/>
  <c r="V1289" i="8" s="1"/>
  <c r="A1290" i="8"/>
  <c r="V1290" i="8" s="1"/>
  <c r="A1291" i="8"/>
  <c r="V1291" i="8" s="1"/>
  <c r="A1292" i="8"/>
  <c r="V1292" i="8" s="1"/>
  <c r="A1293" i="8"/>
  <c r="V1293" i="8" s="1"/>
  <c r="A1294" i="8"/>
  <c r="V1294" i="8" s="1"/>
  <c r="A1295" i="8"/>
  <c r="V1295" i="8" s="1"/>
  <c r="A1296" i="8"/>
  <c r="V1296" i="8" s="1"/>
  <c r="A1297" i="8"/>
  <c r="V1297" i="8" s="1"/>
  <c r="A1298" i="8"/>
  <c r="V1298" i="8" s="1"/>
  <c r="A1299" i="8"/>
  <c r="V1299" i="8" s="1"/>
  <c r="A1300" i="8"/>
  <c r="V1300" i="8" s="1"/>
  <c r="A1301" i="8"/>
  <c r="V1301" i="8" s="1"/>
  <c r="A1302" i="8"/>
  <c r="V1302" i="8" s="1"/>
  <c r="A1303" i="8"/>
  <c r="V1303" i="8" s="1"/>
  <c r="A1304" i="8"/>
  <c r="V1304" i="8" s="1"/>
  <c r="A1305" i="8"/>
  <c r="V1305" i="8" s="1"/>
  <c r="A1306" i="8"/>
  <c r="V1306" i="8" s="1"/>
  <c r="A1307" i="8"/>
  <c r="V1307" i="8" s="1"/>
  <c r="A1308" i="8"/>
  <c r="V1308" i="8" s="1"/>
  <c r="A1309" i="8"/>
  <c r="V1309" i="8" s="1"/>
  <c r="A1310" i="8"/>
  <c r="V1310" i="8" s="1"/>
  <c r="A1311" i="8"/>
  <c r="V1311" i="8" s="1"/>
  <c r="A1312" i="8"/>
  <c r="V1312" i="8" s="1"/>
  <c r="A1313" i="8"/>
  <c r="V1313" i="8" s="1"/>
  <c r="A1314" i="8"/>
  <c r="V1314" i="8" s="1"/>
  <c r="A1315" i="8"/>
  <c r="V1315" i="8" s="1"/>
  <c r="A1316" i="8"/>
  <c r="V1316" i="8" s="1"/>
  <c r="A1317" i="8"/>
  <c r="V1317" i="8" s="1"/>
  <c r="A1318" i="8"/>
  <c r="V1318" i="8" s="1"/>
  <c r="A1319" i="8"/>
  <c r="V1319" i="8" s="1"/>
  <c r="A1320" i="8"/>
  <c r="V1320" i="8" s="1"/>
  <c r="A1321" i="8"/>
  <c r="V1321" i="8" s="1"/>
  <c r="A1322" i="8"/>
  <c r="V1322" i="8" s="1"/>
  <c r="A1323" i="8"/>
  <c r="V1323" i="8" s="1"/>
  <c r="A1324" i="8"/>
  <c r="V1324" i="8" s="1"/>
  <c r="A1325" i="8"/>
  <c r="V1325" i="8" s="1"/>
  <c r="A1326" i="8"/>
  <c r="V1326" i="8" s="1"/>
  <c r="A1327" i="8"/>
  <c r="V1327" i="8" s="1"/>
  <c r="A1328" i="8"/>
  <c r="V1328" i="8" s="1"/>
  <c r="A1329" i="8"/>
  <c r="V1329" i="8" s="1"/>
  <c r="A1330" i="8"/>
  <c r="V1330" i="8" s="1"/>
  <c r="A1331" i="8"/>
  <c r="V1331" i="8" s="1"/>
  <c r="A1332" i="8"/>
  <c r="V1332" i="8" s="1"/>
  <c r="A1333" i="8"/>
  <c r="V1333" i="8" s="1"/>
  <c r="A1334" i="8"/>
  <c r="V1334" i="8" s="1"/>
  <c r="A1335" i="8"/>
  <c r="V1335" i="8" s="1"/>
  <c r="A1336" i="8"/>
  <c r="V1336" i="8" s="1"/>
  <c r="A1337" i="8"/>
  <c r="V1337" i="8" s="1"/>
  <c r="A1338" i="8"/>
  <c r="V1338" i="8" s="1"/>
  <c r="A1339" i="8"/>
  <c r="V1339" i="8" s="1"/>
  <c r="A1340" i="8"/>
  <c r="V1340" i="8" s="1"/>
  <c r="A1341" i="8"/>
  <c r="V1341" i="8" s="1"/>
  <c r="A1342" i="8"/>
  <c r="V1342" i="8" s="1"/>
  <c r="A1343" i="8"/>
  <c r="V1343" i="8" s="1"/>
  <c r="A1344" i="8"/>
  <c r="V1344" i="8" s="1"/>
  <c r="A1345" i="8"/>
  <c r="V1345" i="8" s="1"/>
  <c r="A1346" i="8"/>
  <c r="V1346" i="8" s="1"/>
  <c r="A1347" i="8"/>
  <c r="V1347" i="8" s="1"/>
  <c r="A1348" i="8"/>
  <c r="V1348" i="8" s="1"/>
  <c r="A1349" i="8"/>
  <c r="V1349" i="8" s="1"/>
  <c r="A1350" i="8"/>
  <c r="V1350" i="8" s="1"/>
  <c r="A1351" i="8"/>
  <c r="V1351" i="8" s="1"/>
  <c r="A1352" i="8"/>
  <c r="V1352" i="8" s="1"/>
  <c r="A1353" i="8"/>
  <c r="V1353" i="8" s="1"/>
  <c r="A1354" i="8"/>
  <c r="V1354" i="8" s="1"/>
  <c r="A1355" i="8"/>
  <c r="V1355" i="8" s="1"/>
  <c r="A1356" i="8"/>
  <c r="V1356" i="8" s="1"/>
  <c r="A1357" i="8"/>
  <c r="V1357" i="8" s="1"/>
  <c r="A1358" i="8"/>
  <c r="V1358" i="8" s="1"/>
  <c r="A1359" i="8"/>
  <c r="V1359" i="8" s="1"/>
  <c r="A1360" i="8"/>
  <c r="V1360" i="8" s="1"/>
  <c r="A1361" i="8"/>
  <c r="V1361" i="8" s="1"/>
  <c r="A1362" i="8"/>
  <c r="V1362" i="8" s="1"/>
  <c r="A1363" i="8"/>
  <c r="V1363" i="8" s="1"/>
  <c r="A1364" i="8"/>
  <c r="V1364" i="8" s="1"/>
  <c r="A1365" i="8"/>
  <c r="V1365" i="8" s="1"/>
  <c r="A1366" i="8"/>
  <c r="V1366" i="8" s="1"/>
  <c r="A1367" i="8"/>
  <c r="V1367" i="8" s="1"/>
  <c r="A1368" i="8"/>
  <c r="V1368" i="8" s="1"/>
  <c r="A1369" i="8"/>
  <c r="V1369" i="8" s="1"/>
  <c r="A1370" i="8"/>
  <c r="V1370" i="8" s="1"/>
  <c r="A1371" i="8"/>
  <c r="V1371" i="8" s="1"/>
  <c r="A1372" i="8"/>
  <c r="V1372" i="8" s="1"/>
  <c r="A1373" i="8"/>
  <c r="V1373" i="8" s="1"/>
  <c r="A1374" i="8"/>
  <c r="V1374" i="8" s="1"/>
  <c r="A1375" i="8"/>
  <c r="V1375" i="8" s="1"/>
  <c r="A1376" i="8"/>
  <c r="V1376" i="8" s="1"/>
  <c r="A1377" i="8"/>
  <c r="V1377" i="8" s="1"/>
  <c r="A1378" i="8"/>
  <c r="V1378" i="8" s="1"/>
  <c r="A1379" i="8"/>
  <c r="V1379" i="8" s="1"/>
  <c r="A1380" i="8"/>
  <c r="V1380" i="8" s="1"/>
  <c r="A1381" i="8"/>
  <c r="V1381" i="8" s="1"/>
  <c r="A1382" i="8"/>
  <c r="V1382" i="8" s="1"/>
  <c r="A1383" i="8"/>
  <c r="V1383" i="8" s="1"/>
  <c r="A1384" i="8"/>
  <c r="V1384" i="8" s="1"/>
  <c r="A1385" i="8"/>
  <c r="V1385" i="8" s="1"/>
  <c r="A1386" i="8"/>
  <c r="V1386" i="8" s="1"/>
  <c r="A1387" i="8"/>
  <c r="V1387" i="8" s="1"/>
  <c r="A1388" i="8"/>
  <c r="V1388" i="8" s="1"/>
  <c r="A1389" i="8"/>
  <c r="V1389" i="8" s="1"/>
  <c r="A1390" i="8"/>
  <c r="V1390" i="8" s="1"/>
  <c r="A1391" i="8"/>
  <c r="V1391" i="8" s="1"/>
  <c r="A1392" i="8"/>
  <c r="V1392" i="8" s="1"/>
  <c r="A1393" i="8"/>
  <c r="V1393" i="8" s="1"/>
  <c r="A1394" i="8"/>
  <c r="V1394" i="8" s="1"/>
  <c r="A1395" i="8"/>
  <c r="V1395" i="8" s="1"/>
  <c r="A1396" i="8"/>
  <c r="V1396" i="8" s="1"/>
  <c r="A1397" i="8"/>
  <c r="V1397" i="8" s="1"/>
  <c r="A1398" i="8"/>
  <c r="V1398" i="8" s="1"/>
  <c r="A1399" i="8"/>
  <c r="V1399" i="8" s="1"/>
  <c r="A1400" i="8"/>
  <c r="V1400" i="8" s="1"/>
  <c r="A1401" i="8"/>
  <c r="V1401" i="8" s="1"/>
  <c r="A1402" i="8"/>
  <c r="V1402" i="8" s="1"/>
  <c r="A1403" i="8"/>
  <c r="V1403" i="8" s="1"/>
  <c r="A1404" i="8"/>
  <c r="V1404" i="8" s="1"/>
  <c r="A1405" i="8"/>
  <c r="V1405" i="8" s="1"/>
  <c r="A1406" i="8"/>
  <c r="V1406" i="8" s="1"/>
  <c r="A1407" i="8"/>
  <c r="V1407" i="8" s="1"/>
  <c r="A1408" i="8"/>
  <c r="V1408" i="8" s="1"/>
  <c r="A1409" i="8"/>
  <c r="V1409" i="8" s="1"/>
  <c r="A1410" i="8"/>
  <c r="V1410" i="8" s="1"/>
  <c r="A1411" i="8"/>
  <c r="V1411" i="8" s="1"/>
  <c r="A1412" i="8"/>
  <c r="V1412" i="8" s="1"/>
  <c r="A1413" i="8"/>
  <c r="V1413" i="8" s="1"/>
  <c r="A1414" i="8"/>
  <c r="V1414" i="8" s="1"/>
  <c r="A1415" i="8"/>
  <c r="V1415" i="8" s="1"/>
  <c r="A1416" i="8"/>
  <c r="V1416" i="8" s="1"/>
  <c r="A1417" i="8"/>
  <c r="V1417" i="8" s="1"/>
  <c r="A1418" i="8"/>
  <c r="V1418" i="8" s="1"/>
  <c r="A1419" i="8"/>
  <c r="V1419" i="8" s="1"/>
  <c r="A1420" i="8"/>
  <c r="V1420" i="8" s="1"/>
  <c r="A1421" i="8"/>
  <c r="V1421" i="8" s="1"/>
  <c r="A1422" i="8"/>
  <c r="V1422" i="8" s="1"/>
  <c r="A1423" i="8"/>
  <c r="V1423" i="8" s="1"/>
  <c r="A1424" i="8"/>
  <c r="V1424" i="8" s="1"/>
  <c r="A1425" i="8"/>
  <c r="V1425" i="8" s="1"/>
  <c r="A1426" i="8"/>
  <c r="V1426" i="8" s="1"/>
  <c r="A1427" i="8"/>
  <c r="V1427" i="8" s="1"/>
  <c r="A1428" i="8"/>
  <c r="V1428" i="8" s="1"/>
  <c r="A1429" i="8"/>
  <c r="V1429" i="8" s="1"/>
  <c r="A1430" i="8"/>
  <c r="V1430" i="8" s="1"/>
  <c r="A1431" i="8"/>
  <c r="V1431" i="8" s="1"/>
  <c r="A1432" i="8"/>
  <c r="V1432" i="8" s="1"/>
  <c r="A1433" i="8"/>
  <c r="V1433" i="8" s="1"/>
  <c r="A1434" i="8"/>
  <c r="V1434" i="8" s="1"/>
  <c r="A1435" i="8"/>
  <c r="V1435" i="8" s="1"/>
  <c r="A1436" i="8"/>
  <c r="V1436" i="8" s="1"/>
  <c r="A1437" i="8"/>
  <c r="V1437" i="8" s="1"/>
  <c r="A1438" i="8"/>
  <c r="V1438" i="8" s="1"/>
  <c r="A1439" i="8"/>
  <c r="V1439" i="8" s="1"/>
  <c r="A1440" i="8"/>
  <c r="V1440" i="8" s="1"/>
  <c r="A1441" i="8"/>
  <c r="V1441" i="8" s="1"/>
  <c r="A1442" i="8"/>
  <c r="V1442" i="8" s="1"/>
  <c r="A1443" i="8"/>
  <c r="V1443" i="8" s="1"/>
  <c r="A1444" i="8"/>
  <c r="V1444" i="8" s="1"/>
  <c r="A1445" i="8"/>
  <c r="V1445" i="8" s="1"/>
  <c r="A1446" i="8"/>
  <c r="V1446" i="8" s="1"/>
  <c r="A1447" i="8"/>
  <c r="V1447" i="8" s="1"/>
  <c r="A1448" i="8"/>
  <c r="V1448" i="8" s="1"/>
  <c r="A1449" i="8"/>
  <c r="V1449" i="8" s="1"/>
  <c r="A1450" i="8"/>
  <c r="V1450" i="8" s="1"/>
  <c r="A1451" i="8"/>
  <c r="V1451" i="8" s="1"/>
  <c r="A1452" i="8"/>
  <c r="V1452" i="8" s="1"/>
  <c r="A1453" i="8"/>
  <c r="V1453" i="8" s="1"/>
  <c r="A1454" i="8"/>
  <c r="V1454" i="8" s="1"/>
  <c r="A1455" i="8"/>
  <c r="V1455" i="8" s="1"/>
  <c r="A1456" i="8"/>
  <c r="V1456" i="8" s="1"/>
  <c r="A1457" i="8"/>
  <c r="V1457" i="8" s="1"/>
  <c r="A1458" i="8"/>
  <c r="V1458" i="8" s="1"/>
  <c r="A1459" i="8"/>
  <c r="V1459" i="8" s="1"/>
  <c r="A1460" i="8"/>
  <c r="V1460" i="8" s="1"/>
  <c r="A1461" i="8"/>
  <c r="V1461" i="8" s="1"/>
  <c r="A1462" i="8"/>
  <c r="V1462" i="8" s="1"/>
  <c r="A1463" i="8"/>
  <c r="V1463" i="8" s="1"/>
  <c r="A1464" i="8"/>
  <c r="V1464" i="8" s="1"/>
  <c r="A1465" i="8"/>
  <c r="V1465" i="8" s="1"/>
  <c r="A1466" i="8"/>
  <c r="V1466" i="8" s="1"/>
  <c r="A1467" i="8"/>
  <c r="V1467" i="8" s="1"/>
  <c r="A1468" i="8"/>
  <c r="V1468" i="8" s="1"/>
  <c r="A1469" i="8"/>
  <c r="V1469" i="8" s="1"/>
  <c r="A1470" i="8"/>
  <c r="V1470" i="8" s="1"/>
  <c r="A1471" i="8"/>
  <c r="V1471" i="8" s="1"/>
  <c r="A1472" i="8"/>
  <c r="V1472" i="8" s="1"/>
  <c r="A1473" i="8"/>
  <c r="V1473" i="8" s="1"/>
  <c r="A1474" i="8"/>
  <c r="V1474" i="8" s="1"/>
  <c r="A1475" i="8"/>
  <c r="V1475" i="8" s="1"/>
  <c r="A1476" i="8"/>
  <c r="V1476" i="8" s="1"/>
  <c r="A1477" i="8"/>
  <c r="V1477" i="8" s="1"/>
  <c r="A1478" i="8"/>
  <c r="V1478" i="8" s="1"/>
  <c r="A1479" i="8"/>
  <c r="V1479" i="8" s="1"/>
  <c r="A1480" i="8"/>
  <c r="V1480" i="8" s="1"/>
  <c r="A1481" i="8"/>
  <c r="V1481" i="8" s="1"/>
  <c r="A1482" i="8"/>
  <c r="V1482" i="8" s="1"/>
  <c r="A1483" i="8"/>
  <c r="V1483" i="8" s="1"/>
  <c r="A1484" i="8"/>
  <c r="V1484" i="8" s="1"/>
  <c r="A1485" i="8"/>
  <c r="V1485" i="8" s="1"/>
  <c r="A1486" i="8"/>
  <c r="V1486" i="8" s="1"/>
  <c r="A1487" i="8"/>
  <c r="V1487" i="8" s="1"/>
  <c r="A1488" i="8"/>
  <c r="V1488" i="8" s="1"/>
  <c r="A1489" i="8"/>
  <c r="V1489" i="8" s="1"/>
  <c r="A1490" i="8"/>
  <c r="V1490" i="8" s="1"/>
  <c r="A1491" i="8"/>
  <c r="V1491" i="8" s="1"/>
  <c r="A1492" i="8"/>
  <c r="V1492" i="8" s="1"/>
  <c r="A1493" i="8"/>
  <c r="V1493" i="8" s="1"/>
  <c r="A1494" i="8"/>
  <c r="V1494" i="8" s="1"/>
  <c r="A1495" i="8"/>
  <c r="V1495" i="8" s="1"/>
  <c r="A1496" i="8"/>
  <c r="V1496" i="8" s="1"/>
  <c r="A1497" i="8"/>
  <c r="V1497" i="8" s="1"/>
  <c r="A1498" i="8"/>
  <c r="V1498" i="8" s="1"/>
  <c r="A1499" i="8"/>
  <c r="V1499" i="8" s="1"/>
  <c r="A1500" i="8"/>
  <c r="V1500" i="8" s="1"/>
  <c r="A1501" i="8"/>
  <c r="V1501" i="8" s="1"/>
  <c r="A1502" i="8"/>
  <c r="V1502" i="8" s="1"/>
  <c r="A1503" i="8"/>
  <c r="V1503" i="8" s="1"/>
  <c r="A1504" i="8"/>
  <c r="V1504" i="8" s="1"/>
  <c r="A1505" i="8"/>
  <c r="V1505" i="8" s="1"/>
  <c r="A1506" i="8"/>
  <c r="V1506" i="8" s="1"/>
  <c r="A1507" i="8"/>
  <c r="V1507" i="8" s="1"/>
  <c r="A1508" i="8"/>
  <c r="V1508" i="8" s="1"/>
  <c r="A1509" i="8"/>
  <c r="V1509" i="8" s="1"/>
  <c r="A1510" i="8"/>
  <c r="V1510" i="8" s="1"/>
  <c r="A1511" i="8"/>
  <c r="V1511" i="8" s="1"/>
  <c r="A1512" i="8"/>
  <c r="V1512" i="8" s="1"/>
  <c r="A1513" i="8"/>
  <c r="V1513" i="8" s="1"/>
  <c r="A1514" i="8"/>
  <c r="V1514" i="8" s="1"/>
  <c r="A1515" i="8"/>
  <c r="V1515" i="8" s="1"/>
  <c r="A1516" i="8"/>
  <c r="V1516" i="8" s="1"/>
  <c r="A1517" i="8"/>
  <c r="V1517" i="8" s="1"/>
  <c r="A1518" i="8"/>
  <c r="V1518" i="8" s="1"/>
  <c r="A1519" i="8"/>
  <c r="V1519" i="8" s="1"/>
  <c r="A1520" i="8"/>
  <c r="V1520" i="8" s="1"/>
  <c r="A1521" i="8"/>
  <c r="V1521" i="8" s="1"/>
  <c r="A1522" i="8"/>
  <c r="V1522" i="8" s="1"/>
  <c r="A1523" i="8"/>
  <c r="V1523" i="8" s="1"/>
  <c r="A1524" i="8"/>
  <c r="V1524" i="8" s="1"/>
  <c r="A1525" i="8"/>
  <c r="V1525" i="8" s="1"/>
  <c r="A1526" i="8"/>
  <c r="V1526" i="8" s="1"/>
  <c r="A1527" i="8"/>
  <c r="V1527" i="8" s="1"/>
  <c r="A1528" i="8"/>
  <c r="V1528" i="8" s="1"/>
  <c r="A1529" i="8"/>
  <c r="V1529" i="8" s="1"/>
  <c r="A1530" i="8"/>
  <c r="V1530" i="8" s="1"/>
  <c r="A1531" i="8"/>
  <c r="V1531" i="8" s="1"/>
  <c r="A1532" i="8"/>
  <c r="V1532" i="8" s="1"/>
  <c r="A1533" i="8"/>
  <c r="V1533" i="8" s="1"/>
  <c r="A1534" i="8"/>
  <c r="V1534" i="8" s="1"/>
  <c r="A1535" i="8"/>
  <c r="V1535" i="8" s="1"/>
  <c r="A1536" i="8"/>
  <c r="V1536" i="8" s="1"/>
  <c r="A1537" i="8"/>
  <c r="V1537" i="8" s="1"/>
  <c r="A1538" i="8"/>
  <c r="V1538" i="8" s="1"/>
  <c r="A1539" i="8"/>
  <c r="V1539" i="8" s="1"/>
  <c r="A1540" i="8"/>
  <c r="V1540" i="8" s="1"/>
  <c r="A1541" i="8"/>
  <c r="V1541" i="8" s="1"/>
  <c r="A1542" i="8"/>
  <c r="V1542" i="8" s="1"/>
  <c r="A1543" i="8"/>
  <c r="V1543" i="8" s="1"/>
  <c r="A1544" i="8"/>
  <c r="V1544" i="8" s="1"/>
  <c r="A1545" i="8"/>
  <c r="V1545" i="8" s="1"/>
  <c r="A1546" i="8"/>
  <c r="V1546" i="8" s="1"/>
  <c r="A1547" i="8"/>
  <c r="V1547" i="8" s="1"/>
  <c r="A1548" i="8"/>
  <c r="V1548" i="8" s="1"/>
  <c r="A1549" i="8"/>
  <c r="V1549" i="8" s="1"/>
  <c r="A1550" i="8"/>
  <c r="V1550" i="8" s="1"/>
  <c r="A1551" i="8"/>
  <c r="V1551" i="8" s="1"/>
  <c r="A1552" i="8"/>
  <c r="V1552" i="8" s="1"/>
  <c r="A1553" i="8"/>
  <c r="V1553" i="8" s="1"/>
  <c r="A1554" i="8"/>
  <c r="V1554" i="8" s="1"/>
  <c r="A1555" i="8"/>
  <c r="V1555" i="8" s="1"/>
  <c r="A1556" i="8"/>
  <c r="V1556" i="8" s="1"/>
  <c r="A1557" i="8"/>
  <c r="V1557" i="8" s="1"/>
  <c r="A1558" i="8"/>
  <c r="V1558" i="8" s="1"/>
  <c r="A1559" i="8"/>
  <c r="V1559" i="8" s="1"/>
  <c r="A1560" i="8"/>
  <c r="V1560" i="8" s="1"/>
  <c r="A1561" i="8"/>
  <c r="V1561" i="8" s="1"/>
  <c r="A1562" i="8"/>
  <c r="V1562" i="8" s="1"/>
  <c r="A1563" i="8"/>
  <c r="V1563" i="8" s="1"/>
  <c r="A1564" i="8"/>
  <c r="V1564" i="8" s="1"/>
  <c r="A1565" i="8"/>
  <c r="V1565" i="8" s="1"/>
  <c r="A1566" i="8"/>
  <c r="V1566" i="8" s="1"/>
  <c r="A1567" i="8"/>
  <c r="V1567" i="8" s="1"/>
  <c r="A1568" i="8"/>
  <c r="V1568" i="8" s="1"/>
  <c r="A1569" i="8"/>
  <c r="V1569" i="8" s="1"/>
  <c r="A1570" i="8"/>
  <c r="V1570" i="8" s="1"/>
  <c r="A1571" i="8"/>
  <c r="V1571" i="8" s="1"/>
  <c r="A1572" i="8"/>
  <c r="V1572" i="8" s="1"/>
  <c r="A1573" i="8"/>
  <c r="V1573" i="8" s="1"/>
  <c r="A1574" i="8"/>
  <c r="V1574" i="8" s="1"/>
  <c r="A1575" i="8"/>
  <c r="V1575" i="8" s="1"/>
  <c r="A1576" i="8"/>
  <c r="V1576" i="8" s="1"/>
  <c r="A1577" i="8"/>
  <c r="V1577" i="8" s="1"/>
  <c r="A1578" i="8"/>
  <c r="V1578" i="8" s="1"/>
  <c r="A1579" i="8"/>
  <c r="V1579" i="8" s="1"/>
  <c r="A1580" i="8"/>
  <c r="V1580" i="8" s="1"/>
  <c r="A1581" i="8"/>
  <c r="V1581" i="8" s="1"/>
  <c r="A1582" i="8"/>
  <c r="V1582" i="8" s="1"/>
  <c r="A1583" i="8"/>
  <c r="V1583" i="8" s="1"/>
  <c r="A1584" i="8"/>
  <c r="V1584" i="8" s="1"/>
  <c r="A1585" i="8"/>
  <c r="V1585" i="8" s="1"/>
  <c r="A1586" i="8"/>
  <c r="V1586" i="8" s="1"/>
  <c r="A1587" i="8"/>
  <c r="V1587" i="8" s="1"/>
  <c r="A1588" i="8"/>
  <c r="V1588" i="8" s="1"/>
  <c r="A1589" i="8"/>
  <c r="V1589" i="8" s="1"/>
  <c r="A1590" i="8"/>
  <c r="V1590" i="8" s="1"/>
  <c r="A1591" i="8"/>
  <c r="V1591" i="8" s="1"/>
  <c r="A1592" i="8"/>
  <c r="V1592" i="8" s="1"/>
  <c r="A1593" i="8"/>
  <c r="V1593" i="8" s="1"/>
  <c r="A1594" i="8"/>
  <c r="V1594" i="8" s="1"/>
  <c r="A1595" i="8"/>
  <c r="V1595" i="8" s="1"/>
  <c r="A1596" i="8"/>
  <c r="V1596" i="8" s="1"/>
  <c r="A1597" i="8"/>
  <c r="V1597" i="8" s="1"/>
  <c r="A1598" i="8"/>
  <c r="V1598" i="8" s="1"/>
  <c r="A1599" i="8"/>
  <c r="V1599" i="8" s="1"/>
  <c r="A1600" i="8"/>
  <c r="V1600" i="8" s="1"/>
  <c r="A1601" i="8"/>
  <c r="V1601" i="8" s="1"/>
  <c r="A1602" i="8"/>
  <c r="V1602" i="8" s="1"/>
  <c r="A1603" i="8"/>
  <c r="V1603" i="8" s="1"/>
  <c r="A1604" i="8"/>
  <c r="V1604" i="8" s="1"/>
  <c r="A1605" i="8"/>
  <c r="V1605" i="8" s="1"/>
  <c r="A1606" i="8"/>
  <c r="V1606" i="8" s="1"/>
  <c r="A1607" i="8"/>
  <c r="V1607" i="8" s="1"/>
  <c r="A1608" i="8"/>
  <c r="V1608" i="8" s="1"/>
  <c r="A1609" i="8"/>
  <c r="V1609" i="8" s="1"/>
  <c r="A1610" i="8"/>
  <c r="V1610" i="8" s="1"/>
  <c r="A1611" i="8"/>
  <c r="V1611" i="8" s="1"/>
  <c r="A1612" i="8"/>
  <c r="V1612" i="8" s="1"/>
  <c r="A1613" i="8"/>
  <c r="V1613" i="8" s="1"/>
  <c r="A1614" i="8"/>
  <c r="V1614" i="8" s="1"/>
  <c r="A1615" i="8"/>
  <c r="V1615" i="8" s="1"/>
  <c r="A1616" i="8"/>
  <c r="V1616" i="8" s="1"/>
  <c r="A1617" i="8"/>
  <c r="V1617" i="8" s="1"/>
  <c r="A1618" i="8"/>
  <c r="V1618" i="8" s="1"/>
  <c r="A1619" i="8"/>
  <c r="V1619" i="8" s="1"/>
  <c r="A1620" i="8"/>
  <c r="V1620" i="8" s="1"/>
  <c r="A1621" i="8"/>
  <c r="V1621" i="8" s="1"/>
  <c r="A1622" i="8"/>
  <c r="V1622" i="8" s="1"/>
  <c r="A1623" i="8"/>
  <c r="V1623" i="8" s="1"/>
  <c r="A1624" i="8"/>
  <c r="V1624" i="8" s="1"/>
  <c r="A1625" i="8"/>
  <c r="V1625" i="8" s="1"/>
  <c r="A1626" i="8"/>
  <c r="V1626" i="8" s="1"/>
  <c r="A1627" i="8"/>
  <c r="V1627" i="8" s="1"/>
  <c r="A1628" i="8"/>
  <c r="V1628" i="8" s="1"/>
  <c r="A1629" i="8"/>
  <c r="V1629" i="8" s="1"/>
  <c r="A1630" i="8"/>
  <c r="V1630" i="8" s="1"/>
  <c r="A1631" i="8"/>
  <c r="V1631" i="8" s="1"/>
  <c r="A1632" i="8"/>
  <c r="V1632" i="8" s="1"/>
  <c r="A1633" i="8"/>
  <c r="V1633" i="8" s="1"/>
  <c r="A1634" i="8"/>
  <c r="V1634" i="8" s="1"/>
  <c r="A1635" i="8"/>
  <c r="V1635" i="8" s="1"/>
  <c r="A1636" i="8"/>
  <c r="V1636" i="8" s="1"/>
  <c r="A1637" i="8"/>
  <c r="V1637" i="8" s="1"/>
  <c r="A1638" i="8"/>
  <c r="V1638" i="8" s="1"/>
  <c r="A1639" i="8"/>
  <c r="V1639" i="8" s="1"/>
  <c r="A1640" i="8"/>
  <c r="V1640" i="8" s="1"/>
  <c r="A1641" i="8"/>
  <c r="V1641" i="8" s="1"/>
  <c r="A1642" i="8"/>
  <c r="V1642" i="8" s="1"/>
  <c r="A1643" i="8"/>
  <c r="V1643" i="8" s="1"/>
  <c r="A1644" i="8"/>
  <c r="V1644" i="8" s="1"/>
  <c r="A1645" i="8"/>
  <c r="V1645" i="8" s="1"/>
  <c r="A1646" i="8"/>
  <c r="V1646" i="8" s="1"/>
  <c r="A1647" i="8"/>
  <c r="V1647" i="8" s="1"/>
  <c r="A1648" i="8"/>
  <c r="V1648" i="8" s="1"/>
  <c r="A1649" i="8"/>
  <c r="V1649" i="8" s="1"/>
  <c r="A1650" i="8"/>
  <c r="V1650" i="8" s="1"/>
  <c r="A1651" i="8"/>
  <c r="V1651" i="8" s="1"/>
  <c r="A1652" i="8"/>
  <c r="V1652" i="8" s="1"/>
  <c r="A1653" i="8"/>
  <c r="V1653" i="8" s="1"/>
  <c r="A1654" i="8"/>
  <c r="V1654" i="8" s="1"/>
  <c r="A1655" i="8"/>
  <c r="V1655" i="8" s="1"/>
  <c r="A1656" i="8"/>
  <c r="V1656" i="8" s="1"/>
  <c r="A1657" i="8"/>
  <c r="V1657" i="8" s="1"/>
  <c r="A1658" i="8"/>
  <c r="V1658" i="8" s="1"/>
  <c r="A1659" i="8"/>
  <c r="V1659" i="8" s="1"/>
  <c r="A1660" i="8"/>
  <c r="V1660" i="8" s="1"/>
  <c r="A1661" i="8"/>
  <c r="V1661" i="8" s="1"/>
  <c r="A1662" i="8"/>
  <c r="V1662" i="8" s="1"/>
  <c r="A1663" i="8"/>
  <c r="V1663" i="8" s="1"/>
  <c r="A1664" i="8"/>
  <c r="V1664" i="8" s="1"/>
  <c r="A1665" i="8"/>
  <c r="V1665" i="8" s="1"/>
  <c r="A1666" i="8"/>
  <c r="V1666" i="8" s="1"/>
  <c r="A1667" i="8"/>
  <c r="V1667" i="8" s="1"/>
  <c r="A1668" i="8"/>
  <c r="V1668" i="8" s="1"/>
  <c r="A1669" i="8"/>
  <c r="V1669" i="8" s="1"/>
  <c r="A1670" i="8"/>
  <c r="V1670" i="8" s="1"/>
  <c r="A1671" i="8"/>
  <c r="V1671" i="8" s="1"/>
  <c r="A1672" i="8"/>
  <c r="V1672" i="8" s="1"/>
  <c r="A1673" i="8"/>
  <c r="V1673" i="8" s="1"/>
  <c r="A1674" i="8"/>
  <c r="V1674" i="8" s="1"/>
  <c r="A1675" i="8"/>
  <c r="V1675" i="8" s="1"/>
  <c r="A1676" i="8"/>
  <c r="V1676" i="8" s="1"/>
  <c r="A1677" i="8"/>
  <c r="V1677" i="8" s="1"/>
  <c r="A1678" i="8"/>
  <c r="V1678" i="8" s="1"/>
  <c r="A1679" i="8"/>
  <c r="V1679" i="8" s="1"/>
  <c r="A1680" i="8"/>
  <c r="V1680" i="8" s="1"/>
  <c r="A1681" i="8"/>
  <c r="V1681" i="8" s="1"/>
  <c r="A1682" i="8"/>
  <c r="V1682" i="8" s="1"/>
  <c r="A1683" i="8"/>
  <c r="V1683" i="8" s="1"/>
  <c r="A1684" i="8"/>
  <c r="V1684" i="8" s="1"/>
  <c r="A1685" i="8"/>
  <c r="V1685" i="8" s="1"/>
  <c r="A1686" i="8"/>
  <c r="V1686" i="8" s="1"/>
  <c r="A1687" i="8"/>
  <c r="V1687" i="8" s="1"/>
  <c r="A1688" i="8"/>
  <c r="V1688" i="8" s="1"/>
  <c r="A1689" i="8"/>
  <c r="V1689" i="8" s="1"/>
  <c r="A1690" i="8"/>
  <c r="V1690" i="8" s="1"/>
  <c r="A1691" i="8"/>
  <c r="V1691" i="8" s="1"/>
  <c r="A1692" i="8"/>
  <c r="V1692" i="8" s="1"/>
  <c r="A1693" i="8"/>
  <c r="V1693" i="8" s="1"/>
  <c r="A1694" i="8"/>
  <c r="V1694" i="8" s="1"/>
  <c r="A1695" i="8"/>
  <c r="V1695" i="8" s="1"/>
  <c r="A1696" i="8"/>
  <c r="V1696" i="8" s="1"/>
  <c r="A1697" i="8"/>
  <c r="V1697" i="8" s="1"/>
  <c r="A1698" i="8"/>
  <c r="V1698" i="8" s="1"/>
  <c r="A1699" i="8"/>
  <c r="V1699" i="8" s="1"/>
  <c r="A1700" i="8"/>
  <c r="V1700" i="8" s="1"/>
  <c r="A1701" i="8"/>
  <c r="V1701" i="8" s="1"/>
  <c r="A1702" i="8"/>
  <c r="V1702" i="8" s="1"/>
  <c r="A1703" i="8"/>
  <c r="V1703" i="8" s="1"/>
  <c r="A1704" i="8"/>
  <c r="V1704" i="8" s="1"/>
  <c r="A1705" i="8"/>
  <c r="V1705" i="8" s="1"/>
  <c r="A1706" i="8"/>
  <c r="V1706" i="8" s="1"/>
  <c r="A1707" i="8"/>
  <c r="V1707" i="8" s="1"/>
  <c r="A1708" i="8"/>
  <c r="V1708" i="8" s="1"/>
  <c r="A1709" i="8"/>
  <c r="V1709" i="8" s="1"/>
  <c r="A1710" i="8"/>
  <c r="V1710" i="8" s="1"/>
  <c r="A1711" i="8"/>
  <c r="V1711" i="8" s="1"/>
  <c r="A1712" i="8"/>
  <c r="V1712" i="8" s="1"/>
  <c r="A1713" i="8"/>
  <c r="V1713" i="8" s="1"/>
  <c r="A1714" i="8"/>
  <c r="V1714" i="8" s="1"/>
  <c r="A1715" i="8"/>
  <c r="V1715" i="8" s="1"/>
  <c r="A1716" i="8"/>
  <c r="V1716" i="8" s="1"/>
  <c r="A1717" i="8"/>
  <c r="V1717" i="8" s="1"/>
  <c r="A1718" i="8"/>
  <c r="V1718" i="8" s="1"/>
  <c r="A1719" i="8"/>
  <c r="V1719" i="8" s="1"/>
  <c r="A1720" i="8"/>
  <c r="V1720" i="8" s="1"/>
  <c r="A1721" i="8"/>
  <c r="V1721" i="8" s="1"/>
  <c r="A1722" i="8"/>
  <c r="V1722" i="8" s="1"/>
  <c r="A1723" i="8"/>
  <c r="V1723" i="8" s="1"/>
  <c r="A1724" i="8"/>
  <c r="V1724" i="8" s="1"/>
  <c r="A1725" i="8"/>
  <c r="V1725" i="8" s="1"/>
  <c r="A1726" i="8"/>
  <c r="V1726" i="8" s="1"/>
  <c r="A1727" i="8"/>
  <c r="V1727" i="8" s="1"/>
  <c r="A1728" i="8"/>
  <c r="V1728" i="8" s="1"/>
  <c r="A1729" i="8"/>
  <c r="V1729" i="8" s="1"/>
  <c r="A1730" i="8"/>
  <c r="V1730" i="8" s="1"/>
  <c r="A1731" i="8"/>
  <c r="V1731" i="8" s="1"/>
  <c r="A1732" i="8"/>
  <c r="V1732" i="8" s="1"/>
  <c r="A1733" i="8"/>
  <c r="V1733" i="8" s="1"/>
  <c r="A1734" i="8"/>
  <c r="V1734" i="8" s="1"/>
  <c r="A1735" i="8"/>
  <c r="V1735" i="8" s="1"/>
  <c r="A1736" i="8"/>
  <c r="V1736" i="8" s="1"/>
  <c r="A1737" i="8"/>
  <c r="V1737" i="8" s="1"/>
  <c r="A1738" i="8"/>
  <c r="V1738" i="8" s="1"/>
  <c r="A1739" i="8"/>
  <c r="V1739" i="8" s="1"/>
  <c r="A1740" i="8"/>
  <c r="V1740" i="8" s="1"/>
  <c r="A1741" i="8"/>
  <c r="V1741" i="8" s="1"/>
  <c r="A1742" i="8"/>
  <c r="V1742" i="8" s="1"/>
  <c r="A1743" i="8"/>
  <c r="V1743" i="8" s="1"/>
  <c r="A1744" i="8"/>
  <c r="V1744" i="8" s="1"/>
  <c r="A1745" i="8"/>
  <c r="V1745" i="8" s="1"/>
  <c r="A1746" i="8"/>
  <c r="V1746" i="8" s="1"/>
  <c r="A1747" i="8"/>
  <c r="V1747" i="8" s="1"/>
  <c r="A1748" i="8"/>
  <c r="V1748" i="8" s="1"/>
  <c r="A1749" i="8"/>
  <c r="V1749" i="8" s="1"/>
  <c r="A1750" i="8"/>
  <c r="V1750" i="8" s="1"/>
  <c r="A1751" i="8"/>
  <c r="V1751" i="8" s="1"/>
  <c r="A1752" i="8"/>
  <c r="V1752" i="8" s="1"/>
  <c r="A1753" i="8"/>
  <c r="V1753" i="8" s="1"/>
  <c r="A1754" i="8"/>
  <c r="V1754" i="8" s="1"/>
  <c r="A1755" i="8"/>
  <c r="V1755" i="8" s="1"/>
  <c r="A1756" i="8"/>
  <c r="V1756" i="8" s="1"/>
  <c r="A1757" i="8"/>
  <c r="V1757" i="8" s="1"/>
  <c r="A1758" i="8"/>
  <c r="V1758" i="8" s="1"/>
  <c r="A1759" i="8"/>
  <c r="V1759" i="8" s="1"/>
  <c r="A1760" i="8"/>
  <c r="V1760" i="8" s="1"/>
  <c r="A1761" i="8"/>
  <c r="V1761" i="8" s="1"/>
  <c r="A1762" i="8"/>
  <c r="V1762" i="8" s="1"/>
  <c r="A1763" i="8"/>
  <c r="V1763" i="8" s="1"/>
  <c r="A1764" i="8"/>
  <c r="V1764" i="8" s="1"/>
  <c r="A1765" i="8"/>
  <c r="V1765" i="8" s="1"/>
  <c r="A1766" i="8"/>
  <c r="V1766" i="8" s="1"/>
  <c r="A1767" i="8"/>
  <c r="V1767" i="8" s="1"/>
  <c r="A1768" i="8"/>
  <c r="V1768" i="8" s="1"/>
  <c r="A1769" i="8"/>
  <c r="V1769" i="8" s="1"/>
  <c r="A1770" i="8"/>
  <c r="V1770" i="8" s="1"/>
  <c r="A1771" i="8"/>
  <c r="V1771" i="8" s="1"/>
  <c r="A1772" i="8"/>
  <c r="V1772" i="8" s="1"/>
  <c r="A1773" i="8"/>
  <c r="V1773" i="8" s="1"/>
  <c r="A1774" i="8"/>
  <c r="V1774" i="8" s="1"/>
  <c r="A1775" i="8"/>
  <c r="V1775" i="8" s="1"/>
  <c r="A1776" i="8"/>
  <c r="V1776" i="8" s="1"/>
  <c r="A1777" i="8"/>
  <c r="V1777" i="8" s="1"/>
  <c r="A1778" i="8"/>
  <c r="V1778" i="8" s="1"/>
  <c r="A1779" i="8"/>
  <c r="V1779" i="8" s="1"/>
  <c r="A1780" i="8"/>
  <c r="V1780" i="8" s="1"/>
  <c r="A1781" i="8"/>
  <c r="V1781" i="8" s="1"/>
  <c r="A1782" i="8"/>
  <c r="V1782" i="8" s="1"/>
  <c r="A1783" i="8"/>
  <c r="V1783" i="8" s="1"/>
  <c r="A1784" i="8"/>
  <c r="V1784" i="8" s="1"/>
  <c r="A1785" i="8"/>
  <c r="V1785" i="8" s="1"/>
  <c r="A1786" i="8"/>
  <c r="V1786" i="8" s="1"/>
  <c r="A1787" i="8"/>
  <c r="V1787" i="8" s="1"/>
  <c r="A1788" i="8"/>
  <c r="V1788" i="8" s="1"/>
  <c r="A1789" i="8"/>
  <c r="V1789" i="8" s="1"/>
  <c r="A1790" i="8"/>
  <c r="V1790" i="8" s="1"/>
  <c r="A1791" i="8"/>
  <c r="V1791" i="8" s="1"/>
  <c r="A1792" i="8"/>
  <c r="V1792" i="8" s="1"/>
  <c r="A1793" i="8"/>
  <c r="V1793" i="8" s="1"/>
  <c r="A1794" i="8"/>
  <c r="V1794" i="8" s="1"/>
  <c r="A1795" i="8"/>
  <c r="V1795" i="8" s="1"/>
  <c r="A1796" i="8"/>
  <c r="V1796" i="8" s="1"/>
  <c r="A1797" i="8"/>
  <c r="V1797" i="8" s="1"/>
  <c r="A1798" i="8"/>
  <c r="V1798" i="8" s="1"/>
  <c r="A1799" i="8"/>
  <c r="V1799" i="8" s="1"/>
  <c r="A1800" i="8"/>
  <c r="V1800" i="8" s="1"/>
  <c r="A1801" i="8"/>
  <c r="V1801" i="8" s="1"/>
  <c r="A1802" i="8"/>
  <c r="V1802" i="8" s="1"/>
  <c r="A1803" i="8"/>
  <c r="V1803" i="8" s="1"/>
  <c r="A1804" i="8"/>
  <c r="V1804" i="8" s="1"/>
  <c r="A1805" i="8"/>
  <c r="V1805" i="8" s="1"/>
  <c r="A1806" i="8"/>
  <c r="V1806" i="8" s="1"/>
  <c r="A1807" i="8"/>
  <c r="V1807" i="8" s="1"/>
  <c r="A1808" i="8"/>
  <c r="V1808" i="8" s="1"/>
  <c r="A1809" i="8"/>
  <c r="V1809" i="8" s="1"/>
  <c r="A1810" i="8"/>
  <c r="V1810" i="8" s="1"/>
  <c r="A1811" i="8"/>
  <c r="V1811" i="8" s="1"/>
  <c r="A1812" i="8"/>
  <c r="V1812" i="8" s="1"/>
  <c r="A1813" i="8"/>
  <c r="V1813" i="8" s="1"/>
  <c r="A1814" i="8"/>
  <c r="V1814" i="8" s="1"/>
  <c r="A1815" i="8"/>
  <c r="V1815" i="8" s="1"/>
  <c r="A1816" i="8"/>
  <c r="V1816" i="8" s="1"/>
  <c r="A1817" i="8"/>
  <c r="V1817" i="8" s="1"/>
  <c r="A1818" i="8"/>
  <c r="V1818" i="8" s="1"/>
  <c r="A1819" i="8"/>
  <c r="V1819" i="8" s="1"/>
  <c r="A1820" i="8"/>
  <c r="V1820" i="8" s="1"/>
  <c r="A1821" i="8"/>
  <c r="V1821" i="8" s="1"/>
  <c r="A1822" i="8"/>
  <c r="V1822" i="8" s="1"/>
  <c r="A1823" i="8"/>
  <c r="V1823" i="8" s="1"/>
  <c r="A1824" i="8"/>
  <c r="V1824" i="8" s="1"/>
  <c r="A1825" i="8"/>
  <c r="V1825" i="8" s="1"/>
  <c r="A1826" i="8"/>
  <c r="V1826" i="8" s="1"/>
  <c r="A1827" i="8"/>
  <c r="V1827" i="8" s="1"/>
  <c r="A1828" i="8"/>
  <c r="V1828" i="8" s="1"/>
  <c r="A1829" i="8"/>
  <c r="V1829" i="8" s="1"/>
  <c r="A1830" i="8"/>
  <c r="V1830" i="8" s="1"/>
  <c r="A1831" i="8"/>
  <c r="V1831" i="8" s="1"/>
  <c r="A1832" i="8"/>
  <c r="V1832" i="8" s="1"/>
  <c r="A1833" i="8"/>
  <c r="V1833" i="8" s="1"/>
  <c r="A1834" i="8"/>
  <c r="V1834" i="8" s="1"/>
  <c r="A1835" i="8"/>
  <c r="V1835" i="8" s="1"/>
  <c r="A1836" i="8"/>
  <c r="V1836" i="8" s="1"/>
  <c r="A1837" i="8"/>
  <c r="V1837" i="8" s="1"/>
  <c r="A1838" i="8"/>
  <c r="V1838" i="8" s="1"/>
  <c r="A1839" i="8"/>
  <c r="V1839" i="8" s="1"/>
  <c r="A1840" i="8"/>
  <c r="V1840" i="8" s="1"/>
  <c r="A1841" i="8"/>
  <c r="V1841" i="8" s="1"/>
  <c r="A1842" i="8"/>
  <c r="V1842" i="8" s="1"/>
  <c r="A1843" i="8"/>
  <c r="V1843" i="8" s="1"/>
  <c r="A1844" i="8"/>
  <c r="V1844" i="8" s="1"/>
  <c r="A1845" i="8"/>
  <c r="V1845" i="8" s="1"/>
  <c r="A1846" i="8"/>
  <c r="V1846" i="8" s="1"/>
  <c r="A1847" i="8"/>
  <c r="V1847" i="8" s="1"/>
  <c r="A1848" i="8"/>
  <c r="V1848" i="8" s="1"/>
  <c r="A1849" i="8"/>
  <c r="V1849" i="8" s="1"/>
  <c r="A1850" i="8"/>
  <c r="V1850" i="8" s="1"/>
  <c r="A1851" i="8"/>
  <c r="V1851" i="8" s="1"/>
  <c r="A1852" i="8"/>
  <c r="V1852" i="8" s="1"/>
  <c r="A1853" i="8"/>
  <c r="V1853" i="8" s="1"/>
  <c r="A1854" i="8"/>
  <c r="V1854" i="8" s="1"/>
  <c r="A1855" i="8"/>
  <c r="V1855" i="8" s="1"/>
  <c r="A1856" i="8"/>
  <c r="V1856" i="8" s="1"/>
  <c r="A1857" i="8"/>
  <c r="V1857" i="8" s="1"/>
  <c r="A1858" i="8"/>
  <c r="V1858" i="8" s="1"/>
  <c r="A1859" i="8"/>
  <c r="V1859" i="8" s="1"/>
  <c r="A1860" i="8"/>
  <c r="V1860" i="8" s="1"/>
  <c r="A1861" i="8"/>
  <c r="V1861" i="8" s="1"/>
  <c r="A1862" i="8"/>
  <c r="V1862" i="8" s="1"/>
  <c r="A1863" i="8"/>
  <c r="V1863" i="8" s="1"/>
  <c r="A1864" i="8"/>
  <c r="V1864" i="8" s="1"/>
  <c r="A1865" i="8"/>
  <c r="V1865" i="8" s="1"/>
  <c r="A1866" i="8"/>
  <c r="V1866" i="8" s="1"/>
  <c r="A1867" i="8"/>
  <c r="V1867" i="8" s="1"/>
  <c r="A1868" i="8"/>
  <c r="V1868" i="8" s="1"/>
  <c r="A1869" i="8"/>
  <c r="V1869" i="8" s="1"/>
  <c r="A1870" i="8"/>
  <c r="V1870" i="8" s="1"/>
  <c r="A1871" i="8"/>
  <c r="V1871" i="8" s="1"/>
  <c r="A1872" i="8"/>
  <c r="V1872" i="8" s="1"/>
  <c r="A1873" i="8"/>
  <c r="V1873" i="8" s="1"/>
  <c r="A1874" i="8"/>
  <c r="V1874" i="8" s="1"/>
  <c r="A1875" i="8"/>
  <c r="V1875" i="8" s="1"/>
  <c r="A1876" i="8"/>
  <c r="V1876" i="8" s="1"/>
  <c r="A1877" i="8"/>
  <c r="V1877" i="8" s="1"/>
  <c r="A1878" i="8"/>
  <c r="V1878" i="8" s="1"/>
  <c r="A1879" i="8"/>
  <c r="V1879" i="8" s="1"/>
  <c r="A1880" i="8"/>
  <c r="V1880" i="8" s="1"/>
  <c r="A1881" i="8"/>
  <c r="V1881" i="8" s="1"/>
  <c r="A1882" i="8"/>
  <c r="V1882" i="8" s="1"/>
  <c r="A1883" i="8"/>
  <c r="V1883" i="8" s="1"/>
  <c r="A1884" i="8"/>
  <c r="V1884" i="8" s="1"/>
  <c r="A1885" i="8"/>
  <c r="V1885" i="8" s="1"/>
  <c r="A1886" i="8"/>
  <c r="V1886" i="8" s="1"/>
  <c r="A1887" i="8"/>
  <c r="V1887" i="8" s="1"/>
  <c r="A1888" i="8"/>
  <c r="V1888" i="8" s="1"/>
  <c r="A1889" i="8"/>
  <c r="V1889" i="8" s="1"/>
  <c r="A1890" i="8"/>
  <c r="V1890" i="8" s="1"/>
  <c r="A1891" i="8"/>
  <c r="V1891" i="8" s="1"/>
  <c r="A1892" i="8"/>
  <c r="V1892" i="8" s="1"/>
  <c r="A1893" i="8"/>
  <c r="V1893" i="8" s="1"/>
  <c r="A1894" i="8"/>
  <c r="V1894" i="8" s="1"/>
  <c r="A1895" i="8"/>
  <c r="V1895" i="8" s="1"/>
  <c r="A1896" i="8"/>
  <c r="V1896" i="8" s="1"/>
  <c r="A1897" i="8"/>
  <c r="V1897" i="8" s="1"/>
  <c r="A1898" i="8"/>
  <c r="V1898" i="8" s="1"/>
  <c r="A1899" i="8"/>
  <c r="V1899" i="8" s="1"/>
  <c r="A1900" i="8"/>
  <c r="V1900" i="8" s="1"/>
  <c r="A1901" i="8"/>
  <c r="V1901" i="8" s="1"/>
  <c r="A1902" i="8"/>
  <c r="V1902" i="8" s="1"/>
  <c r="A1903" i="8"/>
  <c r="V1903" i="8" s="1"/>
  <c r="A1904" i="8"/>
  <c r="V1904" i="8" s="1"/>
  <c r="A1905" i="8"/>
  <c r="V1905" i="8" s="1"/>
  <c r="A1906" i="8"/>
  <c r="V1906" i="8" s="1"/>
  <c r="A1907" i="8"/>
  <c r="V1907" i="8" s="1"/>
  <c r="A1908" i="8"/>
  <c r="V1908" i="8" s="1"/>
  <c r="A1909" i="8"/>
  <c r="V1909" i="8" s="1"/>
  <c r="A1910" i="8"/>
  <c r="V1910" i="8" s="1"/>
  <c r="A1911" i="8"/>
  <c r="V1911" i="8" s="1"/>
  <c r="A1912" i="8"/>
  <c r="V1912" i="8" s="1"/>
  <c r="A1913" i="8"/>
  <c r="V1913" i="8" s="1"/>
  <c r="A1914" i="8"/>
  <c r="V1914" i="8" s="1"/>
  <c r="A1915" i="8"/>
  <c r="V1915" i="8" s="1"/>
  <c r="A1916" i="8"/>
  <c r="V1916" i="8" s="1"/>
  <c r="A1917" i="8"/>
  <c r="V1917" i="8" s="1"/>
  <c r="A1918" i="8"/>
  <c r="V1918" i="8" s="1"/>
  <c r="A1919" i="8"/>
  <c r="V1919" i="8" s="1"/>
  <c r="A1920" i="8"/>
  <c r="V1920" i="8" s="1"/>
  <c r="A1921" i="8"/>
  <c r="V1921" i="8" s="1"/>
  <c r="A1922" i="8"/>
  <c r="V1922" i="8" s="1"/>
  <c r="A1923" i="8"/>
  <c r="V1923" i="8" s="1"/>
  <c r="A1924" i="8"/>
  <c r="V1924" i="8" s="1"/>
  <c r="A1925" i="8"/>
  <c r="V1925" i="8" s="1"/>
  <c r="A1926" i="8"/>
  <c r="V1926" i="8" s="1"/>
  <c r="A1927" i="8"/>
  <c r="V1927" i="8" s="1"/>
  <c r="A1928" i="8"/>
  <c r="V1928" i="8" s="1"/>
  <c r="A1929" i="8"/>
  <c r="V1929" i="8" s="1"/>
  <c r="A1930" i="8"/>
  <c r="V1930" i="8" s="1"/>
  <c r="A1931" i="8"/>
  <c r="V1931" i="8" s="1"/>
  <c r="A1932" i="8"/>
  <c r="V1932" i="8" s="1"/>
  <c r="A1933" i="8"/>
  <c r="V1933" i="8" s="1"/>
  <c r="A1934" i="8"/>
  <c r="V1934" i="8" s="1"/>
  <c r="A1935" i="8"/>
  <c r="V1935" i="8" s="1"/>
  <c r="A1936" i="8"/>
  <c r="V1936" i="8" s="1"/>
  <c r="A1937" i="8"/>
  <c r="V1937" i="8" s="1"/>
  <c r="A1938" i="8"/>
  <c r="V1938" i="8" s="1"/>
  <c r="A1939" i="8"/>
  <c r="V1939" i="8" s="1"/>
  <c r="A1940" i="8"/>
  <c r="V1940" i="8" s="1"/>
  <c r="A1941" i="8"/>
  <c r="V1941" i="8" s="1"/>
  <c r="A1942" i="8"/>
  <c r="V1942" i="8" s="1"/>
  <c r="A1943" i="8"/>
  <c r="V1943" i="8" s="1"/>
  <c r="A1944" i="8"/>
  <c r="V1944" i="8" s="1"/>
  <c r="A1945" i="8"/>
  <c r="V1945" i="8" s="1"/>
  <c r="A1946" i="8"/>
  <c r="V1946" i="8" s="1"/>
  <c r="A1947" i="8"/>
  <c r="V1947" i="8" s="1"/>
  <c r="A1948" i="8"/>
  <c r="V1948" i="8" s="1"/>
  <c r="A1949" i="8"/>
  <c r="V1949" i="8" s="1"/>
  <c r="A1950" i="8"/>
  <c r="V1950" i="8" s="1"/>
  <c r="A1951" i="8"/>
  <c r="V1951" i="8" s="1"/>
  <c r="A1952" i="8"/>
  <c r="V1952" i="8" s="1"/>
  <c r="A1953" i="8"/>
  <c r="V1953" i="8" s="1"/>
  <c r="A1954" i="8"/>
  <c r="V1954" i="8" s="1"/>
  <c r="A1955" i="8"/>
  <c r="V1955" i="8" s="1"/>
  <c r="A1956" i="8"/>
  <c r="V1956" i="8" s="1"/>
  <c r="A1957" i="8"/>
  <c r="V1957" i="8" s="1"/>
  <c r="A1958" i="8"/>
  <c r="V1958" i="8" s="1"/>
  <c r="A1959" i="8"/>
  <c r="V1959" i="8" s="1"/>
  <c r="A1960" i="8"/>
  <c r="V1960" i="8" s="1"/>
  <c r="A1961" i="8"/>
  <c r="V1961" i="8" s="1"/>
  <c r="A1962" i="8"/>
  <c r="V1962" i="8" s="1"/>
  <c r="A1963" i="8"/>
  <c r="V1963" i="8" s="1"/>
  <c r="A1964" i="8"/>
  <c r="V1964" i="8" s="1"/>
  <c r="A1965" i="8"/>
  <c r="V1965" i="8" s="1"/>
  <c r="A1966" i="8"/>
  <c r="V1966" i="8" s="1"/>
  <c r="A1967" i="8"/>
  <c r="V1967" i="8" s="1"/>
  <c r="A1968" i="8"/>
  <c r="V1968" i="8" s="1"/>
  <c r="A1969" i="8"/>
  <c r="V1969" i="8" s="1"/>
  <c r="A1970" i="8"/>
  <c r="V1970" i="8" s="1"/>
  <c r="A1971" i="8"/>
  <c r="V1971" i="8" s="1"/>
  <c r="A1972" i="8"/>
  <c r="V1972" i="8" s="1"/>
  <c r="A1973" i="8"/>
  <c r="V1973" i="8" s="1"/>
  <c r="A1974" i="8"/>
  <c r="V1974" i="8" s="1"/>
  <c r="A1975" i="8"/>
  <c r="V1975" i="8" s="1"/>
  <c r="A1976" i="8"/>
  <c r="V1976" i="8" s="1"/>
  <c r="A1977" i="8"/>
  <c r="V1977" i="8" s="1"/>
  <c r="A1978" i="8"/>
  <c r="V1978" i="8" s="1"/>
  <c r="A1979" i="8"/>
  <c r="V1979" i="8" s="1"/>
  <c r="A1980" i="8"/>
  <c r="V1980" i="8" s="1"/>
  <c r="A1981" i="8"/>
  <c r="V1981" i="8" s="1"/>
  <c r="A1982" i="8"/>
  <c r="V1982" i="8" s="1"/>
  <c r="A1983" i="8"/>
  <c r="V1983" i="8" s="1"/>
  <c r="A1984" i="8"/>
  <c r="V1984" i="8" s="1"/>
  <c r="A1985" i="8"/>
  <c r="V1985" i="8" s="1"/>
  <c r="A1986" i="8"/>
  <c r="V1986" i="8" s="1"/>
  <c r="A1987" i="8"/>
  <c r="V1987" i="8" s="1"/>
  <c r="A1988" i="8"/>
  <c r="V1988" i="8" s="1"/>
  <c r="A1989" i="8"/>
  <c r="V1989" i="8" s="1"/>
  <c r="A1990" i="8"/>
  <c r="V1990" i="8" s="1"/>
  <c r="A1991" i="8"/>
  <c r="V1991" i="8" s="1"/>
  <c r="A1992" i="8"/>
  <c r="V1992" i="8" s="1"/>
  <c r="A1993" i="8"/>
  <c r="V1993" i="8" s="1"/>
  <c r="A1994" i="8"/>
  <c r="V1994" i="8" s="1"/>
  <c r="A1995" i="8"/>
  <c r="V1995" i="8" s="1"/>
  <c r="A1996" i="8"/>
  <c r="V1996" i="8" s="1"/>
  <c r="A1997" i="8"/>
  <c r="V1997" i="8" s="1"/>
  <c r="A1998" i="8"/>
  <c r="V1998" i="8" s="1"/>
  <c r="A1999" i="8"/>
  <c r="V1999" i="8" s="1"/>
  <c r="A2000" i="8"/>
  <c r="V2000" i="8" s="1"/>
  <c r="A2001" i="8"/>
  <c r="V2001" i="8" s="1"/>
  <c r="A2002" i="8"/>
  <c r="V2002" i="8" s="1"/>
  <c r="A2003" i="8"/>
  <c r="V2003" i="8" s="1"/>
  <c r="A2004" i="8"/>
  <c r="V2004" i="8" s="1"/>
  <c r="A2005" i="8"/>
  <c r="V2005" i="8" s="1"/>
  <c r="A2006" i="8"/>
  <c r="V2006" i="8" s="1"/>
  <c r="A2007" i="8"/>
  <c r="V2007" i="8" s="1"/>
  <c r="A2008" i="8"/>
  <c r="V2008" i="8" s="1"/>
  <c r="A2009" i="8"/>
  <c r="V2009" i="8" s="1"/>
  <c r="A2010" i="8"/>
  <c r="V2010" i="8" s="1"/>
  <c r="A2011" i="8"/>
  <c r="V2011" i="8" s="1"/>
  <c r="A2012" i="8"/>
  <c r="V2012" i="8" s="1"/>
  <c r="A2013" i="8"/>
  <c r="V2013" i="8" s="1"/>
  <c r="A2014" i="8"/>
  <c r="V2014" i="8" s="1"/>
  <c r="A2015" i="8"/>
  <c r="V2015" i="8" s="1"/>
  <c r="A2016" i="8"/>
  <c r="V2016" i="8" s="1"/>
  <c r="A2017" i="8"/>
  <c r="V2017" i="8" s="1"/>
  <c r="A2018" i="8"/>
  <c r="V2018" i="8" s="1"/>
  <c r="A2019" i="8"/>
  <c r="V2019" i="8" s="1"/>
  <c r="A2020" i="8"/>
  <c r="V2020" i="8" s="1"/>
  <c r="A2021" i="8"/>
  <c r="V2021" i="8" s="1"/>
  <c r="A2022" i="8"/>
  <c r="V2022" i="8" s="1"/>
  <c r="A2023" i="8"/>
  <c r="V2023" i="8" s="1"/>
  <c r="A2024" i="8"/>
  <c r="V2024" i="8" s="1"/>
  <c r="A2025" i="8"/>
  <c r="V2025" i="8" s="1"/>
  <c r="A2026" i="8"/>
  <c r="V2026" i="8" s="1"/>
  <c r="A2027" i="8"/>
  <c r="V2027" i="8" s="1"/>
  <c r="A2028" i="8"/>
  <c r="V2028" i="8" s="1"/>
  <c r="A2029" i="8"/>
  <c r="V2029" i="8" s="1"/>
  <c r="A2030" i="8"/>
  <c r="V2030" i="8" s="1"/>
  <c r="A2031" i="8"/>
  <c r="V2031" i="8" s="1"/>
  <c r="A2032" i="8"/>
  <c r="V2032" i="8" s="1"/>
  <c r="A2033" i="8"/>
  <c r="V2033" i="8" s="1"/>
  <c r="A2034" i="8"/>
  <c r="V2034" i="8" s="1"/>
  <c r="A2035" i="8"/>
  <c r="V2035" i="8" s="1"/>
  <c r="A2036" i="8"/>
  <c r="V2036" i="8" s="1"/>
  <c r="A2037" i="8"/>
  <c r="V2037" i="8" s="1"/>
  <c r="A2038" i="8"/>
  <c r="V2038" i="8" s="1"/>
  <c r="A2039" i="8"/>
  <c r="V2039" i="8" s="1"/>
  <c r="A2040" i="8"/>
  <c r="V2040" i="8" s="1"/>
  <c r="A2041" i="8"/>
  <c r="V2041" i="8" s="1"/>
  <c r="A2042" i="8"/>
  <c r="V2042" i="8" s="1"/>
  <c r="A2043" i="8"/>
  <c r="V2043" i="8" s="1"/>
  <c r="A2044" i="8"/>
  <c r="V2044" i="8" s="1"/>
  <c r="A2045" i="8"/>
  <c r="V2045" i="8" s="1"/>
  <c r="A2046" i="8"/>
  <c r="V2046" i="8" s="1"/>
  <c r="A2047" i="8"/>
  <c r="V2047" i="8" s="1"/>
  <c r="A2048" i="8"/>
  <c r="V2048" i="8" s="1"/>
  <c r="A2049" i="8"/>
  <c r="V2049" i="8" s="1"/>
  <c r="A2050" i="8"/>
  <c r="V2050" i="8" s="1"/>
  <c r="A2051" i="8"/>
  <c r="V2051" i="8" s="1"/>
  <c r="A2052" i="8"/>
  <c r="V2052" i="8" s="1"/>
  <c r="A2053" i="8"/>
  <c r="V2053" i="8" s="1"/>
  <c r="A2054" i="8"/>
  <c r="V2054" i="8" s="1"/>
  <c r="A2055" i="8"/>
  <c r="V2055" i="8" s="1"/>
  <c r="A2056" i="8"/>
  <c r="V2056" i="8" s="1"/>
  <c r="A2057" i="8"/>
  <c r="V2057" i="8" s="1"/>
  <c r="A2058" i="8"/>
  <c r="V2058" i="8" s="1"/>
  <c r="A2059" i="8"/>
  <c r="V2059" i="8" s="1"/>
  <c r="A2060" i="8"/>
  <c r="V2060" i="8" s="1"/>
  <c r="A2061" i="8"/>
  <c r="V2061" i="8" s="1"/>
  <c r="A2062" i="8"/>
  <c r="V2062" i="8" s="1"/>
  <c r="A2063" i="8"/>
  <c r="V2063" i="8" s="1"/>
  <c r="A2064" i="8"/>
  <c r="V2064" i="8" s="1"/>
  <c r="A2065" i="8"/>
  <c r="V2065" i="8" s="1"/>
  <c r="A2066" i="8"/>
  <c r="V2066" i="8" s="1"/>
  <c r="A2067" i="8"/>
  <c r="V2067" i="8" s="1"/>
  <c r="A2068" i="8"/>
  <c r="V2068" i="8" s="1"/>
  <c r="A2069" i="8"/>
  <c r="V2069" i="8" s="1"/>
  <c r="A2070" i="8"/>
  <c r="V2070" i="8" s="1"/>
  <c r="A2071" i="8"/>
  <c r="V2071" i="8" s="1"/>
  <c r="A2072" i="8"/>
  <c r="V2072" i="8" s="1"/>
  <c r="A2073" i="8"/>
  <c r="V2073" i="8" s="1"/>
  <c r="A2074" i="8"/>
  <c r="V2074" i="8" s="1"/>
  <c r="A2075" i="8"/>
  <c r="V2075" i="8" s="1"/>
  <c r="A2076" i="8"/>
  <c r="V2076" i="8" s="1"/>
  <c r="A2077" i="8"/>
  <c r="V2077" i="8" s="1"/>
  <c r="A2078" i="8"/>
  <c r="V2078" i="8" s="1"/>
  <c r="A2079" i="8"/>
  <c r="V2079" i="8" s="1"/>
  <c r="A2080" i="8"/>
  <c r="V2080" i="8" s="1"/>
  <c r="A2081" i="8"/>
  <c r="V2081" i="8" s="1"/>
  <c r="A2082" i="8"/>
  <c r="V2082" i="8" s="1"/>
  <c r="A2083" i="8"/>
  <c r="V2083" i="8" s="1"/>
  <c r="A2084" i="8"/>
  <c r="V2084" i="8" s="1"/>
  <c r="A2085" i="8"/>
  <c r="V2085" i="8" s="1"/>
  <c r="A2086" i="8"/>
  <c r="V2086" i="8" s="1"/>
  <c r="A2087" i="8"/>
  <c r="V2087" i="8" s="1"/>
  <c r="A2088" i="8"/>
  <c r="V2088" i="8" s="1"/>
  <c r="A2089" i="8"/>
  <c r="V2089" i="8" s="1"/>
  <c r="A2090" i="8"/>
  <c r="V2090" i="8" s="1"/>
  <c r="A2091" i="8"/>
  <c r="V2091" i="8" s="1"/>
  <c r="A2092" i="8"/>
  <c r="V2092" i="8" s="1"/>
  <c r="A2093" i="8"/>
  <c r="V2093" i="8" s="1"/>
  <c r="A2094" i="8"/>
  <c r="V2094" i="8" s="1"/>
  <c r="A2095" i="8"/>
  <c r="V2095" i="8" s="1"/>
  <c r="A2096" i="8"/>
  <c r="V2096" i="8" s="1"/>
  <c r="A2097" i="8"/>
  <c r="V2097" i="8" s="1"/>
  <c r="A2098" i="8"/>
  <c r="V2098" i="8" s="1"/>
  <c r="A2099" i="8"/>
  <c r="V2099" i="8" s="1"/>
  <c r="A2100" i="8"/>
  <c r="V2100" i="8" s="1"/>
  <c r="A2101" i="8"/>
  <c r="V2101" i="8" s="1"/>
  <c r="A2102" i="8"/>
  <c r="V2102" i="8" s="1"/>
  <c r="A2103" i="8"/>
  <c r="V2103" i="8" s="1"/>
  <c r="A2104" i="8"/>
  <c r="V2104" i="8" s="1"/>
  <c r="A2105" i="8"/>
  <c r="V2105" i="8" s="1"/>
  <c r="A2106" i="8"/>
  <c r="V2106" i="8" s="1"/>
  <c r="A2107" i="8"/>
  <c r="V2107" i="8" s="1"/>
  <c r="A2108" i="8"/>
  <c r="V2108" i="8" s="1"/>
  <c r="A2109" i="8"/>
  <c r="V2109" i="8" s="1"/>
  <c r="A2110" i="8"/>
  <c r="V2110" i="8" s="1"/>
  <c r="A2111" i="8"/>
  <c r="V2111" i="8" s="1"/>
  <c r="A2112" i="8"/>
  <c r="V2112" i="8" s="1"/>
  <c r="A2113" i="8"/>
  <c r="V2113" i="8" s="1"/>
  <c r="A2114" i="8"/>
  <c r="V2114" i="8" s="1"/>
  <c r="A2115" i="8"/>
  <c r="V2115" i="8" s="1"/>
  <c r="A2116" i="8"/>
  <c r="V2116" i="8" s="1"/>
  <c r="A2117" i="8"/>
  <c r="V2117" i="8" s="1"/>
  <c r="A2118" i="8"/>
  <c r="V2118" i="8" s="1"/>
  <c r="A2119" i="8"/>
  <c r="V2119" i="8" s="1"/>
  <c r="A2120" i="8"/>
  <c r="V2120" i="8" s="1"/>
  <c r="A2121" i="8"/>
  <c r="V2121" i="8" s="1"/>
  <c r="A2122" i="8"/>
  <c r="V2122" i="8" s="1"/>
  <c r="A2123" i="8"/>
  <c r="V2123" i="8" s="1"/>
  <c r="A2124" i="8"/>
  <c r="V2124" i="8" s="1"/>
  <c r="A2125" i="8"/>
  <c r="V2125" i="8" s="1"/>
  <c r="A2126" i="8"/>
  <c r="V2126" i="8" s="1"/>
  <c r="A2127" i="8"/>
  <c r="V2127" i="8" s="1"/>
  <c r="A2128" i="8"/>
  <c r="V2128" i="8" s="1"/>
  <c r="A2129" i="8"/>
  <c r="V2129" i="8" s="1"/>
  <c r="A2130" i="8"/>
  <c r="V2130" i="8" s="1"/>
  <c r="A2131" i="8"/>
  <c r="V2131" i="8" s="1"/>
  <c r="A2132" i="8"/>
  <c r="V2132" i="8" s="1"/>
  <c r="A2133" i="8"/>
  <c r="V2133" i="8" s="1"/>
  <c r="A2134" i="8"/>
  <c r="V2134" i="8" s="1"/>
  <c r="A2135" i="8"/>
  <c r="V2135" i="8" s="1"/>
  <c r="A2136" i="8"/>
  <c r="V2136" i="8" s="1"/>
  <c r="A2137" i="8"/>
  <c r="V2137" i="8" s="1"/>
  <c r="A2138" i="8"/>
  <c r="V2138" i="8" s="1"/>
  <c r="A2139" i="8"/>
  <c r="V2139" i="8" s="1"/>
  <c r="A2140" i="8"/>
  <c r="V2140" i="8" s="1"/>
  <c r="A2141" i="8"/>
  <c r="V2141" i="8" s="1"/>
  <c r="A2142" i="8"/>
  <c r="V2142" i="8" s="1"/>
  <c r="A2143" i="8"/>
  <c r="V2143" i="8" s="1"/>
  <c r="A2144" i="8"/>
  <c r="V2144" i="8" s="1"/>
  <c r="A2145" i="8"/>
  <c r="V2145" i="8" s="1"/>
  <c r="A2146" i="8"/>
  <c r="V2146" i="8" s="1"/>
  <c r="A2147" i="8"/>
  <c r="V2147" i="8" s="1"/>
  <c r="A2148" i="8"/>
  <c r="V2148" i="8" s="1"/>
  <c r="A2149" i="8"/>
  <c r="V2149" i="8" s="1"/>
  <c r="A2150" i="8"/>
  <c r="V2150" i="8" s="1"/>
  <c r="A2151" i="8"/>
  <c r="V2151" i="8" s="1"/>
  <c r="A2152" i="8"/>
  <c r="V2152" i="8" s="1"/>
  <c r="A2153" i="8"/>
  <c r="V2153" i="8" s="1"/>
  <c r="A2154" i="8"/>
  <c r="V2154" i="8" s="1"/>
  <c r="A2155" i="8"/>
  <c r="V2155" i="8" s="1"/>
  <c r="A2156" i="8"/>
  <c r="V2156" i="8" s="1"/>
  <c r="A2157" i="8"/>
  <c r="V2157" i="8" s="1"/>
  <c r="A2158" i="8"/>
  <c r="V2158" i="8" s="1"/>
  <c r="A2159" i="8"/>
  <c r="V2159" i="8" s="1"/>
  <c r="A2160" i="8"/>
  <c r="V2160" i="8" s="1"/>
  <c r="A2161" i="8"/>
  <c r="V2161" i="8" s="1"/>
  <c r="A2162" i="8"/>
  <c r="V2162" i="8" s="1"/>
  <c r="A2163" i="8"/>
  <c r="V2163" i="8" s="1"/>
  <c r="A2164" i="8"/>
  <c r="V2164" i="8" s="1"/>
  <c r="A2165" i="8"/>
  <c r="V2165" i="8" s="1"/>
  <c r="A2166" i="8"/>
  <c r="V2166" i="8" s="1"/>
  <c r="A2167" i="8"/>
  <c r="V2167" i="8" s="1"/>
  <c r="A2168" i="8"/>
  <c r="V2168" i="8" s="1"/>
  <c r="A2169" i="8"/>
  <c r="V2169" i="8" s="1"/>
  <c r="A2170" i="8"/>
  <c r="V2170" i="8" s="1"/>
  <c r="A2171" i="8"/>
  <c r="V2171" i="8" s="1"/>
  <c r="A2172" i="8"/>
  <c r="V2172" i="8" s="1"/>
  <c r="A2173" i="8"/>
  <c r="V2173" i="8" s="1"/>
  <c r="A2174" i="8"/>
  <c r="V2174" i="8" s="1"/>
  <c r="A2175" i="8"/>
  <c r="V2175" i="8" s="1"/>
  <c r="A2176" i="8"/>
  <c r="V2176" i="8" s="1"/>
  <c r="A2177" i="8"/>
  <c r="V2177" i="8" s="1"/>
  <c r="A2178" i="8"/>
  <c r="V2178" i="8" s="1"/>
  <c r="A2179" i="8"/>
  <c r="V2179" i="8" s="1"/>
  <c r="A2180" i="8"/>
  <c r="V2180" i="8" s="1"/>
  <c r="A2181" i="8"/>
  <c r="V2181" i="8" s="1"/>
  <c r="A2182" i="8"/>
  <c r="V2182" i="8" s="1"/>
  <c r="A2183" i="8"/>
  <c r="V2183" i="8" s="1"/>
  <c r="A2184" i="8"/>
  <c r="V2184" i="8" s="1"/>
  <c r="A2185" i="8"/>
  <c r="V2185" i="8" s="1"/>
  <c r="A2186" i="8"/>
  <c r="V2186" i="8" s="1"/>
  <c r="A2187" i="8"/>
  <c r="V2187" i="8" s="1"/>
  <c r="A2188" i="8"/>
  <c r="V2188" i="8" s="1"/>
  <c r="A2189" i="8"/>
  <c r="V2189" i="8" s="1"/>
  <c r="A2190" i="8"/>
  <c r="V2190" i="8" s="1"/>
  <c r="A2191" i="8"/>
  <c r="V2191" i="8" s="1"/>
  <c r="A2192" i="8"/>
  <c r="V2192" i="8" s="1"/>
  <c r="A2193" i="8"/>
  <c r="V2193" i="8" s="1"/>
  <c r="A2194" i="8"/>
  <c r="V2194" i="8" s="1"/>
  <c r="A2195" i="8"/>
  <c r="V2195" i="8" s="1"/>
  <c r="A2196" i="8"/>
  <c r="V2196" i="8" s="1"/>
  <c r="A2197" i="8"/>
  <c r="V2197" i="8" s="1"/>
  <c r="A2198" i="8"/>
  <c r="V2198" i="8" s="1"/>
  <c r="A2199" i="8"/>
  <c r="V2199" i="8" s="1"/>
  <c r="A2200" i="8"/>
  <c r="V2200" i="8" s="1"/>
  <c r="A2201" i="8"/>
  <c r="V2201" i="8" s="1"/>
  <c r="A2202" i="8"/>
  <c r="V2202" i="8" s="1"/>
  <c r="A2203" i="8"/>
  <c r="V2203" i="8" s="1"/>
  <c r="A2204" i="8"/>
  <c r="V2204" i="8" s="1"/>
  <c r="A2205" i="8"/>
  <c r="V2205" i="8" s="1"/>
  <c r="A2206" i="8"/>
  <c r="V2206" i="8" s="1"/>
  <c r="A2207" i="8"/>
  <c r="V2207" i="8" s="1"/>
  <c r="A2208" i="8"/>
  <c r="V2208" i="8" s="1"/>
  <c r="A2209" i="8"/>
  <c r="V2209" i="8" s="1"/>
  <c r="A2210" i="8"/>
  <c r="V2210" i="8" s="1"/>
  <c r="A2211" i="8"/>
  <c r="V2211" i="8" s="1"/>
  <c r="A2212" i="8"/>
  <c r="V2212" i="8" s="1"/>
  <c r="A2213" i="8"/>
  <c r="V2213" i="8" s="1"/>
  <c r="A2214" i="8"/>
  <c r="V2214" i="8" s="1"/>
  <c r="A2215" i="8"/>
  <c r="V2215" i="8" s="1"/>
  <c r="A2216" i="8"/>
  <c r="V2216" i="8" s="1"/>
  <c r="A2217" i="8"/>
  <c r="V2217" i="8" s="1"/>
  <c r="A2218" i="8"/>
  <c r="V2218" i="8" s="1"/>
  <c r="A2219" i="8"/>
  <c r="V2219" i="8" s="1"/>
  <c r="A2220" i="8"/>
  <c r="V2220" i="8" s="1"/>
  <c r="A2221" i="8"/>
  <c r="V2221" i="8" s="1"/>
  <c r="A2222" i="8"/>
  <c r="V2222" i="8" s="1"/>
  <c r="A2223" i="8"/>
  <c r="V2223" i="8" s="1"/>
  <c r="A2224" i="8"/>
  <c r="V2224" i="8" s="1"/>
  <c r="A2225" i="8"/>
  <c r="V2225" i="8" s="1"/>
  <c r="A2226" i="8"/>
  <c r="V2226" i="8" s="1"/>
  <c r="A2227" i="8"/>
  <c r="V2227" i="8" s="1"/>
  <c r="A2228" i="8"/>
  <c r="V2228" i="8" s="1"/>
  <c r="A2229" i="8"/>
  <c r="V2229" i="8" s="1"/>
  <c r="A2230" i="8"/>
  <c r="V2230" i="8" s="1"/>
  <c r="A2231" i="8"/>
  <c r="V2231" i="8" s="1"/>
  <c r="A2232" i="8"/>
  <c r="V2232" i="8" s="1"/>
  <c r="A2233" i="8"/>
  <c r="V2233" i="8" s="1"/>
  <c r="A2234" i="8"/>
  <c r="V2234" i="8" s="1"/>
  <c r="A2235" i="8"/>
  <c r="V2235" i="8" s="1"/>
  <c r="A2236" i="8"/>
  <c r="V2236" i="8" s="1"/>
  <c r="A2237" i="8"/>
  <c r="V2237" i="8" s="1"/>
  <c r="A2238" i="8"/>
  <c r="V2238" i="8" s="1"/>
  <c r="A2239" i="8"/>
  <c r="V2239" i="8" s="1"/>
  <c r="A2240" i="8"/>
  <c r="V2240" i="8" s="1"/>
  <c r="A2241" i="8"/>
  <c r="V2241" i="8" s="1"/>
  <c r="A2242" i="8"/>
  <c r="V2242" i="8" s="1"/>
  <c r="A2243" i="8"/>
  <c r="V2243" i="8" s="1"/>
  <c r="A2244" i="8"/>
  <c r="V2244" i="8" s="1"/>
  <c r="A2245" i="8"/>
  <c r="V2245" i="8" s="1"/>
  <c r="A2246" i="8"/>
  <c r="V2246" i="8" s="1"/>
  <c r="A2247" i="8"/>
  <c r="V2247" i="8" s="1"/>
  <c r="A2248" i="8"/>
  <c r="V2248" i="8" s="1"/>
  <c r="A2249" i="8"/>
  <c r="V2249" i="8" s="1"/>
  <c r="A2250" i="8"/>
  <c r="V2250" i="8" s="1"/>
  <c r="A2251" i="8"/>
  <c r="V2251" i="8" s="1"/>
  <c r="A2252" i="8"/>
  <c r="V2252" i="8" s="1"/>
  <c r="A2253" i="8"/>
  <c r="V2253" i="8" s="1"/>
  <c r="A2254" i="8"/>
  <c r="V2254" i="8" s="1"/>
  <c r="A2255" i="8"/>
  <c r="V2255" i="8" s="1"/>
  <c r="A2256" i="8"/>
  <c r="V2256" i="8" s="1"/>
  <c r="A2257" i="8"/>
  <c r="V2257" i="8" s="1"/>
  <c r="A2258" i="8"/>
  <c r="V2258" i="8" s="1"/>
  <c r="A2259" i="8"/>
  <c r="V2259" i="8" s="1"/>
  <c r="A2260" i="8"/>
  <c r="V2260" i="8" s="1"/>
  <c r="A2261" i="8"/>
  <c r="V2261" i="8" s="1"/>
  <c r="A2262" i="8"/>
  <c r="V2262" i="8" s="1"/>
  <c r="A2263" i="8"/>
  <c r="V2263" i="8" s="1"/>
  <c r="A2264" i="8"/>
  <c r="V2264" i="8" s="1"/>
  <c r="A2265" i="8"/>
  <c r="V2265" i="8" s="1"/>
  <c r="A2266" i="8"/>
  <c r="V2266" i="8" s="1"/>
  <c r="A2267" i="8"/>
  <c r="V2267" i="8" s="1"/>
  <c r="A2268" i="8"/>
  <c r="V2268" i="8" s="1"/>
  <c r="A2269" i="8"/>
  <c r="V2269" i="8" s="1"/>
  <c r="A2270" i="8"/>
  <c r="V2270" i="8" s="1"/>
  <c r="A2271" i="8"/>
  <c r="V2271" i="8" s="1"/>
  <c r="A2272" i="8"/>
  <c r="V2272" i="8" s="1"/>
  <c r="A2273" i="8"/>
  <c r="V2273" i="8" s="1"/>
  <c r="A2274" i="8"/>
  <c r="V2274" i="8" s="1"/>
  <c r="A2275" i="8"/>
  <c r="V2275" i="8" s="1"/>
  <c r="A2276" i="8"/>
  <c r="V2276" i="8" s="1"/>
  <c r="A2277" i="8"/>
  <c r="V2277" i="8" s="1"/>
  <c r="A2278" i="8"/>
  <c r="V2278" i="8" s="1"/>
  <c r="A2279" i="8"/>
  <c r="V2279" i="8" s="1"/>
  <c r="A2280" i="8"/>
  <c r="V2280" i="8" s="1"/>
  <c r="A2281" i="8"/>
  <c r="V2281" i="8" s="1"/>
  <c r="A2282" i="8"/>
  <c r="V2282" i="8" s="1"/>
  <c r="A2283" i="8"/>
  <c r="V2283" i="8" s="1"/>
  <c r="A2284" i="8"/>
  <c r="V2284" i="8" s="1"/>
  <c r="A2285" i="8"/>
  <c r="V2285" i="8" s="1"/>
  <c r="A2286" i="8"/>
  <c r="V2286" i="8" s="1"/>
  <c r="A2287" i="8"/>
  <c r="V2287" i="8" s="1"/>
  <c r="A2288" i="8"/>
  <c r="V2288" i="8" s="1"/>
  <c r="A2289" i="8"/>
  <c r="V2289" i="8" s="1"/>
  <c r="A2290" i="8"/>
  <c r="V2290" i="8" s="1"/>
  <c r="A2291" i="8"/>
  <c r="V2291" i="8" s="1"/>
  <c r="A2292" i="8"/>
  <c r="V2292" i="8" s="1"/>
  <c r="A2293" i="8"/>
  <c r="V2293" i="8" s="1"/>
  <c r="A2294" i="8"/>
  <c r="V2294" i="8" s="1"/>
  <c r="A2295" i="8"/>
  <c r="V2295" i="8" s="1"/>
  <c r="A2296" i="8"/>
  <c r="V2296" i="8" s="1"/>
  <c r="A2297" i="8"/>
  <c r="V2297" i="8" s="1"/>
  <c r="A2298" i="8"/>
  <c r="V2298" i="8" s="1"/>
  <c r="A2299" i="8"/>
  <c r="V2299" i="8" s="1"/>
  <c r="A2300" i="8"/>
  <c r="V2300" i="8" s="1"/>
  <c r="A2301" i="8"/>
  <c r="V2301" i="8" s="1"/>
  <c r="A2302" i="8"/>
  <c r="V2302" i="8" s="1"/>
  <c r="A2303" i="8"/>
  <c r="V2303" i="8" s="1"/>
  <c r="A2304" i="8"/>
  <c r="V2304" i="8" s="1"/>
  <c r="A2305" i="8"/>
  <c r="V2305" i="8" s="1"/>
  <c r="A2306" i="8"/>
  <c r="V2306" i="8" s="1"/>
  <c r="A2307" i="8"/>
  <c r="V2307" i="8" s="1"/>
  <c r="A2308" i="8"/>
  <c r="V2308" i="8" s="1"/>
  <c r="A2309" i="8"/>
  <c r="V2309" i="8" s="1"/>
  <c r="A2310" i="8"/>
  <c r="V2310" i="8" s="1"/>
  <c r="A2311" i="8"/>
  <c r="V2311" i="8" s="1"/>
  <c r="A2312" i="8"/>
  <c r="V2312" i="8" s="1"/>
  <c r="A2313" i="8"/>
  <c r="V2313" i="8" s="1"/>
  <c r="A2314" i="8"/>
  <c r="V2314" i="8" s="1"/>
  <c r="A2315" i="8"/>
  <c r="V2315" i="8" s="1"/>
  <c r="A2316" i="8"/>
  <c r="V2316" i="8" s="1"/>
  <c r="A2317" i="8"/>
  <c r="V2317" i="8" s="1"/>
  <c r="A2318" i="8"/>
  <c r="V2318" i="8" s="1"/>
  <c r="A2319" i="8"/>
  <c r="V2319" i="8" s="1"/>
  <c r="A2320" i="8"/>
  <c r="V2320" i="8" s="1"/>
  <c r="A2321" i="8"/>
  <c r="V2321" i="8" s="1"/>
  <c r="A2322" i="8"/>
  <c r="V2322" i="8" s="1"/>
  <c r="A2323" i="8"/>
  <c r="V2323" i="8" s="1"/>
  <c r="A2324" i="8"/>
  <c r="V2324" i="8" s="1"/>
  <c r="A2325" i="8"/>
  <c r="V2325" i="8" s="1"/>
  <c r="A2326" i="8"/>
  <c r="V2326" i="8" s="1"/>
  <c r="A2327" i="8"/>
  <c r="V2327" i="8" s="1"/>
  <c r="A2328" i="8"/>
  <c r="V2328" i="8" s="1"/>
  <c r="A2329" i="8"/>
  <c r="V2329" i="8" s="1"/>
  <c r="A2330" i="8"/>
  <c r="V2330" i="8" s="1"/>
  <c r="A2331" i="8"/>
  <c r="V2331" i="8" s="1"/>
  <c r="A2332" i="8"/>
  <c r="V2332" i="8" s="1"/>
  <c r="A2333" i="8"/>
  <c r="V2333" i="8" s="1"/>
  <c r="A2334" i="8"/>
  <c r="V2334" i="8" s="1"/>
  <c r="A2335" i="8"/>
  <c r="V2335" i="8" s="1"/>
  <c r="A2336" i="8"/>
  <c r="V2336" i="8" s="1"/>
  <c r="A2337" i="8"/>
  <c r="V2337" i="8" s="1"/>
  <c r="A2338" i="8"/>
  <c r="V2338" i="8" s="1"/>
  <c r="A2339" i="8"/>
  <c r="V2339" i="8" s="1"/>
  <c r="A2340" i="8"/>
  <c r="V2340" i="8" s="1"/>
  <c r="A2341" i="8"/>
  <c r="V2341" i="8" s="1"/>
  <c r="A2342" i="8"/>
  <c r="V2342" i="8" s="1"/>
  <c r="A2343" i="8"/>
  <c r="V2343" i="8" s="1"/>
  <c r="A2344" i="8"/>
  <c r="V2344" i="8" s="1"/>
  <c r="A2345" i="8"/>
  <c r="V2345" i="8" s="1"/>
  <c r="A2346" i="8"/>
  <c r="V2346" i="8" s="1"/>
  <c r="A2347" i="8"/>
  <c r="V2347" i="8" s="1"/>
  <c r="A2348" i="8"/>
  <c r="V2348" i="8" s="1"/>
  <c r="A2349" i="8"/>
  <c r="V2349" i="8" s="1"/>
  <c r="A2350" i="8"/>
  <c r="V2350" i="8" s="1"/>
  <c r="A2351" i="8"/>
  <c r="V2351" i="8" s="1"/>
  <c r="A2352" i="8"/>
  <c r="V2352" i="8" s="1"/>
  <c r="A2353" i="8"/>
  <c r="V2353" i="8" s="1"/>
  <c r="A2354" i="8"/>
  <c r="V2354" i="8" s="1"/>
  <c r="A2355" i="8"/>
  <c r="V2355" i="8" s="1"/>
  <c r="A2356" i="8"/>
  <c r="V2356" i="8" s="1"/>
  <c r="A2357" i="8"/>
  <c r="V2357" i="8" s="1"/>
  <c r="A2358" i="8"/>
  <c r="V2358" i="8" s="1"/>
  <c r="A2359" i="8"/>
  <c r="V2359" i="8" s="1"/>
  <c r="A2360" i="8"/>
  <c r="V2360" i="8" s="1"/>
  <c r="A2361" i="8"/>
  <c r="V2361" i="8" s="1"/>
  <c r="A2362" i="8"/>
  <c r="V2362" i="8" s="1"/>
  <c r="A2363" i="8"/>
  <c r="V2363" i="8" s="1"/>
  <c r="A2364" i="8"/>
  <c r="V2364" i="8" s="1"/>
  <c r="A2365" i="8"/>
  <c r="V2365" i="8" s="1"/>
  <c r="A2366" i="8"/>
  <c r="V2366" i="8" s="1"/>
  <c r="A2367" i="8"/>
  <c r="V2367" i="8" s="1"/>
  <c r="A2368" i="8"/>
  <c r="V2368" i="8" s="1"/>
  <c r="A2369" i="8"/>
  <c r="V2369" i="8" s="1"/>
  <c r="A2370" i="8"/>
  <c r="V2370" i="8" s="1"/>
  <c r="A2371" i="8"/>
  <c r="V2371" i="8" s="1"/>
  <c r="A2372" i="8"/>
  <c r="V2372" i="8" s="1"/>
  <c r="A2373" i="8"/>
  <c r="V2373" i="8" s="1"/>
  <c r="A2374" i="8"/>
  <c r="V2374" i="8" s="1"/>
  <c r="A2375" i="8"/>
  <c r="V2375" i="8" s="1"/>
  <c r="A2376" i="8"/>
  <c r="V2376" i="8" s="1"/>
  <c r="A2377" i="8"/>
  <c r="V2377" i="8" s="1"/>
  <c r="A2378" i="8"/>
  <c r="V2378" i="8" s="1"/>
  <c r="A2379" i="8"/>
  <c r="V2379" i="8" s="1"/>
  <c r="A2380" i="8"/>
  <c r="V2380" i="8" s="1"/>
  <c r="A2381" i="8"/>
  <c r="V2381" i="8" s="1"/>
  <c r="A2382" i="8"/>
  <c r="V2382" i="8" s="1"/>
  <c r="A2383" i="8"/>
  <c r="V2383" i="8" s="1"/>
  <c r="A2384" i="8"/>
  <c r="V2384" i="8" s="1"/>
  <c r="A2385" i="8"/>
  <c r="V2385" i="8" s="1"/>
  <c r="A2386" i="8"/>
  <c r="V2386" i="8" s="1"/>
  <c r="A2387" i="8"/>
  <c r="V2387" i="8" s="1"/>
  <c r="A2388" i="8"/>
  <c r="V2388" i="8" s="1"/>
  <c r="A2389" i="8"/>
  <c r="V2389" i="8" s="1"/>
  <c r="A2390" i="8"/>
  <c r="V2390" i="8" s="1"/>
  <c r="A2391" i="8"/>
  <c r="V2391" i="8" s="1"/>
  <c r="A2392" i="8"/>
  <c r="V2392" i="8" s="1"/>
  <c r="A2393" i="8"/>
  <c r="V2393" i="8" s="1"/>
  <c r="A2394" i="8"/>
  <c r="V2394" i="8" s="1"/>
  <c r="A2395" i="8"/>
  <c r="V2395" i="8" s="1"/>
  <c r="A2396" i="8"/>
  <c r="V2396" i="8" s="1"/>
  <c r="A2397" i="8"/>
  <c r="V2397" i="8" s="1"/>
  <c r="A2398" i="8"/>
  <c r="V2398" i="8" s="1"/>
  <c r="A2399" i="8"/>
  <c r="V2399" i="8" s="1"/>
  <c r="A2400" i="8"/>
  <c r="V2400" i="8" s="1"/>
  <c r="A2401" i="8"/>
  <c r="V2401" i="8" s="1"/>
  <c r="A2402" i="8"/>
  <c r="V2402" i="8" s="1"/>
  <c r="A2403" i="8"/>
  <c r="V2403" i="8" s="1"/>
  <c r="A2404" i="8"/>
  <c r="V2404" i="8" s="1"/>
  <c r="A2405" i="8"/>
  <c r="V2405" i="8" s="1"/>
  <c r="A2406" i="8"/>
  <c r="V2406" i="8" s="1"/>
  <c r="A2407" i="8"/>
  <c r="V2407" i="8" s="1"/>
  <c r="A2408" i="8"/>
  <c r="V2408" i="8" s="1"/>
  <c r="A2409" i="8"/>
  <c r="V2409" i="8" s="1"/>
  <c r="A2410" i="8"/>
  <c r="V2410" i="8" s="1"/>
  <c r="A2411" i="8"/>
  <c r="V2411" i="8" s="1"/>
  <c r="A2412" i="8"/>
  <c r="V2412" i="8" s="1"/>
  <c r="A2413" i="8"/>
  <c r="V2413" i="8" s="1"/>
  <c r="A2414" i="8"/>
  <c r="V2414" i="8" s="1"/>
  <c r="A2415" i="8"/>
  <c r="V2415" i="8" s="1"/>
  <c r="A2416" i="8"/>
  <c r="V2416" i="8" s="1"/>
  <c r="A2417" i="8"/>
  <c r="V2417" i="8" s="1"/>
  <c r="A2418" i="8"/>
  <c r="V2418" i="8" s="1"/>
  <c r="A2419" i="8"/>
  <c r="V2419" i="8" s="1"/>
  <c r="A2420" i="8"/>
  <c r="V2420" i="8" s="1"/>
  <c r="A2421" i="8"/>
  <c r="V2421" i="8" s="1"/>
  <c r="A2422" i="8"/>
  <c r="V2422" i="8" s="1"/>
  <c r="A2423" i="8"/>
  <c r="V2423" i="8" s="1"/>
  <c r="A2424" i="8"/>
  <c r="V2424" i="8" s="1"/>
  <c r="A2425" i="8"/>
  <c r="V2425" i="8" s="1"/>
  <c r="A2426" i="8"/>
  <c r="V2426" i="8" s="1"/>
  <c r="A2427" i="8"/>
  <c r="V2427" i="8" s="1"/>
  <c r="A2428" i="8"/>
  <c r="V2428" i="8" s="1"/>
  <c r="A2429" i="8"/>
  <c r="V2429" i="8" s="1"/>
  <c r="A2430" i="8"/>
  <c r="V2430" i="8" s="1"/>
  <c r="A2431" i="8"/>
  <c r="V2431" i="8" s="1"/>
  <c r="A2432" i="8"/>
  <c r="V2432" i="8" s="1"/>
  <c r="A2433" i="8"/>
  <c r="V2433" i="8" s="1"/>
  <c r="A2434" i="8"/>
  <c r="V2434" i="8" s="1"/>
  <c r="A2435" i="8"/>
  <c r="V2435" i="8" s="1"/>
  <c r="A2436" i="8"/>
  <c r="V2436" i="8" s="1"/>
  <c r="A2437" i="8"/>
  <c r="V2437" i="8" s="1"/>
  <c r="A2438" i="8"/>
  <c r="V2438" i="8" s="1"/>
  <c r="A2439" i="8"/>
  <c r="V2439" i="8" s="1"/>
  <c r="A2440" i="8"/>
  <c r="V2440" i="8" s="1"/>
  <c r="A2441" i="8"/>
  <c r="V2441" i="8" s="1"/>
  <c r="A2442" i="8"/>
  <c r="V2442" i="8" s="1"/>
  <c r="A2443" i="8"/>
  <c r="V2443" i="8" s="1"/>
  <c r="A2444" i="8"/>
  <c r="V2444" i="8" s="1"/>
  <c r="A2445" i="8"/>
  <c r="V2445" i="8" s="1"/>
  <c r="A2446" i="8"/>
  <c r="V2446" i="8" s="1"/>
  <c r="A2447" i="8"/>
  <c r="V2447" i="8" s="1"/>
  <c r="A2448" i="8"/>
  <c r="V2448" i="8" s="1"/>
  <c r="A2449" i="8"/>
  <c r="V2449" i="8" s="1"/>
  <c r="A2450" i="8"/>
  <c r="V2450" i="8" s="1"/>
  <c r="A2451" i="8"/>
  <c r="V2451" i="8" s="1"/>
  <c r="A2452" i="8"/>
  <c r="V2452" i="8" s="1"/>
  <c r="A2453" i="8"/>
  <c r="V2453" i="8" s="1"/>
  <c r="A2454" i="8"/>
  <c r="V2454" i="8" s="1"/>
  <c r="A2455" i="8"/>
  <c r="V2455" i="8" s="1"/>
  <c r="A2456" i="8"/>
  <c r="V2456" i="8" s="1"/>
  <c r="A2457" i="8"/>
  <c r="V2457" i="8" s="1"/>
  <c r="A2458" i="8"/>
  <c r="V2458" i="8" s="1"/>
  <c r="A2459" i="8"/>
  <c r="V2459" i="8" s="1"/>
  <c r="A2460" i="8"/>
  <c r="V2460" i="8" s="1"/>
  <c r="A2461" i="8"/>
  <c r="V2461" i="8" s="1"/>
  <c r="A2462" i="8"/>
  <c r="V2462" i="8" s="1"/>
  <c r="A2463" i="8"/>
  <c r="V2463" i="8" s="1"/>
  <c r="A2464" i="8"/>
  <c r="V2464" i="8" s="1"/>
  <c r="A2465" i="8"/>
  <c r="V2465" i="8" s="1"/>
  <c r="A2466" i="8"/>
  <c r="V2466" i="8" s="1"/>
  <c r="A2467" i="8"/>
  <c r="V2467" i="8" s="1"/>
  <c r="A2468" i="8"/>
  <c r="V2468" i="8" s="1"/>
  <c r="A2469" i="8"/>
  <c r="V2469" i="8" s="1"/>
  <c r="A2470" i="8"/>
  <c r="V2470" i="8" s="1"/>
  <c r="A2471" i="8"/>
  <c r="V2471" i="8" s="1"/>
  <c r="A2472" i="8"/>
  <c r="V2472" i="8" s="1"/>
  <c r="A2473" i="8"/>
  <c r="V2473" i="8" s="1"/>
  <c r="A2474" i="8"/>
  <c r="V2474" i="8" s="1"/>
  <c r="A2475" i="8"/>
  <c r="V2475" i="8" s="1"/>
  <c r="A2476" i="8"/>
  <c r="V2476" i="8" s="1"/>
  <c r="A2477" i="8"/>
  <c r="V2477" i="8" s="1"/>
  <c r="A2478" i="8"/>
  <c r="V2478" i="8" s="1"/>
  <c r="A2479" i="8"/>
  <c r="V2479" i="8" s="1"/>
  <c r="A2480" i="8"/>
  <c r="V2480" i="8" s="1"/>
  <c r="A2481" i="8"/>
  <c r="V2481" i="8" s="1"/>
  <c r="A2482" i="8"/>
  <c r="V2482" i="8" s="1"/>
  <c r="A2483" i="8"/>
  <c r="V2483" i="8" s="1"/>
  <c r="A2484" i="8"/>
  <c r="V2484" i="8" s="1"/>
  <c r="A2485" i="8"/>
  <c r="V2485" i="8" s="1"/>
  <c r="A2486" i="8"/>
  <c r="V2486" i="8" s="1"/>
  <c r="A2487" i="8"/>
  <c r="V2487" i="8" s="1"/>
  <c r="A2488" i="8"/>
  <c r="V2488" i="8" s="1"/>
  <c r="A2489" i="8"/>
  <c r="V2489" i="8" s="1"/>
  <c r="A2490" i="8"/>
  <c r="V2490" i="8" s="1"/>
  <c r="A2491" i="8"/>
  <c r="V2491" i="8" s="1"/>
  <c r="A2492" i="8"/>
  <c r="V2492" i="8" s="1"/>
  <c r="A2493" i="8"/>
  <c r="V2493" i="8" s="1"/>
  <c r="A2494" i="8"/>
  <c r="V2494" i="8" s="1"/>
  <c r="A2495" i="8"/>
  <c r="V2495" i="8" s="1"/>
  <c r="A2496" i="8"/>
  <c r="V2496" i="8" s="1"/>
  <c r="A2497" i="8"/>
  <c r="V2497" i="8" s="1"/>
  <c r="A2498" i="8"/>
  <c r="V2498" i="8" s="1"/>
  <c r="A2499" i="8"/>
  <c r="V2499" i="8" s="1"/>
  <c r="A2500" i="8"/>
  <c r="V2500" i="8" s="1"/>
  <c r="A2501" i="8"/>
  <c r="V2501" i="8" s="1"/>
  <c r="A2502" i="8"/>
  <c r="V2502" i="8" s="1"/>
  <c r="A2503" i="8"/>
  <c r="V2503" i="8" s="1"/>
  <c r="A2504" i="8"/>
  <c r="V2504" i="8" s="1"/>
  <c r="A2505" i="8"/>
  <c r="V2505" i="8" s="1"/>
  <c r="A2506" i="8"/>
  <c r="V2506" i="8" s="1"/>
  <c r="A2507" i="8"/>
  <c r="V2507" i="8" s="1"/>
  <c r="A2508" i="8"/>
  <c r="V2508" i="8" s="1"/>
  <c r="A2509" i="8"/>
  <c r="V2509" i="8" s="1"/>
  <c r="A2510" i="8"/>
  <c r="V2510" i="8" s="1"/>
  <c r="A2511" i="8"/>
  <c r="V2511" i="8" s="1"/>
  <c r="A2512" i="8"/>
  <c r="V2512" i="8" s="1"/>
  <c r="A2513" i="8"/>
  <c r="V2513" i="8" s="1"/>
  <c r="A2514" i="8"/>
  <c r="V2514" i="8" s="1"/>
  <c r="A2515" i="8"/>
  <c r="V2515" i="8" s="1"/>
  <c r="A2516" i="8"/>
  <c r="V2516" i="8" s="1"/>
  <c r="A2517" i="8"/>
  <c r="V2517" i="8" s="1"/>
  <c r="A2518" i="8"/>
  <c r="V2518" i="8" s="1"/>
  <c r="A2519" i="8"/>
  <c r="V2519" i="8" s="1"/>
  <c r="A2520" i="8"/>
  <c r="V2520" i="8" s="1"/>
  <c r="A2521" i="8"/>
  <c r="V2521" i="8" s="1"/>
  <c r="A2522" i="8"/>
  <c r="V2522" i="8" s="1"/>
  <c r="A2523" i="8"/>
  <c r="V2523" i="8" s="1"/>
  <c r="A2524" i="8"/>
  <c r="V2524" i="8" s="1"/>
  <c r="A2525" i="8"/>
  <c r="V2525" i="8" s="1"/>
  <c r="A2526" i="8"/>
  <c r="V2526" i="8" s="1"/>
  <c r="A2527" i="8"/>
  <c r="V2527" i="8" s="1"/>
  <c r="A2528" i="8"/>
  <c r="V2528" i="8" s="1"/>
  <c r="A2529" i="8"/>
  <c r="V2529" i="8" s="1"/>
  <c r="A2530" i="8"/>
  <c r="V2530" i="8" s="1"/>
  <c r="A2531" i="8"/>
  <c r="V2531" i="8" s="1"/>
  <c r="A2532" i="8"/>
  <c r="V2532" i="8" s="1"/>
  <c r="A2533" i="8"/>
  <c r="V2533" i="8" s="1"/>
  <c r="A2534" i="8"/>
  <c r="V2534" i="8" s="1"/>
  <c r="A2535" i="8"/>
  <c r="V2535" i="8" s="1"/>
  <c r="A2536" i="8"/>
  <c r="V2536" i="8" s="1"/>
  <c r="A2537" i="8"/>
  <c r="V2537" i="8" s="1"/>
  <c r="A2538" i="8"/>
  <c r="V2538" i="8" s="1"/>
  <c r="A2539" i="8"/>
  <c r="V2539" i="8" s="1"/>
  <c r="A2540" i="8"/>
  <c r="V2540" i="8" s="1"/>
  <c r="A2541" i="8"/>
  <c r="V2541" i="8" s="1"/>
  <c r="A2542" i="8"/>
  <c r="V2542" i="8" s="1"/>
  <c r="A2543" i="8"/>
  <c r="V2543" i="8" s="1"/>
  <c r="A2544" i="8"/>
  <c r="V2544" i="8" s="1"/>
  <c r="A2545" i="8"/>
  <c r="V2545" i="8" s="1"/>
  <c r="A2546" i="8"/>
  <c r="V2546" i="8" s="1"/>
  <c r="A2547" i="8"/>
  <c r="V2547" i="8" s="1"/>
  <c r="A2548" i="8"/>
  <c r="V2548" i="8" s="1"/>
  <c r="A2549" i="8"/>
  <c r="V2549" i="8" s="1"/>
  <c r="A2550" i="8"/>
  <c r="V2550" i="8" s="1"/>
  <c r="A2551" i="8"/>
  <c r="V2551" i="8" s="1"/>
  <c r="A2552" i="8"/>
  <c r="V2552" i="8" s="1"/>
  <c r="A2553" i="8"/>
  <c r="V2553" i="8" s="1"/>
  <c r="A2554" i="8"/>
  <c r="V2554" i="8" s="1"/>
  <c r="A2555" i="8"/>
  <c r="V2555" i="8" s="1"/>
  <c r="A2556" i="8"/>
  <c r="V2556" i="8" s="1"/>
  <c r="A2557" i="8"/>
  <c r="V2557" i="8" s="1"/>
  <c r="A2558" i="8"/>
  <c r="V2558" i="8" s="1"/>
  <c r="A2559" i="8"/>
  <c r="V2559" i="8" s="1"/>
  <c r="A2560" i="8"/>
  <c r="V2560" i="8" s="1"/>
  <c r="A2561" i="8"/>
  <c r="V2561" i="8" s="1"/>
  <c r="A2562" i="8"/>
  <c r="V2562" i="8" s="1"/>
  <c r="A2563" i="8"/>
  <c r="V2563" i="8" s="1"/>
  <c r="A2564" i="8"/>
  <c r="V2564" i="8" s="1"/>
  <c r="A2565" i="8"/>
  <c r="V2565" i="8" s="1"/>
  <c r="A2566" i="8"/>
  <c r="V2566" i="8" s="1"/>
  <c r="A2567" i="8"/>
  <c r="V2567" i="8" s="1"/>
  <c r="A2568" i="8"/>
  <c r="V2568" i="8" s="1"/>
  <c r="A2569" i="8"/>
  <c r="V2569" i="8" s="1"/>
  <c r="A2570" i="8"/>
  <c r="V2570" i="8" s="1"/>
  <c r="A2571" i="8"/>
  <c r="V2571" i="8" s="1"/>
  <c r="A2572" i="8"/>
  <c r="V2572" i="8" s="1"/>
  <c r="A2573" i="8"/>
  <c r="V2573" i="8" s="1"/>
  <c r="A2574" i="8"/>
  <c r="V2574" i="8" s="1"/>
  <c r="A2575" i="8"/>
  <c r="V2575" i="8" s="1"/>
  <c r="A2576" i="8"/>
  <c r="V2576" i="8" s="1"/>
  <c r="A2577" i="8"/>
  <c r="V2577" i="8" s="1"/>
  <c r="A2578" i="8"/>
  <c r="V2578" i="8" s="1"/>
  <c r="A2579" i="8"/>
  <c r="V2579" i="8" s="1"/>
  <c r="A2580" i="8"/>
  <c r="V2580" i="8" s="1"/>
  <c r="A2581" i="8"/>
  <c r="V2581" i="8" s="1"/>
  <c r="A2582" i="8"/>
  <c r="V2582" i="8" s="1"/>
  <c r="A2583" i="8"/>
  <c r="V2583" i="8" s="1"/>
  <c r="A2584" i="8"/>
  <c r="V2584" i="8" s="1"/>
  <c r="A2585" i="8"/>
  <c r="V2585" i="8" s="1"/>
  <c r="A2586" i="8"/>
  <c r="V2586" i="8" s="1"/>
  <c r="A2587" i="8"/>
  <c r="V2587" i="8" s="1"/>
  <c r="A2588" i="8"/>
  <c r="V2588" i="8" s="1"/>
  <c r="A2589" i="8"/>
  <c r="V2589" i="8" s="1"/>
  <c r="A2590" i="8"/>
  <c r="V2590" i="8" s="1"/>
  <c r="A2591" i="8"/>
  <c r="V2591" i="8" s="1"/>
  <c r="A2592" i="8"/>
  <c r="V2592" i="8" s="1"/>
  <c r="A2593" i="8"/>
  <c r="V2593" i="8" s="1"/>
  <c r="A2594" i="8"/>
  <c r="V2594" i="8" s="1"/>
  <c r="A2595" i="8"/>
  <c r="V2595" i="8" s="1"/>
  <c r="A2596" i="8"/>
  <c r="V2596" i="8" s="1"/>
  <c r="A2597" i="8"/>
  <c r="V2597" i="8" s="1"/>
  <c r="A2598" i="8"/>
  <c r="V2598" i="8" s="1"/>
  <c r="A2599" i="8"/>
  <c r="V2599" i="8" s="1"/>
  <c r="A2600" i="8"/>
  <c r="V2600" i="8" s="1"/>
  <c r="A2601" i="8"/>
  <c r="V2601" i="8" s="1"/>
  <c r="A2602" i="8"/>
  <c r="V2602" i="8" s="1"/>
  <c r="A2603" i="8"/>
  <c r="V2603" i="8" s="1"/>
  <c r="A2604" i="8"/>
  <c r="V2604" i="8" s="1"/>
  <c r="A2605" i="8"/>
  <c r="V2605" i="8" s="1"/>
  <c r="A2606" i="8"/>
  <c r="V2606" i="8" s="1"/>
  <c r="A2607" i="8"/>
  <c r="V2607" i="8" s="1"/>
  <c r="A2608" i="8"/>
  <c r="V2608" i="8" s="1"/>
  <c r="A2609" i="8"/>
  <c r="V2609" i="8" s="1"/>
  <c r="A2610" i="8"/>
  <c r="V2610" i="8" s="1"/>
  <c r="A2611" i="8"/>
  <c r="V2611" i="8" s="1"/>
  <c r="A2612" i="8"/>
  <c r="V2612" i="8" s="1"/>
  <c r="A2613" i="8"/>
  <c r="V2613" i="8" s="1"/>
  <c r="A2614" i="8"/>
  <c r="V2614" i="8" s="1"/>
  <c r="A2615" i="8"/>
  <c r="V2615" i="8" s="1"/>
  <c r="A2616" i="8"/>
  <c r="V2616" i="8" s="1"/>
  <c r="A2617" i="8"/>
  <c r="V2617" i="8" s="1"/>
  <c r="A2618" i="8"/>
  <c r="V2618" i="8" s="1"/>
  <c r="A2619" i="8"/>
  <c r="V2619" i="8" s="1"/>
  <c r="A2620" i="8"/>
  <c r="V2620" i="8" s="1"/>
  <c r="A2621" i="8"/>
  <c r="V2621" i="8" s="1"/>
  <c r="A2622" i="8"/>
  <c r="V2622" i="8" s="1"/>
  <c r="A2623" i="8"/>
  <c r="V2623" i="8" s="1"/>
  <c r="A2624" i="8"/>
  <c r="V2624" i="8" s="1"/>
  <c r="A2625" i="8"/>
  <c r="V2625" i="8" s="1"/>
  <c r="A2626" i="8"/>
  <c r="V2626" i="8" s="1"/>
  <c r="A2627" i="8"/>
  <c r="V2627" i="8" s="1"/>
  <c r="A2628" i="8"/>
  <c r="V2628" i="8" s="1"/>
  <c r="A2629" i="8"/>
  <c r="V2629" i="8" s="1"/>
  <c r="A2630" i="8"/>
  <c r="V2630" i="8" s="1"/>
  <c r="A2631" i="8"/>
  <c r="V2631" i="8" s="1"/>
  <c r="A2632" i="8"/>
  <c r="V2632" i="8" s="1"/>
  <c r="A2633" i="8"/>
  <c r="V2633" i="8" s="1"/>
  <c r="A2634" i="8"/>
  <c r="V2634" i="8" s="1"/>
  <c r="A2635" i="8"/>
  <c r="V2635" i="8" s="1"/>
  <c r="A2636" i="8"/>
  <c r="V2636" i="8" s="1"/>
  <c r="A2637" i="8"/>
  <c r="V2637" i="8" s="1"/>
  <c r="A2638" i="8"/>
  <c r="V2638" i="8" s="1"/>
  <c r="A2639" i="8"/>
  <c r="V2639" i="8" s="1"/>
  <c r="A2640" i="8"/>
  <c r="V2640" i="8" s="1"/>
  <c r="A2641" i="8"/>
  <c r="V2641" i="8" s="1"/>
  <c r="A2642" i="8"/>
  <c r="V2642" i="8" s="1"/>
  <c r="A2643" i="8"/>
  <c r="V2643" i="8" s="1"/>
  <c r="A2644" i="8"/>
  <c r="V2644" i="8" s="1"/>
  <c r="A2645" i="8"/>
  <c r="V2645" i="8" s="1"/>
  <c r="A2646" i="8"/>
  <c r="V2646" i="8" s="1"/>
  <c r="A2647" i="8"/>
  <c r="V2647" i="8" s="1"/>
  <c r="A2648" i="8"/>
  <c r="V2648" i="8" s="1"/>
  <c r="A2649" i="8"/>
  <c r="V2649" i="8" s="1"/>
  <c r="A2650" i="8"/>
  <c r="V2650" i="8" s="1"/>
  <c r="A2651" i="8"/>
  <c r="V2651" i="8" s="1"/>
  <c r="A2652" i="8"/>
  <c r="V2652" i="8" s="1"/>
  <c r="A2653" i="8"/>
  <c r="V2653" i="8" s="1"/>
  <c r="A2654" i="8"/>
  <c r="V2654" i="8" s="1"/>
  <c r="A2655" i="8"/>
  <c r="V2655" i="8" s="1"/>
  <c r="A2656" i="8"/>
  <c r="V2656" i="8" s="1"/>
  <c r="A2657" i="8"/>
  <c r="V2657" i="8" s="1"/>
  <c r="A2658" i="8"/>
  <c r="V2658" i="8" s="1"/>
  <c r="A2659" i="8"/>
  <c r="V2659" i="8" s="1"/>
  <c r="A2660" i="8"/>
  <c r="V2660" i="8" s="1"/>
  <c r="A2661" i="8"/>
  <c r="V2661" i="8" s="1"/>
  <c r="A2662" i="8"/>
  <c r="V2662" i="8" s="1"/>
  <c r="A2663" i="8"/>
  <c r="V2663" i="8" s="1"/>
  <c r="A2664" i="8"/>
  <c r="V2664" i="8" s="1"/>
  <c r="A2665" i="8"/>
  <c r="V2665" i="8" s="1"/>
  <c r="A2666" i="8"/>
  <c r="V2666" i="8" s="1"/>
  <c r="A2667" i="8"/>
  <c r="V2667" i="8" s="1"/>
  <c r="A2668" i="8"/>
  <c r="V2668" i="8" s="1"/>
  <c r="A2669" i="8"/>
  <c r="V2669" i="8" s="1"/>
  <c r="A2670" i="8"/>
  <c r="V2670" i="8" s="1"/>
  <c r="A2671" i="8"/>
  <c r="V2671" i="8" s="1"/>
  <c r="A2672" i="8"/>
  <c r="V2672" i="8" s="1"/>
  <c r="A2673" i="8"/>
  <c r="V2673" i="8" s="1"/>
  <c r="A2674" i="8"/>
  <c r="V2674" i="8" s="1"/>
  <c r="A2675" i="8"/>
  <c r="V2675" i="8" s="1"/>
  <c r="A2676" i="8"/>
  <c r="V2676" i="8" s="1"/>
  <c r="A2677" i="8"/>
  <c r="V2677" i="8" s="1"/>
  <c r="A2678" i="8"/>
  <c r="V2678" i="8" s="1"/>
  <c r="A2679" i="8"/>
  <c r="V2679" i="8" s="1"/>
  <c r="A2680" i="8"/>
  <c r="V2680" i="8" s="1"/>
  <c r="A2681" i="8"/>
  <c r="V2681" i="8" s="1"/>
  <c r="A2682" i="8"/>
  <c r="V2682" i="8" s="1"/>
  <c r="A2683" i="8"/>
  <c r="V2683" i="8" s="1"/>
  <c r="A2684" i="8"/>
  <c r="V2684" i="8" s="1"/>
  <c r="A2685" i="8"/>
  <c r="V2685" i="8" s="1"/>
  <c r="A2686" i="8"/>
  <c r="V2686" i="8" s="1"/>
  <c r="A2687" i="8"/>
  <c r="V2687" i="8" s="1"/>
  <c r="A2688" i="8"/>
  <c r="V2688" i="8" s="1"/>
  <c r="A2689" i="8"/>
  <c r="V2689" i="8" s="1"/>
  <c r="A2690" i="8"/>
  <c r="V2690" i="8" s="1"/>
  <c r="A2691" i="8"/>
  <c r="V2691" i="8" s="1"/>
  <c r="A2692" i="8"/>
  <c r="V2692" i="8" s="1"/>
  <c r="A2693" i="8"/>
  <c r="V2693" i="8" s="1"/>
  <c r="A2694" i="8"/>
  <c r="V2694" i="8" s="1"/>
  <c r="A2695" i="8"/>
  <c r="V2695" i="8" s="1"/>
  <c r="A2696" i="8"/>
  <c r="V2696" i="8" s="1"/>
  <c r="A2697" i="8"/>
  <c r="V2697" i="8" s="1"/>
  <c r="A2698" i="8"/>
  <c r="V2698" i="8" s="1"/>
  <c r="A2699" i="8"/>
  <c r="V2699" i="8" s="1"/>
  <c r="A2700" i="8"/>
  <c r="V2700" i="8" s="1"/>
  <c r="A2701" i="8"/>
  <c r="V2701" i="8" s="1"/>
  <c r="A2702" i="8"/>
  <c r="V2702" i="8" s="1"/>
  <c r="A2703" i="8"/>
  <c r="V2703" i="8" s="1"/>
  <c r="A2704" i="8"/>
  <c r="V2704" i="8" s="1"/>
  <c r="A2705" i="8"/>
  <c r="V2705" i="8" s="1"/>
  <c r="A2706" i="8"/>
  <c r="V2706" i="8" s="1"/>
  <c r="A2707" i="8"/>
  <c r="V2707" i="8" s="1"/>
  <c r="A2708" i="8"/>
  <c r="V2708" i="8" s="1"/>
  <c r="A2709" i="8"/>
  <c r="V2709" i="8" s="1"/>
  <c r="A2710" i="8"/>
  <c r="V2710" i="8" s="1"/>
  <c r="A2711" i="8"/>
  <c r="V2711" i="8" s="1"/>
  <c r="A2712" i="8"/>
  <c r="V2712" i="8" s="1"/>
  <c r="A2713" i="8"/>
  <c r="V2713" i="8" s="1"/>
  <c r="A2714" i="8"/>
  <c r="V2714" i="8" s="1"/>
  <c r="A2715" i="8"/>
  <c r="V2715" i="8" s="1"/>
  <c r="A2716" i="8"/>
  <c r="V2716" i="8" s="1"/>
  <c r="A2717" i="8"/>
  <c r="V2717" i="8" s="1"/>
  <c r="A2718" i="8"/>
  <c r="V2718" i="8" s="1"/>
  <c r="A2719" i="8"/>
  <c r="V2719" i="8" s="1"/>
  <c r="A2720" i="8"/>
  <c r="V2720" i="8" s="1"/>
  <c r="A2721" i="8"/>
  <c r="V2721" i="8" s="1"/>
  <c r="A2722" i="8"/>
  <c r="V2722" i="8" s="1"/>
  <c r="A2723" i="8"/>
  <c r="V2723" i="8" s="1"/>
  <c r="A2724" i="8"/>
  <c r="V2724" i="8" s="1"/>
  <c r="A2725" i="8"/>
  <c r="V2725" i="8" s="1"/>
  <c r="A2726" i="8"/>
  <c r="V2726" i="8" s="1"/>
  <c r="A2727" i="8"/>
  <c r="V2727" i="8" s="1"/>
  <c r="A2728" i="8"/>
  <c r="V2728" i="8" s="1"/>
  <c r="A2729" i="8"/>
  <c r="V2729" i="8" s="1"/>
  <c r="A2730" i="8"/>
  <c r="V2730" i="8" s="1"/>
  <c r="A2731" i="8"/>
  <c r="V2731" i="8" s="1"/>
  <c r="A2732" i="8"/>
  <c r="V2732" i="8" s="1"/>
  <c r="A2733" i="8"/>
  <c r="V2733" i="8" s="1"/>
  <c r="A2734" i="8"/>
  <c r="V2734" i="8" s="1"/>
  <c r="A2735" i="8"/>
  <c r="V2735" i="8" s="1"/>
  <c r="A2736" i="8"/>
  <c r="V2736" i="8" s="1"/>
  <c r="A2737" i="8"/>
  <c r="V2737" i="8" s="1"/>
  <c r="A2738" i="8"/>
  <c r="V2738" i="8" s="1"/>
  <c r="A2739" i="8"/>
  <c r="V2739" i="8" s="1"/>
  <c r="A2740" i="8"/>
  <c r="V2740" i="8" s="1"/>
  <c r="A2741" i="8"/>
  <c r="V2741" i="8" s="1"/>
  <c r="A2742" i="8"/>
  <c r="V2742" i="8" s="1"/>
  <c r="A2743" i="8"/>
  <c r="V2743" i="8" s="1"/>
  <c r="A2744" i="8"/>
  <c r="V2744" i="8" s="1"/>
  <c r="A2745" i="8"/>
  <c r="V2745" i="8" s="1"/>
  <c r="A2746" i="8"/>
  <c r="V2746" i="8" s="1"/>
  <c r="A2747" i="8"/>
  <c r="V2747" i="8" s="1"/>
  <c r="A2748" i="8"/>
  <c r="V2748" i="8" s="1"/>
  <c r="A2749" i="8"/>
  <c r="V2749" i="8" s="1"/>
  <c r="A2750" i="8"/>
  <c r="V2750" i="8" s="1"/>
  <c r="A2751" i="8"/>
  <c r="V2751" i="8" s="1"/>
  <c r="A2752" i="8"/>
  <c r="V2752" i="8" s="1"/>
  <c r="A2753" i="8"/>
  <c r="V2753" i="8" s="1"/>
  <c r="A2754" i="8"/>
  <c r="V2754" i="8" s="1"/>
  <c r="A2755" i="8"/>
  <c r="V2755" i="8" s="1"/>
  <c r="A2756" i="8"/>
  <c r="V2756" i="8" s="1"/>
  <c r="A2757" i="8"/>
  <c r="V2757" i="8" s="1"/>
  <c r="A2758" i="8"/>
  <c r="V2758" i="8" s="1"/>
  <c r="A2759" i="8"/>
  <c r="V2759" i="8" s="1"/>
  <c r="A2760" i="8"/>
  <c r="V2760" i="8" s="1"/>
  <c r="A2761" i="8"/>
  <c r="V2761" i="8" s="1"/>
  <c r="A2762" i="8"/>
  <c r="V2762" i="8" s="1"/>
  <c r="A2763" i="8"/>
  <c r="V2763" i="8" s="1"/>
  <c r="A2764" i="8"/>
  <c r="V2764" i="8" s="1"/>
  <c r="A2765" i="8"/>
  <c r="V2765" i="8" s="1"/>
  <c r="A2766" i="8"/>
  <c r="V2766" i="8" s="1"/>
  <c r="A2767" i="8"/>
  <c r="V2767" i="8" s="1"/>
  <c r="A2768" i="8"/>
  <c r="V2768" i="8" s="1"/>
  <c r="A2769" i="8"/>
  <c r="V2769" i="8" s="1"/>
  <c r="A2770" i="8"/>
  <c r="V2770" i="8" s="1"/>
  <c r="A2771" i="8"/>
  <c r="V2771" i="8" s="1"/>
  <c r="A2772" i="8"/>
  <c r="V2772" i="8" s="1"/>
  <c r="A2773" i="8"/>
  <c r="V2773" i="8" s="1"/>
  <c r="A2774" i="8"/>
  <c r="V2774" i="8" s="1"/>
  <c r="A2775" i="8"/>
  <c r="V2775" i="8" s="1"/>
  <c r="A2776" i="8"/>
  <c r="V2776" i="8" s="1"/>
  <c r="A2777" i="8"/>
  <c r="V2777" i="8" s="1"/>
  <c r="A2778" i="8"/>
  <c r="V2778" i="8" s="1"/>
  <c r="A2779" i="8"/>
  <c r="V2779" i="8" s="1"/>
  <c r="A2780" i="8"/>
  <c r="V2780" i="8" s="1"/>
  <c r="A2781" i="8"/>
  <c r="V2781" i="8" s="1"/>
  <c r="A2782" i="8"/>
  <c r="V2782" i="8" s="1"/>
  <c r="A2783" i="8"/>
  <c r="V2783" i="8" s="1"/>
  <c r="A2784" i="8"/>
  <c r="V2784" i="8" s="1"/>
  <c r="A2785" i="8"/>
  <c r="V2785" i="8" s="1"/>
  <c r="A2786" i="8"/>
  <c r="V2786" i="8" s="1"/>
  <c r="A2787" i="8"/>
  <c r="V2787" i="8" s="1"/>
  <c r="A2788" i="8"/>
  <c r="V2788" i="8" s="1"/>
  <c r="A2789" i="8"/>
  <c r="V2789" i="8" s="1"/>
  <c r="A2790" i="8"/>
  <c r="V2790" i="8" s="1"/>
  <c r="A2791" i="8"/>
  <c r="V2791" i="8" s="1"/>
  <c r="A2792" i="8"/>
  <c r="V2792" i="8" s="1"/>
  <c r="A2793" i="8"/>
  <c r="V2793" i="8" s="1"/>
  <c r="A2794" i="8"/>
  <c r="V2794" i="8" s="1"/>
  <c r="A2795" i="8"/>
  <c r="V2795" i="8" s="1"/>
  <c r="A2796" i="8"/>
  <c r="V2796" i="8" s="1"/>
  <c r="A2797" i="8"/>
  <c r="V2797" i="8" s="1"/>
  <c r="A2798" i="8"/>
  <c r="V2798" i="8" s="1"/>
  <c r="A2799" i="8"/>
  <c r="V2799" i="8" s="1"/>
  <c r="A2800" i="8"/>
  <c r="V2800" i="8" s="1"/>
  <c r="A2801" i="8"/>
  <c r="V2801" i="8" s="1"/>
  <c r="A2802" i="8"/>
  <c r="V2802" i="8" s="1"/>
  <c r="A2803" i="8"/>
  <c r="V2803" i="8" s="1"/>
  <c r="A2804" i="8"/>
  <c r="V2804" i="8" s="1"/>
  <c r="A2805" i="8"/>
  <c r="V2805" i="8" s="1"/>
  <c r="A2806" i="8"/>
  <c r="V2806" i="8" s="1"/>
  <c r="A2807" i="8"/>
  <c r="V2807" i="8" s="1"/>
  <c r="A2808" i="8"/>
  <c r="V2808" i="8" s="1"/>
  <c r="A2809" i="8"/>
  <c r="V2809" i="8" s="1"/>
  <c r="A2810" i="8"/>
  <c r="V2810" i="8" s="1"/>
  <c r="A2811" i="8"/>
  <c r="V2811" i="8" s="1"/>
  <c r="A2812" i="8"/>
  <c r="V2812" i="8" s="1"/>
  <c r="A2813" i="8"/>
  <c r="V2813" i="8" s="1"/>
  <c r="A2814" i="8"/>
  <c r="V2814" i="8" s="1"/>
  <c r="A2815" i="8"/>
  <c r="V2815" i="8" s="1"/>
  <c r="A2816" i="8"/>
  <c r="V2816" i="8" s="1"/>
  <c r="A2817" i="8"/>
  <c r="V2817" i="8" s="1"/>
  <c r="A2818" i="8"/>
  <c r="V2818" i="8" s="1"/>
  <c r="A2819" i="8"/>
  <c r="V2819" i="8" s="1"/>
  <c r="A2820" i="8"/>
  <c r="V2820" i="8" s="1"/>
  <c r="A2821" i="8"/>
  <c r="V2821" i="8" s="1"/>
  <c r="A2822" i="8"/>
  <c r="V2822" i="8" s="1"/>
  <c r="A2823" i="8"/>
  <c r="V2823" i="8" s="1"/>
  <c r="A2824" i="8"/>
  <c r="V2824" i="8" s="1"/>
  <c r="A2825" i="8"/>
  <c r="V2825" i="8" s="1"/>
  <c r="A2826" i="8"/>
  <c r="V2826" i="8" s="1"/>
  <c r="A2827" i="8"/>
  <c r="V2827" i="8" s="1"/>
  <c r="A2828" i="8"/>
  <c r="V2828" i="8" s="1"/>
  <c r="A2829" i="8"/>
  <c r="V2829" i="8" s="1"/>
  <c r="A2830" i="8"/>
  <c r="V2830" i="8" s="1"/>
  <c r="A2831" i="8"/>
  <c r="V2831" i="8" s="1"/>
  <c r="A2832" i="8"/>
  <c r="V2832" i="8" s="1"/>
  <c r="A2833" i="8"/>
  <c r="V2833" i="8" s="1"/>
  <c r="A2834" i="8"/>
  <c r="V2834" i="8" s="1"/>
  <c r="A2835" i="8"/>
  <c r="V2835" i="8" s="1"/>
  <c r="A2836" i="8"/>
  <c r="V2836" i="8" s="1"/>
  <c r="A2837" i="8"/>
  <c r="V2837" i="8" s="1"/>
  <c r="A2838" i="8"/>
  <c r="V2838" i="8" s="1"/>
  <c r="A2839" i="8"/>
  <c r="V2839" i="8" s="1"/>
  <c r="A2840" i="8"/>
  <c r="V2840" i="8" s="1"/>
  <c r="A2841" i="8"/>
  <c r="V2841" i="8" s="1"/>
  <c r="A2842" i="8"/>
  <c r="V2842" i="8" s="1"/>
  <c r="A2843" i="8"/>
  <c r="V2843" i="8" s="1"/>
  <c r="A2844" i="8"/>
  <c r="V2844" i="8" s="1"/>
  <c r="A2845" i="8"/>
  <c r="V2845" i="8" s="1"/>
  <c r="A2846" i="8"/>
  <c r="V2846" i="8" s="1"/>
  <c r="A2847" i="8"/>
  <c r="V2847" i="8" s="1"/>
  <c r="A2848" i="8"/>
  <c r="V2848" i="8" s="1"/>
  <c r="A2849" i="8"/>
  <c r="V2849" i="8" s="1"/>
  <c r="A2850" i="8"/>
  <c r="V2850" i="8" s="1"/>
  <c r="A2851" i="8"/>
  <c r="V2851" i="8" s="1"/>
  <c r="A2852" i="8"/>
  <c r="V2852" i="8" s="1"/>
  <c r="A2853" i="8"/>
  <c r="V2853" i="8" s="1"/>
  <c r="A2854" i="8"/>
  <c r="V2854" i="8" s="1"/>
  <c r="A2855" i="8"/>
  <c r="V2855" i="8" s="1"/>
  <c r="A2856" i="8"/>
  <c r="V2856" i="8" s="1"/>
  <c r="A2857" i="8"/>
  <c r="V2857" i="8" s="1"/>
  <c r="A2858" i="8"/>
  <c r="V2858" i="8" s="1"/>
  <c r="A2859" i="8"/>
  <c r="V2859" i="8" s="1"/>
  <c r="A2860" i="8"/>
  <c r="V2860" i="8" s="1"/>
  <c r="A2861" i="8"/>
  <c r="V2861" i="8" s="1"/>
  <c r="A2862" i="8"/>
  <c r="V2862" i="8" s="1"/>
  <c r="A2863" i="8"/>
  <c r="V2863" i="8" s="1"/>
  <c r="A2864" i="8"/>
  <c r="V2864" i="8" s="1"/>
  <c r="A2865" i="8"/>
  <c r="V2865" i="8" s="1"/>
  <c r="A2866" i="8"/>
  <c r="V2866" i="8" s="1"/>
  <c r="A2867" i="8"/>
  <c r="V2867" i="8" s="1"/>
  <c r="A2868" i="8"/>
  <c r="V2868" i="8" s="1"/>
  <c r="A2869" i="8"/>
  <c r="V2869" i="8" s="1"/>
  <c r="A2870" i="8"/>
  <c r="V2870" i="8" s="1"/>
  <c r="A2871" i="8"/>
  <c r="V2871" i="8" s="1"/>
  <c r="A2872" i="8"/>
  <c r="V2872" i="8" s="1"/>
  <c r="A2873" i="8"/>
  <c r="V2873" i="8" s="1"/>
  <c r="A2874" i="8"/>
  <c r="V2874" i="8" s="1"/>
  <c r="A2875" i="8"/>
  <c r="V2875" i="8" s="1"/>
  <c r="A2876" i="8"/>
  <c r="V2876" i="8" s="1"/>
  <c r="A2877" i="8"/>
  <c r="V2877" i="8" s="1"/>
  <c r="A2878" i="8"/>
  <c r="V2878" i="8" s="1"/>
  <c r="A2879" i="8"/>
  <c r="V2879" i="8" s="1"/>
  <c r="A2880" i="8"/>
  <c r="V2880" i="8" s="1"/>
  <c r="A2881" i="8"/>
  <c r="V2881" i="8" s="1"/>
  <c r="A2882" i="8"/>
  <c r="V2882" i="8" s="1"/>
  <c r="A2883" i="8"/>
  <c r="V2883" i="8" s="1"/>
  <c r="A2884" i="8"/>
  <c r="V2884" i="8" s="1"/>
  <c r="A2885" i="8"/>
  <c r="V2885" i="8" s="1"/>
  <c r="A2886" i="8"/>
  <c r="V2886" i="8" s="1"/>
  <c r="A2887" i="8"/>
  <c r="V2887" i="8" s="1"/>
  <c r="A2888" i="8"/>
  <c r="V2888" i="8" s="1"/>
  <c r="A2889" i="8"/>
  <c r="V2889" i="8" s="1"/>
  <c r="A2890" i="8"/>
  <c r="V2890" i="8" s="1"/>
  <c r="A2891" i="8"/>
  <c r="V2891" i="8" s="1"/>
  <c r="A2892" i="8"/>
  <c r="V2892" i="8" s="1"/>
  <c r="A2893" i="8"/>
  <c r="V2893" i="8" s="1"/>
  <c r="A2894" i="8"/>
  <c r="V2894" i="8" s="1"/>
  <c r="A2895" i="8"/>
  <c r="V2895" i="8" s="1"/>
  <c r="A2896" i="8"/>
  <c r="V2896" i="8" s="1"/>
  <c r="A2897" i="8"/>
  <c r="V2897" i="8" s="1"/>
  <c r="A2898" i="8"/>
  <c r="V2898" i="8" s="1"/>
  <c r="A2899" i="8"/>
  <c r="V2899" i="8" s="1"/>
  <c r="A2900" i="8"/>
  <c r="V2900" i="8" s="1"/>
  <c r="A2901" i="8"/>
  <c r="V2901" i="8" s="1"/>
  <c r="A2902" i="8"/>
  <c r="V2902" i="8" s="1"/>
  <c r="A2903" i="8"/>
  <c r="V2903" i="8" s="1"/>
  <c r="A2904" i="8"/>
  <c r="V2904" i="8" s="1"/>
  <c r="A2905" i="8"/>
  <c r="V2905" i="8" s="1"/>
  <c r="A2906" i="8"/>
  <c r="V2906" i="8" s="1"/>
  <c r="A2907" i="8"/>
  <c r="V2907" i="8" s="1"/>
  <c r="A2908" i="8"/>
  <c r="V2908" i="8" s="1"/>
  <c r="A2909" i="8"/>
  <c r="V2909" i="8" s="1"/>
  <c r="A2910" i="8"/>
  <c r="V2910" i="8" s="1"/>
  <c r="A2911" i="8"/>
  <c r="V2911" i="8" s="1"/>
  <c r="A2912" i="8"/>
  <c r="V2912" i="8" s="1"/>
  <c r="A2913" i="8"/>
  <c r="V2913" i="8" s="1"/>
  <c r="A2914" i="8"/>
  <c r="V2914" i="8" s="1"/>
  <c r="A2915" i="8"/>
  <c r="V2915" i="8" s="1"/>
  <c r="A2916" i="8"/>
  <c r="V2916" i="8" s="1"/>
  <c r="A2917" i="8"/>
  <c r="V2917" i="8" s="1"/>
  <c r="A2918" i="8"/>
  <c r="V2918" i="8" s="1"/>
  <c r="A2919" i="8"/>
  <c r="V2919" i="8" s="1"/>
  <c r="A2920" i="8"/>
  <c r="V2920" i="8" s="1"/>
  <c r="A2921" i="8"/>
  <c r="V2921" i="8" s="1"/>
  <c r="A2922" i="8"/>
  <c r="V2922" i="8" s="1"/>
  <c r="A2923" i="8"/>
  <c r="V2923" i="8" s="1"/>
  <c r="A2924" i="8"/>
  <c r="V2924" i="8" s="1"/>
  <c r="A2925" i="8"/>
  <c r="V2925" i="8" s="1"/>
  <c r="A2926" i="8"/>
  <c r="V2926" i="8" s="1"/>
  <c r="A2927" i="8"/>
  <c r="V2927" i="8" s="1"/>
  <c r="A2928" i="8"/>
  <c r="V2928" i="8" s="1"/>
  <c r="A2929" i="8"/>
  <c r="V2929" i="8" s="1"/>
  <c r="A2930" i="8"/>
  <c r="V2930" i="8" s="1"/>
  <c r="A2931" i="8"/>
  <c r="V2931" i="8" s="1"/>
  <c r="A2932" i="8"/>
  <c r="V2932" i="8" s="1"/>
  <c r="A2933" i="8"/>
  <c r="V2933" i="8" s="1"/>
  <c r="A2934" i="8"/>
  <c r="V2934" i="8" s="1"/>
  <c r="A2935" i="8"/>
  <c r="V2935" i="8" s="1"/>
  <c r="A2936" i="8"/>
  <c r="V2936" i="8" s="1"/>
  <c r="A2937" i="8"/>
  <c r="V2937" i="8" s="1"/>
  <c r="A2938" i="8"/>
  <c r="V2938" i="8" s="1"/>
  <c r="A2939" i="8"/>
  <c r="V2939" i="8" s="1"/>
  <c r="A2940" i="8"/>
  <c r="V2940" i="8" s="1"/>
  <c r="A2941" i="8"/>
  <c r="V2941" i="8" s="1"/>
  <c r="A2942" i="8"/>
  <c r="V2942" i="8" s="1"/>
  <c r="A2943" i="8"/>
  <c r="V2943" i="8" s="1"/>
  <c r="A2944" i="8"/>
  <c r="V2944" i="8" s="1"/>
  <c r="A2945" i="8"/>
  <c r="V2945" i="8" s="1"/>
  <c r="A2946" i="8"/>
  <c r="V2946" i="8" s="1"/>
  <c r="A2947" i="8"/>
  <c r="V2947" i="8" s="1"/>
  <c r="A2948" i="8"/>
  <c r="V2948" i="8" s="1"/>
  <c r="A2949" i="8"/>
  <c r="V2949" i="8" s="1"/>
  <c r="A2950" i="8"/>
  <c r="V2950" i="8" s="1"/>
  <c r="A2951" i="8"/>
  <c r="V2951" i="8" s="1"/>
  <c r="A2952" i="8"/>
  <c r="V2952" i="8" s="1"/>
  <c r="A2953" i="8"/>
  <c r="V2953" i="8" s="1"/>
  <c r="A2954" i="8"/>
  <c r="V2954" i="8" s="1"/>
  <c r="A2955" i="8"/>
  <c r="V2955" i="8" s="1"/>
  <c r="A2956" i="8"/>
  <c r="V2956" i="8" s="1"/>
  <c r="A2957" i="8"/>
  <c r="V2957" i="8" s="1"/>
  <c r="A2958" i="8"/>
  <c r="V2958" i="8" s="1"/>
  <c r="A2959" i="8"/>
  <c r="V2959" i="8" s="1"/>
  <c r="A2960" i="8"/>
  <c r="V2960" i="8" s="1"/>
  <c r="A2961" i="8"/>
  <c r="V2961" i="8" s="1"/>
  <c r="A2962" i="8"/>
  <c r="V2962" i="8" s="1"/>
  <c r="A2963" i="8"/>
  <c r="V2963" i="8" s="1"/>
  <c r="A2964" i="8"/>
  <c r="V2964" i="8" s="1"/>
  <c r="A2965" i="8"/>
  <c r="V2965" i="8" s="1"/>
  <c r="A2966" i="8"/>
  <c r="V2966" i="8" s="1"/>
  <c r="A2967" i="8"/>
  <c r="V2967" i="8" s="1"/>
  <c r="A2968" i="8"/>
  <c r="V2968" i="8" s="1"/>
  <c r="A2969" i="8"/>
  <c r="V2969" i="8" s="1"/>
  <c r="A2970" i="8"/>
  <c r="V2970" i="8" s="1"/>
  <c r="A2971" i="8"/>
  <c r="V2971" i="8" s="1"/>
  <c r="A2972" i="8"/>
  <c r="V2972" i="8" s="1"/>
  <c r="A2973" i="8"/>
  <c r="V2973" i="8" s="1"/>
  <c r="A2974" i="8"/>
  <c r="V2974" i="8" s="1"/>
  <c r="A2975" i="8"/>
  <c r="V2975" i="8" s="1"/>
  <c r="A2976" i="8"/>
  <c r="V2976" i="8" s="1"/>
  <c r="A2977" i="8"/>
  <c r="V2977" i="8" s="1"/>
  <c r="A2978" i="8"/>
  <c r="V2978" i="8" s="1"/>
  <c r="A2979" i="8"/>
  <c r="V2979" i="8" s="1"/>
  <c r="A2980" i="8"/>
  <c r="V2980" i="8" s="1"/>
  <c r="A2981" i="8"/>
  <c r="V2981" i="8" s="1"/>
  <c r="A2982" i="8"/>
  <c r="V2982" i="8" s="1"/>
  <c r="A2983" i="8"/>
  <c r="V2983" i="8" s="1"/>
  <c r="A2984" i="8"/>
  <c r="V2984" i="8" s="1"/>
  <c r="A2985" i="8"/>
  <c r="V2985" i="8" s="1"/>
  <c r="A2986" i="8"/>
  <c r="V2986" i="8" s="1"/>
  <c r="A2987" i="8"/>
  <c r="V2987" i="8" s="1"/>
  <c r="A2988" i="8"/>
  <c r="V2988" i="8" s="1"/>
  <c r="A2989" i="8"/>
  <c r="V2989" i="8" s="1"/>
  <c r="A2990" i="8"/>
  <c r="V2990" i="8" s="1"/>
  <c r="A2991" i="8"/>
  <c r="V2991" i="8" s="1"/>
  <c r="A2992" i="8"/>
  <c r="V2992" i="8" s="1"/>
  <c r="A2993" i="8"/>
  <c r="V2993" i="8" s="1"/>
  <c r="A2994" i="8"/>
  <c r="V2994" i="8" s="1"/>
  <c r="A2995" i="8"/>
  <c r="V2995" i="8" s="1"/>
  <c r="A2996" i="8"/>
  <c r="V2996" i="8" s="1"/>
  <c r="A2997" i="8"/>
  <c r="V2997" i="8" s="1"/>
  <c r="A2998" i="8"/>
  <c r="V2998" i="8" s="1"/>
  <c r="A2999" i="8"/>
  <c r="V2999" i="8" s="1"/>
  <c r="A3000" i="8"/>
  <c r="V3000" i="8" s="1"/>
  <c r="A3001" i="8"/>
  <c r="V3001" i="8" s="1"/>
  <c r="A3002" i="8"/>
  <c r="V3002" i="8" s="1"/>
  <c r="A3003" i="8"/>
  <c r="V3003" i="8" s="1"/>
  <c r="A3004" i="8"/>
  <c r="V3004" i="8" s="1"/>
  <c r="A3005" i="8"/>
  <c r="V3005" i="8" s="1"/>
  <c r="A3006" i="8"/>
  <c r="V3006" i="8" s="1"/>
  <c r="A3007" i="8"/>
  <c r="V3007" i="8" s="1"/>
  <c r="A3008" i="8"/>
  <c r="V3008" i="8" s="1"/>
  <c r="A3009" i="8"/>
  <c r="V3009" i="8" s="1"/>
  <c r="A3010" i="8"/>
  <c r="V3010" i="8" s="1"/>
  <c r="A3011" i="8"/>
  <c r="V3011" i="8" s="1"/>
  <c r="A3012" i="8"/>
  <c r="V3012" i="8" s="1"/>
  <c r="A3013" i="8"/>
  <c r="V3013" i="8" s="1"/>
  <c r="A3014" i="8"/>
  <c r="V3014" i="8" s="1"/>
  <c r="A3015" i="8"/>
  <c r="V3015" i="8" s="1"/>
  <c r="A3016" i="8"/>
  <c r="V3016" i="8" s="1"/>
  <c r="A3017" i="8"/>
  <c r="V3017" i="8" s="1"/>
  <c r="A3018" i="8"/>
  <c r="V3018" i="8" s="1"/>
  <c r="A3019" i="8"/>
  <c r="V3019" i="8" s="1"/>
  <c r="A3020" i="8"/>
  <c r="V3020" i="8" s="1"/>
  <c r="A3021" i="8"/>
  <c r="V3021" i="8" s="1"/>
  <c r="A3022" i="8"/>
  <c r="V3022" i="8" s="1"/>
  <c r="A3023" i="8"/>
  <c r="V3023" i="8" s="1"/>
  <c r="A3024" i="8"/>
  <c r="V3024" i="8" s="1"/>
  <c r="A3025" i="8"/>
  <c r="V3025" i="8" s="1"/>
  <c r="A3026" i="8"/>
  <c r="V3026" i="8" s="1"/>
  <c r="A3027" i="8"/>
  <c r="V3027" i="8" s="1"/>
  <c r="A3028" i="8"/>
  <c r="V3028" i="8" s="1"/>
  <c r="A3029" i="8"/>
  <c r="V3029" i="8" s="1"/>
  <c r="A3030" i="8"/>
  <c r="V3030" i="8" s="1"/>
  <c r="A3031" i="8"/>
  <c r="V3031" i="8" s="1"/>
  <c r="A3032" i="8"/>
  <c r="V3032" i="8" s="1"/>
  <c r="A3033" i="8"/>
  <c r="V3033" i="8" s="1"/>
  <c r="A3034" i="8"/>
  <c r="V3034" i="8" s="1"/>
  <c r="A3035" i="8"/>
  <c r="V3035" i="8" s="1"/>
  <c r="A3036" i="8"/>
  <c r="V3036" i="8" s="1"/>
  <c r="A3037" i="8"/>
  <c r="V3037" i="8" s="1"/>
  <c r="A3038" i="8"/>
  <c r="V3038" i="8" s="1"/>
  <c r="A3039" i="8"/>
  <c r="V3039" i="8" s="1"/>
  <c r="A3040" i="8"/>
  <c r="V3040" i="8" s="1"/>
  <c r="A3041" i="8"/>
  <c r="V3041" i="8" s="1"/>
  <c r="A3042" i="8"/>
  <c r="V3042" i="8" s="1"/>
  <c r="A3043" i="8"/>
  <c r="V3043" i="8" s="1"/>
  <c r="A3044" i="8"/>
  <c r="V3044" i="8" s="1"/>
  <c r="A3045" i="8"/>
  <c r="V3045" i="8" s="1"/>
  <c r="A3046" i="8"/>
  <c r="V3046" i="8" s="1"/>
  <c r="A3047" i="8"/>
  <c r="V3047" i="8" s="1"/>
  <c r="A3048" i="8"/>
  <c r="V3048" i="8" s="1"/>
  <c r="A3049" i="8"/>
  <c r="V3049" i="8" s="1"/>
  <c r="A3050" i="8"/>
  <c r="V3050" i="8" s="1"/>
  <c r="A3051" i="8"/>
  <c r="V3051" i="8" s="1"/>
  <c r="A3052" i="8"/>
  <c r="V3052" i="8" s="1"/>
  <c r="A3053" i="8"/>
  <c r="V3053" i="8" s="1"/>
  <c r="A3054" i="8"/>
  <c r="V3054" i="8" s="1"/>
  <c r="A3055" i="8"/>
  <c r="V3055" i="8" s="1"/>
  <c r="A3056" i="8"/>
  <c r="V3056" i="8" s="1"/>
  <c r="A3057" i="8"/>
  <c r="V3057" i="8" s="1"/>
  <c r="A3058" i="8"/>
  <c r="V3058" i="8" s="1"/>
  <c r="A3059" i="8"/>
  <c r="V3059" i="8" s="1"/>
  <c r="A3060" i="8"/>
  <c r="V3060" i="8" s="1"/>
  <c r="A3061" i="8"/>
  <c r="V3061" i="8" s="1"/>
  <c r="A3062" i="8"/>
  <c r="V3062" i="8" s="1"/>
  <c r="A3063" i="8"/>
  <c r="V3063" i="8" s="1"/>
  <c r="A3064" i="8"/>
  <c r="V3064" i="8" s="1"/>
  <c r="A3065" i="8"/>
  <c r="V3065" i="8" s="1"/>
  <c r="A3066" i="8"/>
  <c r="V3066" i="8" s="1"/>
  <c r="A3067" i="8"/>
  <c r="V3067" i="8" s="1"/>
  <c r="A3068" i="8"/>
  <c r="V3068" i="8" s="1"/>
  <c r="A3069" i="8"/>
  <c r="V3069" i="8" s="1"/>
  <c r="A3070" i="8"/>
  <c r="V3070" i="8" s="1"/>
  <c r="A3071" i="8"/>
  <c r="V3071" i="8" s="1"/>
  <c r="A3072" i="8"/>
  <c r="V3072" i="8" s="1"/>
  <c r="A3073" i="8"/>
  <c r="V3073" i="8" s="1"/>
  <c r="A3074" i="8"/>
  <c r="V3074" i="8" s="1"/>
  <c r="A3075" i="8"/>
  <c r="V3075" i="8" s="1"/>
  <c r="A3076" i="8"/>
  <c r="V3076" i="8" s="1"/>
  <c r="A3077" i="8"/>
  <c r="V3077" i="8" s="1"/>
  <c r="A3078" i="8"/>
  <c r="V3078" i="8" s="1"/>
  <c r="A3079" i="8"/>
  <c r="V3079" i="8" s="1"/>
  <c r="A3080" i="8"/>
  <c r="V3080" i="8" s="1"/>
  <c r="A3081" i="8"/>
  <c r="V3081" i="8" s="1"/>
  <c r="A3082" i="8"/>
  <c r="V3082" i="8" s="1"/>
  <c r="A3083" i="8"/>
  <c r="V3083" i="8" s="1"/>
  <c r="A3084" i="8"/>
  <c r="V3084" i="8" s="1"/>
  <c r="A3085" i="8"/>
  <c r="V3085" i="8" s="1"/>
  <c r="A3086" i="8"/>
  <c r="V3086" i="8" s="1"/>
  <c r="A3087" i="8"/>
  <c r="V3087" i="8" s="1"/>
  <c r="A3088" i="8"/>
  <c r="V3088" i="8" s="1"/>
  <c r="A3089" i="8"/>
  <c r="V3089" i="8" s="1"/>
  <c r="A3090" i="8"/>
  <c r="V3090" i="8" s="1"/>
  <c r="A3091" i="8"/>
  <c r="V3091" i="8" s="1"/>
  <c r="A3092" i="8"/>
  <c r="V3092" i="8" s="1"/>
  <c r="A3093" i="8"/>
  <c r="V3093" i="8" s="1"/>
  <c r="A3094" i="8"/>
  <c r="V3094" i="8" s="1"/>
  <c r="A3095" i="8"/>
  <c r="V3095" i="8" s="1"/>
  <c r="A3096" i="8"/>
  <c r="V3096" i="8" s="1"/>
  <c r="A3097" i="8"/>
  <c r="V3097" i="8" s="1"/>
  <c r="A3098" i="8"/>
  <c r="V3098" i="8" s="1"/>
  <c r="A3099" i="8"/>
  <c r="V3099" i="8" s="1"/>
  <c r="A3100" i="8"/>
  <c r="V3100" i="8" s="1"/>
  <c r="A3101" i="8"/>
  <c r="V3101" i="8" s="1"/>
  <c r="A3102" i="8"/>
  <c r="V3102" i="8" s="1"/>
  <c r="A3103" i="8"/>
  <c r="V3103" i="8" s="1"/>
  <c r="A3104" i="8"/>
  <c r="V3104" i="8" s="1"/>
  <c r="A3105" i="8"/>
  <c r="V3105" i="8" s="1"/>
  <c r="A3106" i="8"/>
  <c r="V3106" i="8" s="1"/>
  <c r="A3107" i="8"/>
  <c r="V3107" i="8" s="1"/>
  <c r="A3108" i="8"/>
  <c r="V3108" i="8" s="1"/>
  <c r="A3109" i="8"/>
  <c r="V3109" i="8" s="1"/>
  <c r="A3110" i="8"/>
  <c r="V3110" i="8" s="1"/>
  <c r="A3111" i="8"/>
  <c r="V3111" i="8" s="1"/>
  <c r="A3112" i="8"/>
  <c r="V3112" i="8" s="1"/>
  <c r="A3113" i="8"/>
  <c r="V3113" i="8" s="1"/>
  <c r="A3114" i="8"/>
  <c r="V3114" i="8" s="1"/>
  <c r="A3115" i="8"/>
  <c r="V3115" i="8" s="1"/>
  <c r="A3116" i="8"/>
  <c r="V3116" i="8" s="1"/>
  <c r="A3117" i="8"/>
  <c r="V3117" i="8" s="1"/>
  <c r="A3118" i="8"/>
  <c r="V3118" i="8" s="1"/>
  <c r="A3119" i="8"/>
  <c r="V3119" i="8" s="1"/>
  <c r="A3120" i="8"/>
  <c r="V3120" i="8" s="1"/>
  <c r="A3121" i="8"/>
  <c r="V3121" i="8" s="1"/>
  <c r="A3122" i="8"/>
  <c r="V3122" i="8" s="1"/>
  <c r="A3123" i="8"/>
  <c r="V3123" i="8" s="1"/>
  <c r="A3124" i="8"/>
  <c r="V3124" i="8" s="1"/>
  <c r="A3125" i="8"/>
  <c r="V3125" i="8" s="1"/>
  <c r="A3126" i="8"/>
  <c r="V3126" i="8" s="1"/>
  <c r="A3127" i="8"/>
  <c r="V3127" i="8" s="1"/>
  <c r="A3128" i="8"/>
  <c r="V3128" i="8" s="1"/>
  <c r="A3129" i="8"/>
  <c r="V3129" i="8" s="1"/>
  <c r="A3130" i="8"/>
  <c r="V3130" i="8" s="1"/>
  <c r="A3131" i="8"/>
  <c r="V3131" i="8" s="1"/>
  <c r="A3132" i="8"/>
  <c r="V3132" i="8" s="1"/>
  <c r="A3133" i="8"/>
  <c r="V3133" i="8" s="1"/>
  <c r="A3134" i="8"/>
  <c r="V3134" i="8" s="1"/>
  <c r="A3135" i="8"/>
  <c r="V3135" i="8" s="1"/>
  <c r="A3136" i="8"/>
  <c r="V3136" i="8" s="1"/>
  <c r="A3137" i="8"/>
  <c r="V3137" i="8" s="1"/>
  <c r="A3138" i="8"/>
  <c r="V3138" i="8" s="1"/>
  <c r="A3139" i="8"/>
  <c r="V3139" i="8" s="1"/>
  <c r="A3140" i="8"/>
  <c r="V3140" i="8" s="1"/>
  <c r="A3141" i="8"/>
  <c r="V3141" i="8" s="1"/>
  <c r="A3142" i="8"/>
  <c r="V3142" i="8" s="1"/>
  <c r="A3143" i="8"/>
  <c r="V3143" i="8" s="1"/>
  <c r="A3144" i="8"/>
  <c r="V3144" i="8" s="1"/>
  <c r="A3145" i="8"/>
  <c r="V3145" i="8" s="1"/>
  <c r="A3146" i="8"/>
  <c r="V3146" i="8" s="1"/>
  <c r="A3147" i="8"/>
  <c r="V3147" i="8" s="1"/>
  <c r="A3148" i="8"/>
  <c r="V3148" i="8" s="1"/>
  <c r="A3149" i="8"/>
  <c r="V3149" i="8" s="1"/>
  <c r="A3150" i="8"/>
  <c r="V3150" i="8" s="1"/>
  <c r="A3151" i="8"/>
  <c r="V3151" i="8" s="1"/>
  <c r="A3152" i="8"/>
  <c r="V3152" i="8" s="1"/>
  <c r="A3153" i="8"/>
  <c r="V3153" i="8" s="1"/>
  <c r="A3154" i="8"/>
  <c r="V3154" i="8" s="1"/>
  <c r="A3155" i="8"/>
  <c r="V3155" i="8" s="1"/>
  <c r="A3156" i="8"/>
  <c r="V3156" i="8" s="1"/>
  <c r="A3157" i="8"/>
  <c r="V3157" i="8" s="1"/>
  <c r="A3158" i="8"/>
  <c r="V3158" i="8" s="1"/>
  <c r="A3159" i="8"/>
  <c r="V3159" i="8" s="1"/>
  <c r="A3160" i="8"/>
  <c r="V3160" i="8" s="1"/>
  <c r="A3161" i="8"/>
  <c r="V3161" i="8" s="1"/>
  <c r="A3162" i="8"/>
  <c r="V3162" i="8" s="1"/>
  <c r="A3163" i="8"/>
  <c r="V3163" i="8" s="1"/>
  <c r="A3164" i="8"/>
  <c r="V3164" i="8" s="1"/>
  <c r="A3165" i="8"/>
  <c r="V3165" i="8" s="1"/>
  <c r="A3166" i="8"/>
  <c r="V3166" i="8" s="1"/>
  <c r="A3167" i="8"/>
  <c r="V3167" i="8" s="1"/>
  <c r="A3168" i="8"/>
  <c r="V3168" i="8" s="1"/>
  <c r="A3169" i="8"/>
  <c r="V3169" i="8" s="1"/>
  <c r="A3170" i="8"/>
  <c r="V3170" i="8" s="1"/>
  <c r="A3171" i="8"/>
  <c r="V3171" i="8" s="1"/>
  <c r="A3172" i="8"/>
  <c r="V3172" i="8" s="1"/>
  <c r="A3173" i="8"/>
  <c r="V3173" i="8" s="1"/>
  <c r="A3174" i="8"/>
  <c r="V3174" i="8" s="1"/>
  <c r="A3175" i="8"/>
  <c r="V3175" i="8" s="1"/>
  <c r="A3176" i="8"/>
  <c r="V3176" i="8" s="1"/>
  <c r="A3177" i="8"/>
  <c r="V3177" i="8" s="1"/>
  <c r="A3178" i="8"/>
  <c r="V3178" i="8" s="1"/>
  <c r="A3179" i="8"/>
  <c r="V3179" i="8" s="1"/>
  <c r="A3180" i="8"/>
  <c r="V3180" i="8" s="1"/>
  <c r="A3181" i="8"/>
  <c r="V3181" i="8" s="1"/>
  <c r="A3182" i="8"/>
  <c r="V3182" i="8" s="1"/>
  <c r="A3183" i="8"/>
  <c r="V3183" i="8" s="1"/>
  <c r="A3184" i="8"/>
  <c r="V3184" i="8" s="1"/>
  <c r="A3185" i="8"/>
  <c r="V3185" i="8" s="1"/>
  <c r="A3186" i="8"/>
  <c r="V3186" i="8" s="1"/>
  <c r="A3187" i="8"/>
  <c r="V3187" i="8" s="1"/>
  <c r="A3188" i="8"/>
  <c r="V3188" i="8" s="1"/>
  <c r="A3189" i="8"/>
  <c r="V3189" i="8" s="1"/>
  <c r="A3190" i="8"/>
  <c r="V3190" i="8" s="1"/>
  <c r="A3191" i="8"/>
  <c r="V3191" i="8" s="1"/>
  <c r="A3192" i="8"/>
  <c r="V3192" i="8" s="1"/>
  <c r="A3193" i="8"/>
  <c r="V3193" i="8" s="1"/>
  <c r="A3194" i="8"/>
  <c r="V3194" i="8" s="1"/>
  <c r="A3195" i="8"/>
  <c r="V3195" i="8" s="1"/>
  <c r="A3196" i="8"/>
  <c r="V3196" i="8" s="1"/>
  <c r="A3197" i="8"/>
  <c r="V3197" i="8" s="1"/>
  <c r="A3198" i="8"/>
  <c r="V3198" i="8" s="1"/>
  <c r="A3199" i="8"/>
  <c r="V3199" i="8" s="1"/>
  <c r="A3200" i="8"/>
  <c r="V3200" i="8" s="1"/>
  <c r="A3201" i="8"/>
  <c r="V3201" i="8" s="1"/>
  <c r="A3202" i="8"/>
  <c r="V3202" i="8" s="1"/>
  <c r="A3203" i="8"/>
  <c r="V3203" i="8" s="1"/>
  <c r="A3204" i="8"/>
  <c r="V3204" i="8" s="1"/>
  <c r="A3205" i="8"/>
  <c r="V3205" i="8" s="1"/>
  <c r="A3206" i="8"/>
  <c r="V3206" i="8" s="1"/>
  <c r="A3207" i="8"/>
  <c r="V3207" i="8" s="1"/>
  <c r="A3208" i="8"/>
  <c r="V3208" i="8" s="1"/>
  <c r="A3209" i="8"/>
  <c r="V3209" i="8" s="1"/>
  <c r="A3210" i="8"/>
  <c r="V3210" i="8" s="1"/>
  <c r="A3211" i="8"/>
  <c r="V3211" i="8" s="1"/>
  <c r="A3212" i="8"/>
  <c r="V3212" i="8" s="1"/>
  <c r="A3213" i="8"/>
  <c r="V3213" i="8" s="1"/>
  <c r="A3214" i="8"/>
  <c r="V3214" i="8" s="1"/>
  <c r="A3215" i="8"/>
  <c r="V3215" i="8" s="1"/>
  <c r="A3216" i="8"/>
  <c r="V3216" i="8" s="1"/>
  <c r="A3217" i="8"/>
  <c r="V3217" i="8" s="1"/>
  <c r="A3218" i="8"/>
  <c r="V3218" i="8" s="1"/>
  <c r="A3219" i="8"/>
  <c r="V3219" i="8" s="1"/>
  <c r="A3220" i="8"/>
  <c r="V3220" i="8" s="1"/>
  <c r="A3221" i="8"/>
  <c r="V3221" i="8" s="1"/>
  <c r="A3222" i="8"/>
  <c r="V3222" i="8" s="1"/>
  <c r="A3223" i="8"/>
  <c r="V3223" i="8" s="1"/>
  <c r="A3224" i="8"/>
  <c r="V3224" i="8" s="1"/>
  <c r="A3225" i="8"/>
  <c r="V3225" i="8" s="1"/>
  <c r="A3226" i="8"/>
  <c r="V3226" i="8" s="1"/>
  <c r="A3227" i="8"/>
  <c r="V3227" i="8" s="1"/>
  <c r="A3228" i="8"/>
  <c r="V3228" i="8" s="1"/>
  <c r="A3229" i="8"/>
  <c r="V3229" i="8" s="1"/>
  <c r="A3230" i="8"/>
  <c r="V3230" i="8" s="1"/>
  <c r="A3231" i="8"/>
  <c r="V3231" i="8" s="1"/>
  <c r="A3232" i="8"/>
  <c r="V3232" i="8" s="1"/>
  <c r="A3233" i="8"/>
  <c r="V3233" i="8" s="1"/>
  <c r="A3234" i="8"/>
  <c r="V3234" i="8" s="1"/>
  <c r="A3235" i="8"/>
  <c r="V3235" i="8" s="1"/>
  <c r="A3236" i="8"/>
  <c r="V3236" i="8" s="1"/>
  <c r="A3237" i="8"/>
  <c r="V3237" i="8" s="1"/>
  <c r="A3238" i="8"/>
  <c r="V3238" i="8" s="1"/>
  <c r="A3239" i="8"/>
  <c r="V3239" i="8" s="1"/>
  <c r="A3240" i="8"/>
  <c r="V3240" i="8" s="1"/>
  <c r="A3241" i="8"/>
  <c r="V3241" i="8" s="1"/>
  <c r="A3242" i="8"/>
  <c r="V3242" i="8" s="1"/>
  <c r="A3243" i="8"/>
  <c r="V3243" i="8" s="1"/>
  <c r="A3244" i="8"/>
  <c r="V3244" i="8" s="1"/>
  <c r="A3245" i="8"/>
  <c r="V3245" i="8" s="1"/>
  <c r="A3246" i="8"/>
  <c r="V3246" i="8" s="1"/>
  <c r="A3247" i="8"/>
  <c r="V3247" i="8" s="1"/>
  <c r="A3248" i="8"/>
  <c r="V3248" i="8" s="1"/>
  <c r="A3249" i="8"/>
  <c r="V3249" i="8" s="1"/>
  <c r="A3250" i="8"/>
  <c r="V3250" i="8" s="1"/>
  <c r="A3251" i="8"/>
  <c r="V3251" i="8" s="1"/>
  <c r="A3252" i="8"/>
  <c r="V3252" i="8" s="1"/>
  <c r="A3253" i="8"/>
  <c r="V3253" i="8" s="1"/>
  <c r="A3254" i="8"/>
  <c r="V3254" i="8" s="1"/>
  <c r="A3255" i="8"/>
  <c r="V3255" i="8" s="1"/>
  <c r="A3256" i="8"/>
  <c r="V3256" i="8" s="1"/>
  <c r="A3257" i="8"/>
  <c r="V3257" i="8" s="1"/>
  <c r="A3258" i="8"/>
  <c r="V3258" i="8" s="1"/>
  <c r="A3259" i="8"/>
  <c r="V3259" i="8" s="1"/>
  <c r="A3260" i="8"/>
  <c r="V3260" i="8" s="1"/>
  <c r="A3261" i="8"/>
  <c r="V3261" i="8" s="1"/>
  <c r="A3262" i="8"/>
  <c r="V3262" i="8" s="1"/>
  <c r="A3263" i="8"/>
  <c r="V3263" i="8" s="1"/>
  <c r="A3264" i="8"/>
  <c r="V3264" i="8" s="1"/>
  <c r="A3265" i="8"/>
  <c r="V3265" i="8" s="1"/>
  <c r="A3266" i="8"/>
  <c r="V3266" i="8" s="1"/>
  <c r="A3267" i="8"/>
  <c r="V3267" i="8" s="1"/>
  <c r="A3268" i="8"/>
  <c r="V3268" i="8" s="1"/>
  <c r="A3269" i="8"/>
  <c r="V3269" i="8" s="1"/>
  <c r="A3270" i="8"/>
  <c r="V3270" i="8" s="1"/>
  <c r="A3271" i="8"/>
  <c r="V3271" i="8" s="1"/>
  <c r="A3272" i="8"/>
  <c r="V3272" i="8" s="1"/>
  <c r="A3273" i="8"/>
  <c r="V3273" i="8" s="1"/>
  <c r="A3274" i="8"/>
  <c r="V3274" i="8" s="1"/>
  <c r="A3275" i="8"/>
  <c r="V3275" i="8" s="1"/>
  <c r="A3276" i="8"/>
  <c r="V3276" i="8" s="1"/>
  <c r="A3277" i="8"/>
  <c r="V3277" i="8" s="1"/>
  <c r="A3278" i="8"/>
  <c r="V3278" i="8" s="1"/>
  <c r="A3279" i="8"/>
  <c r="V3279" i="8" s="1"/>
  <c r="A3280" i="8"/>
  <c r="V3280" i="8" s="1"/>
  <c r="A3281" i="8"/>
  <c r="V3281" i="8" s="1"/>
  <c r="A3282" i="8"/>
  <c r="V3282" i="8" s="1"/>
  <c r="A3283" i="8"/>
  <c r="V3283" i="8" s="1"/>
  <c r="A3284" i="8"/>
  <c r="V3284" i="8" s="1"/>
  <c r="A3285" i="8"/>
  <c r="V3285" i="8" s="1"/>
  <c r="A3286" i="8"/>
  <c r="V3286" i="8" s="1"/>
  <c r="A3287" i="8"/>
  <c r="V3287" i="8" s="1"/>
  <c r="A3288" i="8"/>
  <c r="V3288" i="8" s="1"/>
  <c r="A3289" i="8"/>
  <c r="V3289" i="8" s="1"/>
  <c r="A3290" i="8"/>
  <c r="V3290" i="8" s="1"/>
  <c r="A3291" i="8"/>
  <c r="V3291" i="8" s="1"/>
  <c r="A3292" i="8"/>
  <c r="V3292" i="8" s="1"/>
  <c r="A3293" i="8"/>
  <c r="V3293" i="8" s="1"/>
  <c r="A3294" i="8"/>
  <c r="V3294" i="8" s="1"/>
  <c r="A3295" i="8"/>
  <c r="V3295" i="8" s="1"/>
  <c r="A3296" i="8"/>
  <c r="V3296" i="8" s="1"/>
  <c r="A3297" i="8"/>
  <c r="V3297" i="8" s="1"/>
  <c r="A3298" i="8"/>
  <c r="V3298" i="8" s="1"/>
  <c r="A3299" i="8"/>
  <c r="V3299" i="8" s="1"/>
  <c r="A3300" i="8"/>
  <c r="V3300" i="8" s="1"/>
  <c r="A3301" i="8"/>
  <c r="V3301" i="8" s="1"/>
  <c r="A3302" i="8"/>
  <c r="V3302" i="8" s="1"/>
  <c r="A3303" i="8"/>
  <c r="V3303" i="8" s="1"/>
  <c r="A3304" i="8"/>
  <c r="V3304" i="8" s="1"/>
  <c r="A3305" i="8"/>
  <c r="V3305" i="8" s="1"/>
  <c r="A3306" i="8"/>
  <c r="V3306" i="8" s="1"/>
  <c r="A3307" i="8"/>
  <c r="V3307" i="8" s="1"/>
  <c r="A3308" i="8"/>
  <c r="V3308" i="8" s="1"/>
  <c r="A3309" i="8"/>
  <c r="V3309" i="8" s="1"/>
  <c r="A3310" i="8"/>
  <c r="V3310" i="8" s="1"/>
  <c r="A3311" i="8"/>
  <c r="V3311" i="8" s="1"/>
  <c r="A3312" i="8"/>
  <c r="V3312" i="8" s="1"/>
  <c r="A3313" i="8"/>
  <c r="V3313" i="8" s="1"/>
  <c r="A3314" i="8"/>
  <c r="V3314" i="8" s="1"/>
  <c r="A3315" i="8"/>
  <c r="V3315" i="8" s="1"/>
  <c r="A3316" i="8"/>
  <c r="V3316" i="8" s="1"/>
  <c r="A3317" i="8"/>
  <c r="V3317" i="8" s="1"/>
  <c r="A3318" i="8"/>
  <c r="V3318" i="8" s="1"/>
  <c r="A3319" i="8"/>
  <c r="V3319" i="8" s="1"/>
  <c r="A3320" i="8"/>
  <c r="V3320" i="8" s="1"/>
  <c r="A3321" i="8"/>
  <c r="V3321" i="8" s="1"/>
  <c r="A3322" i="8"/>
  <c r="V3322" i="8" s="1"/>
  <c r="A3323" i="8"/>
  <c r="V3323" i="8" s="1"/>
  <c r="A3324" i="8"/>
  <c r="V3324" i="8" s="1"/>
  <c r="A3325" i="8"/>
  <c r="V3325" i="8" s="1"/>
  <c r="A3326" i="8"/>
  <c r="V3326" i="8" s="1"/>
  <c r="A3327" i="8"/>
  <c r="V3327" i="8" s="1"/>
  <c r="A3328" i="8"/>
  <c r="V3328" i="8" s="1"/>
  <c r="A3329" i="8"/>
  <c r="V3329" i="8" s="1"/>
  <c r="A3330" i="8"/>
  <c r="V3330" i="8" s="1"/>
  <c r="A3331" i="8"/>
  <c r="V3331" i="8" s="1"/>
  <c r="A3332" i="8"/>
  <c r="V3332" i="8" s="1"/>
  <c r="A3333" i="8"/>
  <c r="V3333" i="8" s="1"/>
  <c r="A3334" i="8"/>
  <c r="V3334" i="8" s="1"/>
  <c r="A3335" i="8"/>
  <c r="V3335" i="8" s="1"/>
  <c r="A3336" i="8"/>
  <c r="V3336" i="8" s="1"/>
  <c r="A3337" i="8"/>
  <c r="V3337" i="8" s="1"/>
  <c r="A3338" i="8"/>
  <c r="V3338" i="8" s="1"/>
  <c r="A3339" i="8"/>
  <c r="V3339" i="8" s="1"/>
  <c r="A3340" i="8"/>
  <c r="V3340" i="8" s="1"/>
  <c r="A3341" i="8"/>
  <c r="V3341" i="8" s="1"/>
  <c r="A3342" i="8"/>
  <c r="V3342" i="8" s="1"/>
  <c r="A3343" i="8"/>
  <c r="V3343" i="8" s="1"/>
  <c r="A3344" i="8"/>
  <c r="V3344" i="8" s="1"/>
  <c r="A3345" i="8"/>
  <c r="V3345" i="8" s="1"/>
  <c r="A3346" i="8"/>
  <c r="V3346" i="8" s="1"/>
  <c r="A3347" i="8"/>
  <c r="V3347" i="8" s="1"/>
  <c r="A3348" i="8"/>
  <c r="V3348" i="8" s="1"/>
  <c r="A3349" i="8"/>
  <c r="V3349" i="8" s="1"/>
  <c r="A3350" i="8"/>
  <c r="V3350" i="8" s="1"/>
  <c r="A3351" i="8"/>
  <c r="V3351" i="8" s="1"/>
  <c r="A3352" i="8"/>
  <c r="V3352" i="8" s="1"/>
  <c r="A3353" i="8"/>
  <c r="V3353" i="8" s="1"/>
  <c r="A3354" i="8"/>
  <c r="V3354" i="8" s="1"/>
  <c r="A3355" i="8"/>
  <c r="V3355" i="8" s="1"/>
  <c r="A3356" i="8"/>
  <c r="V3356" i="8" s="1"/>
  <c r="A3357" i="8"/>
  <c r="V3357" i="8" s="1"/>
  <c r="A3358" i="8"/>
  <c r="V3358" i="8" s="1"/>
  <c r="A3359" i="8"/>
  <c r="V3359" i="8" s="1"/>
  <c r="A3360" i="8"/>
  <c r="V3360" i="8" s="1"/>
  <c r="A3361" i="8"/>
  <c r="V3361" i="8" s="1"/>
  <c r="A3362" i="8"/>
  <c r="V3362" i="8" s="1"/>
  <c r="A3363" i="8"/>
  <c r="V3363" i="8" s="1"/>
  <c r="A3364" i="8"/>
  <c r="V3364" i="8" s="1"/>
  <c r="A3365" i="8"/>
  <c r="V3365" i="8" s="1"/>
  <c r="A3366" i="8"/>
  <c r="V3366" i="8" s="1"/>
  <c r="A3367" i="8"/>
  <c r="V3367" i="8" s="1"/>
  <c r="A3368" i="8"/>
  <c r="V3368" i="8" s="1"/>
  <c r="A3369" i="8"/>
  <c r="V3369" i="8" s="1"/>
  <c r="A3370" i="8"/>
  <c r="V3370" i="8" s="1"/>
  <c r="A3371" i="8"/>
  <c r="V3371" i="8" s="1"/>
  <c r="A3372" i="8"/>
  <c r="V3372" i="8" s="1"/>
  <c r="A3373" i="8"/>
  <c r="V3373" i="8" s="1"/>
  <c r="A3374" i="8"/>
  <c r="V3374" i="8" s="1"/>
  <c r="A3375" i="8"/>
  <c r="V3375" i="8" s="1"/>
  <c r="A3376" i="8"/>
  <c r="V3376" i="8" s="1"/>
  <c r="A3377" i="8"/>
  <c r="V3377" i="8" s="1"/>
  <c r="A3378" i="8"/>
  <c r="V3378" i="8" s="1"/>
  <c r="A3379" i="8"/>
  <c r="V3379" i="8" s="1"/>
  <c r="A3380" i="8"/>
  <c r="V3380" i="8" s="1"/>
  <c r="A3381" i="8"/>
  <c r="V3381" i="8" s="1"/>
  <c r="A3382" i="8"/>
  <c r="V3382" i="8" s="1"/>
  <c r="A3383" i="8"/>
  <c r="V3383" i="8" s="1"/>
  <c r="A3384" i="8"/>
  <c r="V3384" i="8" s="1"/>
  <c r="A3385" i="8"/>
  <c r="V3385" i="8" s="1"/>
  <c r="A3386" i="8"/>
  <c r="V3386" i="8" s="1"/>
  <c r="A3387" i="8"/>
  <c r="V3387" i="8" s="1"/>
  <c r="A3388" i="8"/>
  <c r="V3388" i="8" s="1"/>
  <c r="A3389" i="8"/>
  <c r="V3389" i="8" s="1"/>
  <c r="A3390" i="8"/>
  <c r="V3390" i="8" s="1"/>
  <c r="A3391" i="8"/>
  <c r="V3391" i="8" s="1"/>
  <c r="A3392" i="8"/>
  <c r="V3392" i="8" s="1"/>
  <c r="A3393" i="8"/>
  <c r="V3393" i="8" s="1"/>
  <c r="A3394" i="8"/>
  <c r="V3394" i="8" s="1"/>
  <c r="A3395" i="8"/>
  <c r="V3395" i="8" s="1"/>
  <c r="A3396" i="8"/>
  <c r="V3396" i="8" s="1"/>
  <c r="A3397" i="8"/>
  <c r="V3397" i="8" s="1"/>
  <c r="A3398" i="8"/>
  <c r="V3398" i="8" s="1"/>
  <c r="A3399" i="8"/>
  <c r="V3399" i="8" s="1"/>
  <c r="A3400" i="8"/>
  <c r="V3400" i="8" s="1"/>
  <c r="A3401" i="8"/>
  <c r="V3401" i="8" s="1"/>
  <c r="A3402" i="8"/>
  <c r="V3402" i="8" s="1"/>
  <c r="A3403" i="8"/>
  <c r="V3403" i="8" s="1"/>
  <c r="A3404" i="8"/>
  <c r="V3404" i="8" s="1"/>
  <c r="A3405" i="8"/>
  <c r="V3405" i="8" s="1"/>
  <c r="A3406" i="8"/>
  <c r="V3406" i="8" s="1"/>
  <c r="A3407" i="8"/>
  <c r="V3407" i="8" s="1"/>
  <c r="A3408" i="8"/>
  <c r="V3408" i="8" s="1"/>
  <c r="A3409" i="8"/>
  <c r="V3409" i="8" s="1"/>
  <c r="A3410" i="8"/>
  <c r="V3410" i="8" s="1"/>
  <c r="A3411" i="8"/>
  <c r="V3411" i="8" s="1"/>
  <c r="A3412" i="8"/>
  <c r="V3412" i="8" s="1"/>
  <c r="A3413" i="8"/>
  <c r="V3413" i="8" s="1"/>
  <c r="A3414" i="8"/>
  <c r="V3414" i="8" s="1"/>
  <c r="A3415" i="8"/>
  <c r="V3415" i="8" s="1"/>
  <c r="A3416" i="8"/>
  <c r="V3416" i="8" s="1"/>
  <c r="A3417" i="8"/>
  <c r="V3417" i="8" s="1"/>
  <c r="A3418" i="8"/>
  <c r="V3418" i="8" s="1"/>
  <c r="A3419" i="8"/>
  <c r="V3419" i="8" s="1"/>
  <c r="A3420" i="8"/>
  <c r="V3420" i="8" s="1"/>
  <c r="A3421" i="8"/>
  <c r="V3421" i="8" s="1"/>
  <c r="A3422" i="8"/>
  <c r="V3422" i="8" s="1"/>
  <c r="A3423" i="8"/>
  <c r="V3423" i="8" s="1"/>
  <c r="A3424" i="8"/>
  <c r="V3424" i="8" s="1"/>
  <c r="A3425" i="8"/>
  <c r="V3425" i="8" s="1"/>
  <c r="A3426" i="8"/>
  <c r="V3426" i="8" s="1"/>
  <c r="A3427" i="8"/>
  <c r="V3427" i="8" s="1"/>
  <c r="A3428" i="8"/>
  <c r="V3428" i="8" s="1"/>
  <c r="A3429" i="8"/>
  <c r="V3429" i="8" s="1"/>
  <c r="A3430" i="8"/>
  <c r="V3430" i="8" s="1"/>
  <c r="A3431" i="8"/>
  <c r="V3431" i="8" s="1"/>
  <c r="A3432" i="8"/>
  <c r="V3432" i="8" s="1"/>
  <c r="A3433" i="8"/>
  <c r="V3433" i="8" s="1"/>
  <c r="A3434" i="8"/>
  <c r="V3434" i="8" s="1"/>
  <c r="A3435" i="8"/>
  <c r="V3435" i="8" s="1"/>
  <c r="A3436" i="8"/>
  <c r="V3436" i="8" s="1"/>
  <c r="A3437" i="8"/>
  <c r="V3437" i="8" s="1"/>
  <c r="A3438" i="8"/>
  <c r="V3438" i="8" s="1"/>
  <c r="A3439" i="8"/>
  <c r="V3439" i="8" s="1"/>
  <c r="A3440" i="8"/>
  <c r="V3440" i="8" s="1"/>
  <c r="A3441" i="8"/>
  <c r="V3441" i="8" s="1"/>
  <c r="A3442" i="8"/>
  <c r="V3442" i="8" s="1"/>
  <c r="A3443" i="8"/>
  <c r="V3443" i="8" s="1"/>
  <c r="A3444" i="8"/>
  <c r="V3444" i="8" s="1"/>
  <c r="A3445" i="8"/>
  <c r="V3445" i="8" s="1"/>
  <c r="A3446" i="8"/>
  <c r="V3446" i="8" s="1"/>
  <c r="A3447" i="8"/>
  <c r="V3447" i="8" s="1"/>
  <c r="A3448" i="8"/>
  <c r="V3448" i="8" s="1"/>
  <c r="A3449" i="8"/>
  <c r="V3449" i="8" s="1"/>
  <c r="A3450" i="8"/>
  <c r="V3450" i="8" s="1"/>
  <c r="A3451" i="8"/>
  <c r="V3451" i="8" s="1"/>
  <c r="A3452" i="8"/>
  <c r="V3452" i="8" s="1"/>
  <c r="A3453" i="8"/>
  <c r="V3453" i="8" s="1"/>
  <c r="A3454" i="8"/>
  <c r="V3454" i="8" s="1"/>
  <c r="A3455" i="8"/>
  <c r="V3455" i="8" s="1"/>
  <c r="A3456" i="8"/>
  <c r="V3456" i="8" s="1"/>
  <c r="A3457" i="8"/>
  <c r="V3457" i="8" s="1"/>
  <c r="A3458" i="8"/>
  <c r="V3458" i="8" s="1"/>
  <c r="A3459" i="8"/>
  <c r="V3459" i="8" s="1"/>
  <c r="A3460" i="8"/>
  <c r="V3460" i="8" s="1"/>
  <c r="A3461" i="8"/>
  <c r="V3461" i="8" s="1"/>
  <c r="A3462" i="8"/>
  <c r="V3462" i="8" s="1"/>
  <c r="A3463" i="8"/>
  <c r="V3463" i="8" s="1"/>
  <c r="A3464" i="8"/>
  <c r="V3464" i="8" s="1"/>
  <c r="A3465" i="8"/>
  <c r="V3465" i="8" s="1"/>
  <c r="A3466" i="8"/>
  <c r="V3466" i="8" s="1"/>
  <c r="A3467" i="8"/>
  <c r="V3467" i="8" s="1"/>
  <c r="A3468" i="8"/>
  <c r="V3468" i="8" s="1"/>
  <c r="A3469" i="8"/>
  <c r="V3469" i="8" s="1"/>
  <c r="A3470" i="8"/>
  <c r="V3470" i="8" s="1"/>
  <c r="A3471" i="8"/>
  <c r="V3471" i="8" s="1"/>
  <c r="A3472" i="8"/>
  <c r="V3472" i="8" s="1"/>
  <c r="A3473" i="8"/>
  <c r="V3473" i="8" s="1"/>
  <c r="A3474" i="8"/>
  <c r="V3474" i="8" s="1"/>
  <c r="A3475" i="8"/>
  <c r="V3475" i="8" s="1"/>
  <c r="A3476" i="8"/>
  <c r="V3476" i="8" s="1"/>
  <c r="A3477" i="8"/>
  <c r="V3477" i="8" s="1"/>
  <c r="A3478" i="8"/>
  <c r="V3478" i="8" s="1"/>
  <c r="A3479" i="8"/>
  <c r="V3479" i="8" s="1"/>
  <c r="A3480" i="8"/>
  <c r="V3480" i="8" s="1"/>
  <c r="A3481" i="8"/>
  <c r="V3481" i="8" s="1"/>
  <c r="A3482" i="8"/>
  <c r="V3482" i="8" s="1"/>
  <c r="A3483" i="8"/>
  <c r="V3483" i="8" s="1"/>
  <c r="A3484" i="8"/>
  <c r="V3484" i="8" s="1"/>
  <c r="A3485" i="8"/>
  <c r="V3485" i="8" s="1"/>
  <c r="A3486" i="8"/>
  <c r="V3486" i="8" s="1"/>
  <c r="A3487" i="8"/>
  <c r="V3487" i="8" s="1"/>
  <c r="A3488" i="8"/>
  <c r="V3488" i="8" s="1"/>
  <c r="A3489" i="8"/>
  <c r="V3489" i="8" s="1"/>
  <c r="A3490" i="8"/>
  <c r="V3490" i="8" s="1"/>
  <c r="A3491" i="8"/>
  <c r="V3491" i="8" s="1"/>
  <c r="A3492" i="8"/>
  <c r="V3492" i="8" s="1"/>
  <c r="A3493" i="8"/>
  <c r="V3493" i="8" s="1"/>
  <c r="A3494" i="8"/>
  <c r="V3494" i="8" s="1"/>
  <c r="A3495" i="8"/>
  <c r="V3495" i="8" s="1"/>
  <c r="A3496" i="8"/>
  <c r="V3496" i="8" s="1"/>
  <c r="A3497" i="8"/>
  <c r="V3497" i="8" s="1"/>
  <c r="A3498" i="8"/>
  <c r="V3498" i="8" s="1"/>
  <c r="A3499" i="8"/>
  <c r="V3499" i="8" s="1"/>
  <c r="A3500" i="8"/>
  <c r="V3500" i="8" s="1"/>
  <c r="A3501" i="8"/>
  <c r="V3501" i="8" s="1"/>
  <c r="A3502" i="8"/>
  <c r="V3502" i="8" s="1"/>
  <c r="A3503" i="8"/>
  <c r="V3503" i="8" s="1"/>
  <c r="A3504" i="8"/>
  <c r="V3504" i="8" s="1"/>
  <c r="A3505" i="8"/>
  <c r="V3505" i="8" s="1"/>
  <c r="A3506" i="8"/>
  <c r="V3506" i="8" s="1"/>
  <c r="A3507" i="8"/>
  <c r="V3507" i="8" s="1"/>
  <c r="A3508" i="8"/>
  <c r="V3508" i="8" s="1"/>
  <c r="A3509" i="8"/>
  <c r="V3509" i="8" s="1"/>
  <c r="A3510" i="8"/>
  <c r="V3510" i="8" s="1"/>
  <c r="A3511" i="8"/>
  <c r="V3511" i="8" s="1"/>
  <c r="A3512" i="8"/>
  <c r="V3512" i="8" s="1"/>
  <c r="A3513" i="8"/>
  <c r="V3513" i="8" s="1"/>
  <c r="A3514" i="8"/>
  <c r="V3514" i="8" s="1"/>
  <c r="A3515" i="8"/>
  <c r="V3515" i="8" s="1"/>
  <c r="A3516" i="8"/>
  <c r="V3516" i="8" s="1"/>
  <c r="A3517" i="8"/>
  <c r="V3517" i="8" s="1"/>
  <c r="A3518" i="8"/>
  <c r="V3518" i="8" s="1"/>
  <c r="A3519" i="8"/>
  <c r="V3519" i="8" s="1"/>
  <c r="A3520" i="8"/>
  <c r="V3520" i="8" s="1"/>
  <c r="A3521" i="8"/>
  <c r="V3521" i="8" s="1"/>
  <c r="A3522" i="8"/>
  <c r="V3522" i="8" s="1"/>
  <c r="A3523" i="8"/>
  <c r="V3523" i="8" s="1"/>
  <c r="A3524" i="8"/>
  <c r="V3524" i="8" s="1"/>
  <c r="A3525" i="8"/>
  <c r="V3525" i="8" s="1"/>
  <c r="A3526" i="8"/>
  <c r="V3526" i="8" s="1"/>
  <c r="A3527" i="8"/>
  <c r="V3527" i="8" s="1"/>
  <c r="A3528" i="8"/>
  <c r="V3528" i="8" s="1"/>
  <c r="A3529" i="8"/>
  <c r="V3529" i="8" s="1"/>
  <c r="A3530" i="8"/>
  <c r="V3530" i="8" s="1"/>
  <c r="A3531" i="8"/>
  <c r="V3531" i="8" s="1"/>
  <c r="A3532" i="8"/>
  <c r="V3532" i="8" s="1"/>
  <c r="A3533" i="8"/>
  <c r="V3533" i="8" s="1"/>
  <c r="A3534" i="8"/>
  <c r="V3534" i="8" s="1"/>
  <c r="A3535" i="8"/>
  <c r="V3535" i="8" s="1"/>
  <c r="A3536" i="8"/>
  <c r="V3536" i="8" s="1"/>
  <c r="A3537" i="8"/>
  <c r="V3537" i="8" s="1"/>
  <c r="A3538" i="8"/>
  <c r="V3538" i="8" s="1"/>
  <c r="A3539" i="8"/>
  <c r="V3539" i="8" s="1"/>
  <c r="A3540" i="8"/>
  <c r="V3540" i="8" s="1"/>
  <c r="A3541" i="8"/>
  <c r="V3541" i="8" s="1"/>
  <c r="A3542" i="8"/>
  <c r="V3542" i="8" s="1"/>
  <c r="A3543" i="8"/>
  <c r="V3543" i="8" s="1"/>
  <c r="A3544" i="8"/>
  <c r="V3544" i="8" s="1"/>
  <c r="A3545" i="8"/>
  <c r="V3545" i="8" s="1"/>
  <c r="A3546" i="8"/>
  <c r="V3546" i="8" s="1"/>
  <c r="A3547" i="8"/>
  <c r="V3547" i="8" s="1"/>
  <c r="A3548" i="8"/>
  <c r="V3548" i="8" s="1"/>
  <c r="A3549" i="8"/>
  <c r="V3549" i="8" s="1"/>
  <c r="A3550" i="8"/>
  <c r="V3550" i="8" s="1"/>
  <c r="A3551" i="8"/>
  <c r="V3551" i="8" s="1"/>
  <c r="A3552" i="8"/>
  <c r="V3552" i="8" s="1"/>
  <c r="A3553" i="8"/>
  <c r="V3553" i="8" s="1"/>
  <c r="A3554" i="8"/>
  <c r="V3554" i="8" s="1"/>
  <c r="A3555" i="8"/>
  <c r="V3555" i="8" s="1"/>
  <c r="A3556" i="8"/>
  <c r="V3556" i="8" s="1"/>
  <c r="A3557" i="8"/>
  <c r="V3557" i="8" s="1"/>
  <c r="A3558" i="8"/>
  <c r="V3558" i="8" s="1"/>
  <c r="A3559" i="8"/>
  <c r="V3559" i="8" s="1"/>
  <c r="A3560" i="8"/>
  <c r="V3560" i="8" s="1"/>
  <c r="A3561" i="8"/>
  <c r="V3561" i="8" s="1"/>
  <c r="A3562" i="8"/>
  <c r="V3562" i="8" s="1"/>
  <c r="A3563" i="8"/>
  <c r="V3563" i="8" s="1"/>
  <c r="A3564" i="8"/>
  <c r="V3564" i="8" s="1"/>
  <c r="A3565" i="8"/>
  <c r="V3565" i="8" s="1"/>
  <c r="A3566" i="8"/>
  <c r="V3566" i="8" s="1"/>
  <c r="A3567" i="8"/>
  <c r="V3567" i="8" s="1"/>
  <c r="A3568" i="8"/>
  <c r="V3568" i="8" s="1"/>
  <c r="A3569" i="8"/>
  <c r="V3569" i="8" s="1"/>
  <c r="A3570" i="8"/>
  <c r="V3570" i="8" s="1"/>
  <c r="A3571" i="8"/>
  <c r="V3571" i="8" s="1"/>
  <c r="A3572" i="8"/>
  <c r="V3572" i="8" s="1"/>
  <c r="A3573" i="8"/>
  <c r="V3573" i="8" s="1"/>
  <c r="A3574" i="8"/>
  <c r="V3574" i="8" s="1"/>
  <c r="A3575" i="8"/>
  <c r="V3575" i="8" s="1"/>
  <c r="A3576" i="8"/>
  <c r="V3576" i="8" s="1"/>
  <c r="A3577" i="8"/>
  <c r="V3577" i="8" s="1"/>
  <c r="A3578" i="8"/>
  <c r="V3578" i="8" s="1"/>
  <c r="A3579" i="8"/>
  <c r="V3579" i="8" s="1"/>
  <c r="A3580" i="8"/>
  <c r="V3580" i="8" s="1"/>
  <c r="A3581" i="8"/>
  <c r="V3581" i="8" s="1"/>
  <c r="A3582" i="8"/>
  <c r="V3582" i="8" s="1"/>
  <c r="A3583" i="8"/>
  <c r="V3583" i="8" s="1"/>
  <c r="A3584" i="8"/>
  <c r="V3584" i="8" s="1"/>
  <c r="A3585" i="8"/>
  <c r="V3585" i="8" s="1"/>
  <c r="A3586" i="8"/>
  <c r="V3586" i="8" s="1"/>
  <c r="A3587" i="8"/>
  <c r="V3587" i="8" s="1"/>
  <c r="A3588" i="8"/>
  <c r="V3588" i="8" s="1"/>
  <c r="A3589" i="8"/>
  <c r="V3589" i="8" s="1"/>
  <c r="A3590" i="8"/>
  <c r="V3590" i="8" s="1"/>
  <c r="A3591" i="8"/>
  <c r="V3591" i="8" s="1"/>
  <c r="A3592" i="8"/>
  <c r="V3592" i="8" s="1"/>
  <c r="A3593" i="8"/>
  <c r="V3593" i="8" s="1"/>
  <c r="A3594" i="8"/>
  <c r="V3594" i="8" s="1"/>
  <c r="A3595" i="8"/>
  <c r="V3595" i="8" s="1"/>
  <c r="A3596" i="8"/>
  <c r="V3596" i="8" s="1"/>
  <c r="A3597" i="8"/>
  <c r="V3597" i="8" s="1"/>
  <c r="A3598" i="8"/>
  <c r="V3598" i="8" s="1"/>
  <c r="A3599" i="8"/>
  <c r="V3599" i="8" s="1"/>
  <c r="A3600" i="8"/>
  <c r="V3600" i="8" s="1"/>
  <c r="A3601" i="8"/>
  <c r="V3601" i="8" s="1"/>
  <c r="A3602" i="8"/>
  <c r="V3602" i="8" s="1"/>
  <c r="A3603" i="8"/>
  <c r="V3603" i="8" s="1"/>
  <c r="A3604" i="8"/>
  <c r="V3604" i="8" s="1"/>
  <c r="A3605" i="8"/>
  <c r="V3605" i="8" s="1"/>
  <c r="A3606" i="8"/>
  <c r="V3606" i="8" s="1"/>
  <c r="A3607" i="8"/>
  <c r="V3607" i="8" s="1"/>
  <c r="A3608" i="8"/>
  <c r="V3608" i="8" s="1"/>
  <c r="A3609" i="8"/>
  <c r="V3609" i="8" s="1"/>
  <c r="A3610" i="8"/>
  <c r="V3610" i="8" s="1"/>
  <c r="A3611" i="8"/>
  <c r="V3611" i="8" s="1"/>
  <c r="A3612" i="8"/>
  <c r="V3612" i="8" s="1"/>
  <c r="A3613" i="8"/>
  <c r="V3613" i="8" s="1"/>
  <c r="A3614" i="8"/>
  <c r="V3614" i="8" s="1"/>
  <c r="A3615" i="8"/>
  <c r="V3615" i="8" s="1"/>
  <c r="A3616" i="8"/>
  <c r="V3616" i="8" s="1"/>
  <c r="A3617" i="8"/>
  <c r="V3617" i="8" s="1"/>
  <c r="A3618" i="8"/>
  <c r="V3618" i="8" s="1"/>
  <c r="A3619" i="8"/>
  <c r="V3619" i="8" s="1"/>
  <c r="A3620" i="8"/>
  <c r="V3620" i="8" s="1"/>
  <c r="A3621" i="8"/>
  <c r="V3621" i="8" s="1"/>
  <c r="A3622" i="8"/>
  <c r="V3622" i="8" s="1"/>
  <c r="A3623" i="8"/>
  <c r="V3623" i="8" s="1"/>
  <c r="A3624" i="8"/>
  <c r="V3624" i="8" s="1"/>
  <c r="A3625" i="8"/>
  <c r="V3625" i="8" s="1"/>
  <c r="A3626" i="8"/>
  <c r="V3626" i="8" s="1"/>
  <c r="A3627" i="8"/>
  <c r="V3627" i="8" s="1"/>
  <c r="A3628" i="8"/>
  <c r="V3628" i="8" s="1"/>
  <c r="A3629" i="8"/>
  <c r="V3629" i="8" s="1"/>
  <c r="A3630" i="8"/>
  <c r="V3630" i="8" s="1"/>
  <c r="A3631" i="8"/>
  <c r="V3631" i="8" s="1"/>
  <c r="A3632" i="8"/>
  <c r="V3632" i="8" s="1"/>
  <c r="A3633" i="8"/>
  <c r="V3633" i="8" s="1"/>
  <c r="A3634" i="8"/>
  <c r="V3634" i="8" s="1"/>
  <c r="A3635" i="8"/>
  <c r="V3635" i="8" s="1"/>
  <c r="A3636" i="8"/>
  <c r="V3636" i="8" s="1"/>
  <c r="A3637" i="8"/>
  <c r="V3637" i="8" s="1"/>
  <c r="A3638" i="8"/>
  <c r="V3638" i="8" s="1"/>
  <c r="A3639" i="8"/>
  <c r="V3639" i="8" s="1"/>
  <c r="A3640" i="8"/>
  <c r="V3640" i="8" s="1"/>
  <c r="A3641" i="8"/>
  <c r="V3641" i="8" s="1"/>
  <c r="A3642" i="8"/>
  <c r="V3642" i="8" s="1"/>
  <c r="A3643" i="8"/>
  <c r="V3643" i="8" s="1"/>
  <c r="A3644" i="8"/>
  <c r="V3644" i="8" s="1"/>
  <c r="A3645" i="8"/>
  <c r="V3645" i="8" s="1"/>
  <c r="A3646" i="8"/>
  <c r="V3646" i="8" s="1"/>
  <c r="A3647" i="8"/>
  <c r="V3647" i="8" s="1"/>
  <c r="A3648" i="8"/>
  <c r="V3648" i="8" s="1"/>
  <c r="A3649" i="8"/>
  <c r="V3649" i="8" s="1"/>
  <c r="A3650" i="8"/>
  <c r="V3650" i="8" s="1"/>
  <c r="A3651" i="8"/>
  <c r="V3651" i="8" s="1"/>
  <c r="A3652" i="8"/>
  <c r="V3652" i="8" s="1"/>
  <c r="A3653" i="8"/>
  <c r="V3653" i="8" s="1"/>
  <c r="A3654" i="8"/>
  <c r="V3654" i="8" s="1"/>
  <c r="A3655" i="8"/>
  <c r="V3655" i="8" s="1"/>
  <c r="A3656" i="8"/>
  <c r="V3656" i="8" s="1"/>
  <c r="A3657" i="8"/>
  <c r="V3657" i="8" s="1"/>
  <c r="A3658" i="8"/>
  <c r="V3658" i="8" s="1"/>
  <c r="A3659" i="8"/>
  <c r="V3659" i="8" s="1"/>
  <c r="A3660" i="8"/>
  <c r="V3660" i="8" s="1"/>
  <c r="A3661" i="8"/>
  <c r="V3661" i="8" s="1"/>
  <c r="A3662" i="8"/>
  <c r="V3662" i="8" s="1"/>
  <c r="A3663" i="8"/>
  <c r="V3663" i="8" s="1"/>
  <c r="A3664" i="8"/>
  <c r="V3664" i="8" s="1"/>
  <c r="A3665" i="8"/>
  <c r="V3665" i="8" s="1"/>
  <c r="A3666" i="8"/>
  <c r="V3666" i="8" s="1"/>
  <c r="A3667" i="8"/>
  <c r="V3667" i="8" s="1"/>
  <c r="A3668" i="8"/>
  <c r="V3668" i="8" s="1"/>
  <c r="A3669" i="8"/>
  <c r="V3669" i="8" s="1"/>
  <c r="A3670" i="8"/>
  <c r="V3670" i="8" s="1"/>
  <c r="A3671" i="8"/>
  <c r="V3671" i="8" s="1"/>
  <c r="A3672" i="8"/>
  <c r="V3672" i="8" s="1"/>
  <c r="A3673" i="8"/>
  <c r="V3673" i="8" s="1"/>
  <c r="A3674" i="8"/>
  <c r="V3674" i="8" s="1"/>
  <c r="A3675" i="8"/>
  <c r="V3675" i="8" s="1"/>
  <c r="A3676" i="8"/>
  <c r="V3676" i="8" s="1"/>
  <c r="A3677" i="8"/>
  <c r="V3677" i="8" s="1"/>
  <c r="A3678" i="8"/>
  <c r="V3678" i="8" s="1"/>
  <c r="A3679" i="8"/>
  <c r="V3679" i="8" s="1"/>
  <c r="A3680" i="8"/>
  <c r="V3680" i="8" s="1"/>
  <c r="A3681" i="8"/>
  <c r="V3681" i="8" s="1"/>
  <c r="A3682" i="8"/>
  <c r="V3682" i="8" s="1"/>
  <c r="A3683" i="8"/>
  <c r="V3683" i="8" s="1"/>
  <c r="A3684" i="8"/>
  <c r="V3684" i="8" s="1"/>
  <c r="A3685" i="8"/>
  <c r="V3685" i="8" s="1"/>
  <c r="A3686" i="8"/>
  <c r="V3686" i="8" s="1"/>
  <c r="A3687" i="8"/>
  <c r="V3687" i="8" s="1"/>
  <c r="A3688" i="8"/>
  <c r="V3688" i="8" s="1"/>
  <c r="A3689" i="8"/>
  <c r="V3689" i="8" s="1"/>
  <c r="A3690" i="8"/>
  <c r="V3690" i="8" s="1"/>
  <c r="A3691" i="8"/>
  <c r="V3691" i="8" s="1"/>
  <c r="A3692" i="8"/>
  <c r="V3692" i="8" s="1"/>
  <c r="A3693" i="8"/>
  <c r="V3693" i="8" s="1"/>
  <c r="A3694" i="8"/>
  <c r="V3694" i="8" s="1"/>
  <c r="A3695" i="8"/>
  <c r="V3695" i="8" s="1"/>
  <c r="A3696" i="8"/>
  <c r="V3696" i="8" s="1"/>
  <c r="A3697" i="8"/>
  <c r="V3697" i="8" s="1"/>
  <c r="A3698" i="8"/>
  <c r="V3698" i="8" s="1"/>
  <c r="A3699" i="8"/>
  <c r="V3699" i="8" s="1"/>
  <c r="A3700" i="8"/>
  <c r="V3700" i="8" s="1"/>
  <c r="A3701" i="8"/>
  <c r="V3701" i="8" s="1"/>
  <c r="A3702" i="8"/>
  <c r="V3702" i="8" s="1"/>
  <c r="A3703" i="8"/>
  <c r="V3703" i="8" s="1"/>
  <c r="A3704" i="8"/>
  <c r="V3704" i="8" s="1"/>
  <c r="A3705" i="8"/>
  <c r="V3705" i="8" s="1"/>
  <c r="A3706" i="8"/>
  <c r="V3706" i="8" s="1"/>
  <c r="A3707" i="8"/>
  <c r="V3707" i="8" s="1"/>
  <c r="A3708" i="8"/>
  <c r="V3708" i="8" s="1"/>
  <c r="A3709" i="8"/>
  <c r="V3709" i="8" s="1"/>
  <c r="A3710" i="8"/>
  <c r="V3710" i="8" s="1"/>
  <c r="A3711" i="8"/>
  <c r="V3711" i="8" s="1"/>
  <c r="A3712" i="8"/>
  <c r="V3712" i="8" s="1"/>
  <c r="A3713" i="8"/>
  <c r="V3713" i="8" s="1"/>
  <c r="A3714" i="8"/>
  <c r="V3714" i="8" s="1"/>
  <c r="A3715" i="8"/>
  <c r="V3715" i="8" s="1"/>
  <c r="A3716" i="8"/>
  <c r="V3716" i="8" s="1"/>
  <c r="A3717" i="8"/>
  <c r="V3717" i="8" s="1"/>
  <c r="A3718" i="8"/>
  <c r="V3718" i="8" s="1"/>
  <c r="A3719" i="8"/>
  <c r="V3719" i="8" s="1"/>
  <c r="A3720" i="8"/>
  <c r="V3720" i="8" s="1"/>
  <c r="A3721" i="8"/>
  <c r="V3721" i="8" s="1"/>
  <c r="A3722" i="8"/>
  <c r="V3722" i="8" s="1"/>
  <c r="A3723" i="8"/>
  <c r="A3724" i="8"/>
  <c r="V3724" i="8" s="1"/>
  <c r="A3725" i="8"/>
  <c r="V3725" i="8" s="1"/>
  <c r="A3726" i="8"/>
  <c r="V3726" i="8" s="1"/>
  <c r="A3727" i="8"/>
  <c r="V3727" i="8" s="1"/>
  <c r="A3728" i="8"/>
  <c r="V3728" i="8" s="1"/>
  <c r="A3729" i="8"/>
  <c r="V3729" i="8" s="1"/>
  <c r="A3730" i="8"/>
  <c r="V3730" i="8" s="1"/>
  <c r="A3731" i="8"/>
  <c r="V3731" i="8" s="1"/>
  <c r="A3732" i="8"/>
  <c r="V3732" i="8" s="1"/>
  <c r="A3733" i="8"/>
  <c r="V3733" i="8" s="1"/>
  <c r="A3734" i="8"/>
  <c r="V3734" i="8" s="1"/>
  <c r="A3735" i="8"/>
  <c r="V3735" i="8" s="1"/>
  <c r="A3736" i="8"/>
  <c r="V3736" i="8" s="1"/>
  <c r="A3737" i="8"/>
  <c r="V3737" i="8" s="1"/>
  <c r="A3738" i="8"/>
  <c r="V3738" i="8" s="1"/>
  <c r="A3739" i="8"/>
  <c r="V3739" i="8" s="1"/>
  <c r="A3740" i="8"/>
  <c r="V3740" i="8" s="1"/>
  <c r="A3741" i="8"/>
  <c r="V3741" i="8" s="1"/>
  <c r="A3742" i="8"/>
  <c r="V3742" i="8" s="1"/>
  <c r="A3743" i="8"/>
  <c r="V3743" i="8" s="1"/>
  <c r="A3744" i="8"/>
  <c r="V3744" i="8" s="1"/>
  <c r="A3745" i="8"/>
  <c r="V3745" i="8" s="1"/>
  <c r="A3746" i="8"/>
  <c r="V3746" i="8" s="1"/>
  <c r="A3747" i="8"/>
  <c r="V3747" i="8" s="1"/>
  <c r="A3748" i="8"/>
  <c r="V3748" i="8" s="1"/>
  <c r="A3749" i="8"/>
  <c r="V3749" i="8" s="1"/>
  <c r="A3750" i="8"/>
  <c r="V3750" i="8" s="1"/>
  <c r="A3751" i="8"/>
  <c r="V3751" i="8" s="1"/>
  <c r="A3752" i="8"/>
  <c r="V3752" i="8" s="1"/>
  <c r="A3753" i="8"/>
  <c r="V3753" i="8" s="1"/>
  <c r="A3754" i="8"/>
  <c r="V3754" i="8" s="1"/>
  <c r="A3755" i="8"/>
  <c r="V3755" i="8" s="1"/>
  <c r="A3756" i="8"/>
  <c r="V3756" i="8" s="1"/>
  <c r="A3757" i="8"/>
  <c r="V3757" i="8" s="1"/>
  <c r="A3758" i="8"/>
  <c r="V3758" i="8" s="1"/>
  <c r="A3759" i="8"/>
  <c r="V3759" i="8" s="1"/>
  <c r="A3760" i="8"/>
  <c r="V3760" i="8" s="1"/>
  <c r="A3761" i="8"/>
  <c r="V3761" i="8" s="1"/>
  <c r="A3762" i="8"/>
  <c r="V3762" i="8" s="1"/>
  <c r="A3763" i="8"/>
  <c r="V3763" i="8" s="1"/>
  <c r="A3764" i="8"/>
  <c r="V3764" i="8" s="1"/>
  <c r="A3765" i="8"/>
  <c r="V3765" i="8" s="1"/>
  <c r="A3766" i="8"/>
  <c r="V3766" i="8" s="1"/>
  <c r="A3767" i="8"/>
  <c r="V3767" i="8" s="1"/>
  <c r="A3768" i="8"/>
  <c r="V3768" i="8" s="1"/>
  <c r="A3769" i="8"/>
  <c r="V3769" i="8" s="1"/>
  <c r="A3770" i="8"/>
  <c r="V3770" i="8" s="1"/>
  <c r="A3771" i="8"/>
  <c r="V3771" i="8" s="1"/>
  <c r="A3772" i="8"/>
  <c r="V3772" i="8" s="1"/>
  <c r="A3773" i="8"/>
  <c r="V3773" i="8" s="1"/>
  <c r="A3774" i="8"/>
  <c r="V3774" i="8" s="1"/>
  <c r="A3775" i="8"/>
  <c r="V3775" i="8" s="1"/>
  <c r="A3776" i="8"/>
  <c r="V3776" i="8" s="1"/>
  <c r="A3777" i="8"/>
  <c r="V3777" i="8" s="1"/>
  <c r="A3778" i="8"/>
  <c r="V3778" i="8" s="1"/>
  <c r="A3779" i="8"/>
  <c r="V3779" i="8" s="1"/>
  <c r="A3780" i="8"/>
  <c r="V3780" i="8" s="1"/>
  <c r="A3781" i="8"/>
  <c r="V3781" i="8" s="1"/>
  <c r="A3782" i="8"/>
  <c r="V3782" i="8" s="1"/>
  <c r="A3783" i="8"/>
  <c r="V3783" i="8" s="1"/>
  <c r="A3784" i="8"/>
  <c r="V3784" i="8" s="1"/>
  <c r="A3785" i="8"/>
  <c r="V3785" i="8" s="1"/>
  <c r="A3786" i="8"/>
  <c r="V3786" i="8" s="1"/>
  <c r="A3787" i="8"/>
  <c r="V3787" i="8" s="1"/>
  <c r="A3788" i="8"/>
  <c r="V3788" i="8" s="1"/>
  <c r="A3789" i="8"/>
  <c r="V3789" i="8" s="1"/>
  <c r="A3790" i="8"/>
  <c r="V3790" i="8" s="1"/>
  <c r="A3791" i="8"/>
  <c r="V3791" i="8" s="1"/>
  <c r="A3792" i="8"/>
  <c r="V3792" i="8" s="1"/>
  <c r="A3793" i="8"/>
  <c r="V3793" i="8" s="1"/>
  <c r="A3794" i="8"/>
  <c r="V3794" i="8" s="1"/>
  <c r="A3795" i="8"/>
  <c r="V3795" i="8" s="1"/>
  <c r="A3796" i="8"/>
  <c r="V3796" i="8" s="1"/>
  <c r="A3797" i="8"/>
  <c r="V3797" i="8" s="1"/>
  <c r="A3798" i="8"/>
  <c r="V3798" i="8" s="1"/>
  <c r="A3799" i="8"/>
  <c r="V3799" i="8" s="1"/>
  <c r="A3800" i="8"/>
  <c r="V3800" i="8" s="1"/>
  <c r="A3801" i="8"/>
  <c r="V3801" i="8" s="1"/>
  <c r="A3802" i="8"/>
  <c r="V3802" i="8" s="1"/>
  <c r="A3803" i="8"/>
  <c r="V3803" i="8" s="1"/>
  <c r="A3804" i="8"/>
  <c r="V3804" i="8" s="1"/>
  <c r="A3805" i="8"/>
  <c r="V3805" i="8" s="1"/>
  <c r="A3806" i="8"/>
  <c r="V3806" i="8" s="1"/>
  <c r="A3807" i="8"/>
  <c r="V3807" i="8" s="1"/>
  <c r="A3808" i="8"/>
  <c r="V3808" i="8" s="1"/>
  <c r="A3809" i="8"/>
  <c r="V3809" i="8" s="1"/>
  <c r="A3810" i="8"/>
  <c r="V3810" i="8" s="1"/>
  <c r="A3811" i="8"/>
  <c r="V3811" i="8" s="1"/>
  <c r="A3812" i="8"/>
  <c r="V3812" i="8" s="1"/>
  <c r="A3813" i="8"/>
  <c r="V3813" i="8" s="1"/>
  <c r="A3814" i="8"/>
  <c r="V3814" i="8" s="1"/>
  <c r="A3815" i="8"/>
  <c r="V3815" i="8" s="1"/>
  <c r="A3816" i="8"/>
  <c r="V3816" i="8" s="1"/>
  <c r="A3817" i="8"/>
  <c r="V3817" i="8" s="1"/>
  <c r="A3818" i="8"/>
  <c r="V3818" i="8" s="1"/>
  <c r="A3819" i="8"/>
  <c r="V3819" i="8" s="1"/>
  <c r="A3820" i="8"/>
  <c r="V3820" i="8" s="1"/>
  <c r="A3821" i="8"/>
  <c r="V3821" i="8" s="1"/>
  <c r="A3822" i="8"/>
  <c r="V3822" i="8" s="1"/>
  <c r="A3823" i="8"/>
  <c r="V3823" i="8" s="1"/>
  <c r="A3824" i="8"/>
  <c r="V3824" i="8" s="1"/>
  <c r="A3825" i="8"/>
  <c r="V3825" i="8" s="1"/>
  <c r="A3826" i="8"/>
  <c r="V3826" i="8" s="1"/>
  <c r="A3827" i="8"/>
  <c r="V3827" i="8" s="1"/>
  <c r="A3828" i="8"/>
  <c r="V3828" i="8" s="1"/>
  <c r="A3829" i="8"/>
  <c r="V3829" i="8" s="1"/>
  <c r="A3830" i="8"/>
  <c r="V3830" i="8" s="1"/>
  <c r="A3831" i="8"/>
  <c r="V3831" i="8" s="1"/>
  <c r="A3832" i="8"/>
  <c r="V3832" i="8" s="1"/>
  <c r="A3833" i="8"/>
  <c r="V3833" i="8" s="1"/>
  <c r="A3834" i="8"/>
  <c r="V3834" i="8" s="1"/>
  <c r="A3835" i="8"/>
  <c r="V3835" i="8" s="1"/>
  <c r="A3836" i="8"/>
  <c r="V3836" i="8" s="1"/>
  <c r="A3837" i="8"/>
  <c r="V3837" i="8" s="1"/>
  <c r="A3838" i="8"/>
  <c r="V3838" i="8" s="1"/>
  <c r="A3839" i="8"/>
  <c r="V3839" i="8" s="1"/>
  <c r="A3840" i="8"/>
  <c r="V3840" i="8" s="1"/>
  <c r="A3841" i="8"/>
  <c r="V3841" i="8" s="1"/>
  <c r="A3842" i="8"/>
  <c r="V3842" i="8" s="1"/>
  <c r="A3843" i="8"/>
  <c r="V3843" i="8" s="1"/>
  <c r="A3844" i="8"/>
  <c r="V3844" i="8" s="1"/>
  <c r="A3845" i="8"/>
  <c r="V3845" i="8" s="1"/>
  <c r="A3846" i="8"/>
  <c r="V3846" i="8" s="1"/>
  <c r="A3847" i="8"/>
  <c r="V3847" i="8" s="1"/>
  <c r="A3848" i="8"/>
  <c r="V3848" i="8" s="1"/>
  <c r="A3849" i="8"/>
  <c r="V3849" i="8" s="1"/>
  <c r="A3850" i="8"/>
  <c r="V3850" i="8" s="1"/>
  <c r="A3851" i="8"/>
  <c r="V3851" i="8" s="1"/>
  <c r="A3852" i="8"/>
  <c r="V3852" i="8" s="1"/>
  <c r="A3853" i="8"/>
  <c r="V3853" i="8" s="1"/>
  <c r="A3854" i="8"/>
  <c r="V3854" i="8" s="1"/>
  <c r="A3855" i="8"/>
  <c r="V3855" i="8" s="1"/>
  <c r="A3856" i="8"/>
  <c r="V3856" i="8" s="1"/>
  <c r="A3857" i="8"/>
  <c r="V3857" i="8" s="1"/>
  <c r="A3858" i="8"/>
  <c r="V3858" i="8" s="1"/>
  <c r="A3859" i="8"/>
  <c r="V3859" i="8" s="1"/>
  <c r="A3860" i="8"/>
  <c r="V3860" i="8" s="1"/>
  <c r="A3861" i="8"/>
  <c r="V3861" i="8" s="1"/>
  <c r="A3862" i="8"/>
  <c r="V3862" i="8" s="1"/>
  <c r="A3863" i="8"/>
  <c r="V3863" i="8" s="1"/>
  <c r="A3864" i="8"/>
  <c r="V3864" i="8" s="1"/>
  <c r="A3865" i="8"/>
  <c r="V3865" i="8" s="1"/>
  <c r="A3866" i="8"/>
  <c r="V3866" i="8" s="1"/>
  <c r="A3867" i="8"/>
  <c r="V3867" i="8" s="1"/>
  <c r="A3868" i="8"/>
  <c r="V3868" i="8" s="1"/>
  <c r="A3869" i="8"/>
  <c r="V3869" i="8" s="1"/>
  <c r="A3870" i="8"/>
  <c r="V3870" i="8" s="1"/>
  <c r="A3871" i="8"/>
  <c r="V3871" i="8" s="1"/>
  <c r="A3872" i="8"/>
  <c r="V3872" i="8" s="1"/>
  <c r="A3873" i="8"/>
  <c r="V3873" i="8" s="1"/>
  <c r="A3874" i="8"/>
  <c r="V3874" i="8" s="1"/>
  <c r="A3875" i="8"/>
  <c r="V3875" i="8" s="1"/>
  <c r="A3876" i="8"/>
  <c r="V3876" i="8" s="1"/>
  <c r="A3877" i="8"/>
  <c r="V3877" i="8" s="1"/>
  <c r="A3878" i="8"/>
  <c r="V3878" i="8" s="1"/>
  <c r="A3879" i="8"/>
  <c r="V3879" i="8" s="1"/>
  <c r="A3880" i="8"/>
  <c r="V3880" i="8" s="1"/>
  <c r="A3881" i="8"/>
  <c r="V3881" i="8" s="1"/>
  <c r="A3882" i="8"/>
  <c r="V3882" i="8" s="1"/>
  <c r="A3883" i="8"/>
  <c r="V3883" i="8" s="1"/>
  <c r="A3884" i="8"/>
  <c r="V3884" i="8" s="1"/>
  <c r="A3885" i="8"/>
  <c r="V3885" i="8" s="1"/>
  <c r="A3886" i="8"/>
  <c r="V3886" i="8" s="1"/>
  <c r="A3887" i="8"/>
  <c r="V3887" i="8" s="1"/>
  <c r="A3888" i="8"/>
  <c r="V3888" i="8" s="1"/>
  <c r="A3889" i="8"/>
  <c r="V3889" i="8" s="1"/>
  <c r="A3890" i="8"/>
  <c r="V3890" i="8" s="1"/>
  <c r="A3891" i="8"/>
  <c r="V3891" i="8" s="1"/>
  <c r="A3892" i="8"/>
  <c r="V3892" i="8" s="1"/>
  <c r="A3893" i="8"/>
  <c r="V3893" i="8" s="1"/>
  <c r="A3894" i="8"/>
  <c r="V3894" i="8" s="1"/>
  <c r="A3895" i="8"/>
  <c r="V3895" i="8" s="1"/>
  <c r="A3896" i="8"/>
  <c r="V3896" i="8" s="1"/>
  <c r="A3897" i="8"/>
  <c r="V3897" i="8" s="1"/>
  <c r="A3898" i="8"/>
  <c r="V3898" i="8" s="1"/>
  <c r="A3899" i="8"/>
  <c r="V3899" i="8" s="1"/>
  <c r="A3900" i="8"/>
  <c r="V3900" i="8" s="1"/>
  <c r="A3901" i="8"/>
  <c r="V3901" i="8" s="1"/>
  <c r="A3902" i="8"/>
  <c r="V3902" i="8" s="1"/>
  <c r="A3903" i="8"/>
  <c r="V3903" i="8" s="1"/>
  <c r="A3904" i="8"/>
  <c r="V3904" i="8" s="1"/>
  <c r="A3905" i="8"/>
  <c r="V3905" i="8" s="1"/>
  <c r="A3906" i="8"/>
  <c r="V3906" i="8" s="1"/>
  <c r="A3907" i="8"/>
  <c r="V3907" i="8" s="1"/>
  <c r="A3908" i="8"/>
  <c r="V3908" i="8" s="1"/>
  <c r="A3909" i="8"/>
  <c r="V3909" i="8" s="1"/>
  <c r="A3910" i="8"/>
  <c r="V3910" i="8" s="1"/>
  <c r="A3911" i="8"/>
  <c r="V3911" i="8" s="1"/>
  <c r="A3912" i="8"/>
  <c r="V3912" i="8" s="1"/>
  <c r="A3913" i="8"/>
  <c r="V3913" i="8" s="1"/>
  <c r="A3914" i="8"/>
  <c r="V3914" i="8" s="1"/>
  <c r="A3915" i="8"/>
  <c r="V3915" i="8" s="1"/>
  <c r="A3916" i="8"/>
  <c r="V3916" i="8" s="1"/>
  <c r="A3917" i="8"/>
  <c r="V3917" i="8" s="1"/>
  <c r="A3918" i="8"/>
  <c r="V3918" i="8" s="1"/>
  <c r="A3919" i="8"/>
  <c r="V3919" i="8" s="1"/>
  <c r="A3920" i="8"/>
  <c r="V3920" i="8" s="1"/>
  <c r="A3921" i="8"/>
  <c r="V3921" i="8" s="1"/>
  <c r="A3922" i="8"/>
  <c r="V3922" i="8" s="1"/>
  <c r="A3923" i="8"/>
  <c r="V3923" i="8" s="1"/>
  <c r="A3924" i="8"/>
  <c r="V3924" i="8" s="1"/>
  <c r="A3925" i="8"/>
  <c r="V3925" i="8" s="1"/>
  <c r="A3926" i="8"/>
  <c r="V3926" i="8" s="1"/>
  <c r="A3927" i="8"/>
  <c r="V3927" i="8" s="1"/>
  <c r="A3928" i="8"/>
  <c r="V3928" i="8" s="1"/>
  <c r="A3929" i="8"/>
  <c r="V3929" i="8" s="1"/>
  <c r="A3930" i="8"/>
  <c r="V3930" i="8" s="1"/>
  <c r="A3931" i="8"/>
  <c r="V3931" i="8" s="1"/>
  <c r="A3932" i="8"/>
  <c r="V3932" i="8" s="1"/>
  <c r="A3933" i="8"/>
  <c r="V3933" i="8" s="1"/>
  <c r="A3934" i="8"/>
  <c r="V3934" i="8" s="1"/>
  <c r="A3935" i="8"/>
  <c r="V3935" i="8" s="1"/>
  <c r="A3936" i="8"/>
  <c r="V3936" i="8" s="1"/>
  <c r="A3937" i="8"/>
  <c r="V3937" i="8" s="1"/>
  <c r="A3938" i="8"/>
  <c r="V3938" i="8" s="1"/>
  <c r="A3939" i="8"/>
  <c r="V3939" i="8" s="1"/>
  <c r="A3940" i="8"/>
  <c r="V3940" i="8" s="1"/>
  <c r="A3941" i="8"/>
  <c r="V3941" i="8" s="1"/>
  <c r="A3942" i="8"/>
  <c r="V3942" i="8" s="1"/>
  <c r="A3943" i="8"/>
  <c r="V3943" i="8" s="1"/>
  <c r="A3944" i="8"/>
  <c r="V3944" i="8" s="1"/>
  <c r="A3945" i="8"/>
  <c r="V3945" i="8" s="1"/>
  <c r="A3946" i="8"/>
  <c r="V3946" i="8" s="1"/>
  <c r="A3947" i="8"/>
  <c r="V3947" i="8" s="1"/>
  <c r="A3948" i="8"/>
  <c r="V3948" i="8" s="1"/>
  <c r="A3949" i="8"/>
  <c r="V3949" i="8" s="1"/>
  <c r="A3950" i="8"/>
  <c r="V3950" i="8" s="1"/>
  <c r="A3951" i="8"/>
  <c r="V3951" i="8" s="1"/>
  <c r="A3952" i="8"/>
  <c r="V3952" i="8" s="1"/>
  <c r="A3953" i="8"/>
  <c r="V3953" i="8" s="1"/>
  <c r="A3954" i="8"/>
  <c r="V3954" i="8" s="1"/>
  <c r="A3955" i="8"/>
  <c r="V3955" i="8" s="1"/>
  <c r="A3956" i="8"/>
  <c r="V3956" i="8" s="1"/>
  <c r="A3957" i="8"/>
  <c r="V3957" i="8" s="1"/>
  <c r="A3958" i="8"/>
  <c r="V3958" i="8" s="1"/>
  <c r="A3959" i="8"/>
  <c r="V3959" i="8" s="1"/>
  <c r="A3960" i="8"/>
  <c r="V3960" i="8" s="1"/>
  <c r="A3961" i="8"/>
  <c r="V3961" i="8" s="1"/>
  <c r="A3962" i="8"/>
  <c r="V3962" i="8" s="1"/>
  <c r="A3963" i="8"/>
  <c r="V3963" i="8" s="1"/>
  <c r="A3964" i="8"/>
  <c r="V3964" i="8" s="1"/>
  <c r="A3965" i="8"/>
  <c r="V3965" i="8" s="1"/>
  <c r="A3966" i="8"/>
  <c r="V3966" i="8" s="1"/>
  <c r="A3967" i="8"/>
  <c r="V3967" i="8" s="1"/>
  <c r="A3968" i="8"/>
  <c r="V3968" i="8" s="1"/>
  <c r="A3969" i="8"/>
  <c r="V3969" i="8" s="1"/>
  <c r="A3970" i="8"/>
  <c r="V3970" i="8" s="1"/>
  <c r="A3971" i="8"/>
  <c r="V3971" i="8" s="1"/>
  <c r="A3972" i="8"/>
  <c r="V3972" i="8" s="1"/>
  <c r="A3973" i="8"/>
  <c r="V3973" i="8" s="1"/>
  <c r="A3974" i="8"/>
  <c r="V3974" i="8" s="1"/>
  <c r="A3975" i="8"/>
  <c r="V3975" i="8" s="1"/>
  <c r="A3976" i="8"/>
  <c r="V3976" i="8" s="1"/>
  <c r="A3977" i="8"/>
  <c r="V3977" i="8" s="1"/>
  <c r="A3978" i="8"/>
  <c r="V3978" i="8" s="1"/>
  <c r="A3979" i="8"/>
  <c r="V3979" i="8" s="1"/>
  <c r="A3980" i="8"/>
  <c r="V3980" i="8" s="1"/>
  <c r="A3981" i="8"/>
  <c r="V3981" i="8" s="1"/>
  <c r="A3982" i="8"/>
  <c r="V3982" i="8" s="1"/>
  <c r="A3983" i="8"/>
  <c r="V3983" i="8" s="1"/>
  <c r="A3984" i="8"/>
  <c r="V3984" i="8" s="1"/>
  <c r="A3985" i="8"/>
  <c r="V3985" i="8" s="1"/>
  <c r="A3986" i="8"/>
  <c r="V3986" i="8" s="1"/>
  <c r="A3987" i="8"/>
  <c r="V3987" i="8" s="1"/>
  <c r="A3988" i="8"/>
  <c r="V3988" i="8" s="1"/>
  <c r="A3989" i="8"/>
  <c r="V3989" i="8" s="1"/>
  <c r="A3990" i="8"/>
  <c r="V3990" i="8" s="1"/>
  <c r="A3991" i="8"/>
  <c r="V3991" i="8" s="1"/>
  <c r="A3992" i="8"/>
  <c r="V3992" i="8" s="1"/>
  <c r="A3993" i="8"/>
  <c r="V3993" i="8" s="1"/>
  <c r="A3994" i="8"/>
  <c r="V3994" i="8" s="1"/>
  <c r="A3995" i="8"/>
  <c r="V3995" i="8" s="1"/>
  <c r="A3996" i="8"/>
  <c r="V3996" i="8" s="1"/>
  <c r="A3997" i="8"/>
  <c r="V3997" i="8" s="1"/>
  <c r="A3998" i="8"/>
  <c r="V3998" i="8" s="1"/>
  <c r="A3999" i="8"/>
  <c r="V3999" i="8" s="1"/>
  <c r="A4000" i="8"/>
  <c r="V4000" i="8" s="1"/>
  <c r="A4001" i="8"/>
  <c r="V4001" i="8" s="1"/>
  <c r="A4002" i="8"/>
  <c r="V4002" i="8" s="1"/>
  <c r="A4003" i="8"/>
  <c r="V4003" i="8" s="1"/>
  <c r="A4004" i="8"/>
  <c r="V4004" i="8" s="1"/>
  <c r="A4005" i="8"/>
  <c r="V4005" i="8" s="1"/>
  <c r="A4006" i="8"/>
  <c r="V4006" i="8" s="1"/>
  <c r="A4007" i="8"/>
  <c r="V4007" i="8" s="1"/>
  <c r="A4008" i="8"/>
  <c r="V4008" i="8" s="1"/>
  <c r="A4009" i="8"/>
  <c r="V4009" i="8" s="1"/>
  <c r="A4010" i="8"/>
  <c r="V4010" i="8" s="1"/>
  <c r="A4011" i="8"/>
  <c r="V4011" i="8" s="1"/>
  <c r="A4012" i="8"/>
  <c r="V4012" i="8" s="1"/>
  <c r="A4013" i="8"/>
  <c r="V4013" i="8" s="1"/>
  <c r="A4014" i="8"/>
  <c r="V4014" i="8" s="1"/>
  <c r="A4015" i="8"/>
  <c r="V4015" i="8" s="1"/>
  <c r="A4016" i="8"/>
  <c r="V4016" i="8" s="1"/>
  <c r="A4017" i="8"/>
  <c r="V4017" i="8" s="1"/>
  <c r="A4018" i="8"/>
  <c r="V4018" i="8" s="1"/>
  <c r="A4019" i="8"/>
  <c r="V4019" i="8" s="1"/>
  <c r="A4020" i="8"/>
  <c r="V4020" i="8" s="1"/>
  <c r="A4021" i="8"/>
  <c r="V4021" i="8" s="1"/>
  <c r="A4022" i="8"/>
  <c r="V4022" i="8" s="1"/>
  <c r="A4023" i="8"/>
  <c r="V4023" i="8" s="1"/>
  <c r="A4024" i="8"/>
  <c r="V4024" i="8" s="1"/>
  <c r="A4025" i="8"/>
  <c r="V4025" i="8" s="1"/>
  <c r="A4026" i="8"/>
  <c r="V4026" i="8" s="1"/>
  <c r="A4027" i="8"/>
  <c r="V4027" i="8" s="1"/>
  <c r="A4028" i="8"/>
  <c r="V4028" i="8" s="1"/>
  <c r="A4029" i="8"/>
  <c r="V4029" i="8" s="1"/>
  <c r="A4030" i="8"/>
  <c r="V4030" i="8" s="1"/>
  <c r="A4031" i="8"/>
  <c r="V4031" i="8" s="1"/>
  <c r="A4032" i="8"/>
  <c r="V4032" i="8" s="1"/>
  <c r="A4033" i="8"/>
  <c r="V4033" i="8" s="1"/>
  <c r="A4034" i="8"/>
  <c r="V4034" i="8" s="1"/>
  <c r="A4035" i="8"/>
  <c r="V4035" i="8" s="1"/>
  <c r="A4036" i="8"/>
  <c r="V4036" i="8" s="1"/>
  <c r="A4037" i="8"/>
  <c r="V4037" i="8" s="1"/>
  <c r="A4038" i="8"/>
  <c r="V4038" i="8" s="1"/>
  <c r="A4039" i="8"/>
  <c r="V4039" i="8" s="1"/>
  <c r="A4040" i="8"/>
  <c r="V4040" i="8" s="1"/>
  <c r="A4041" i="8"/>
  <c r="V4041" i="8" s="1"/>
  <c r="A4042" i="8"/>
  <c r="V4042" i="8" s="1"/>
  <c r="A4043" i="8"/>
  <c r="V4043" i="8" s="1"/>
  <c r="A4044" i="8"/>
  <c r="V4044" i="8" s="1"/>
  <c r="A4045" i="8"/>
  <c r="V4045" i="8" s="1"/>
  <c r="A4046" i="8"/>
  <c r="V4046" i="8" s="1"/>
  <c r="A4047" i="8"/>
  <c r="V4047" i="8" s="1"/>
  <c r="A4048" i="8"/>
  <c r="V4048" i="8" s="1"/>
  <c r="A4049" i="8"/>
  <c r="V4049" i="8" s="1"/>
  <c r="A4050" i="8"/>
  <c r="V4050" i="8" s="1"/>
  <c r="A4051" i="8"/>
  <c r="V4051" i="8" s="1"/>
  <c r="A4052" i="8"/>
  <c r="V4052" i="8" s="1"/>
  <c r="A4053" i="8"/>
  <c r="V4053" i="8" s="1"/>
  <c r="A4054" i="8"/>
  <c r="V4054" i="8" s="1"/>
  <c r="A4055" i="8"/>
  <c r="V4055" i="8" s="1"/>
  <c r="A4056" i="8"/>
  <c r="V4056" i="8" s="1"/>
  <c r="A4057" i="8"/>
  <c r="V4057" i="8" s="1"/>
  <c r="A4058" i="8"/>
  <c r="V4058" i="8" s="1"/>
  <c r="A4059" i="8"/>
  <c r="V4059" i="8" s="1"/>
  <c r="A4060" i="8"/>
  <c r="V4060" i="8" s="1"/>
  <c r="A4061" i="8"/>
  <c r="V4061" i="8" s="1"/>
  <c r="A4062" i="8"/>
  <c r="V4062" i="8" s="1"/>
  <c r="A4063" i="8"/>
  <c r="V4063" i="8" s="1"/>
  <c r="A4064" i="8"/>
  <c r="V4064" i="8" s="1"/>
  <c r="A4065" i="8"/>
  <c r="V4065" i="8" s="1"/>
  <c r="A4066" i="8"/>
  <c r="V4066" i="8" s="1"/>
  <c r="A4067" i="8"/>
  <c r="V4067" i="8" s="1"/>
  <c r="A4068" i="8"/>
  <c r="V4068" i="8" s="1"/>
  <c r="A4069" i="8"/>
  <c r="V4069" i="8" s="1"/>
  <c r="A4070" i="8"/>
  <c r="V4070" i="8" s="1"/>
  <c r="A4071" i="8"/>
  <c r="V4071" i="8" s="1"/>
  <c r="A4072" i="8"/>
  <c r="V4072" i="8" s="1"/>
  <c r="A4073" i="8"/>
  <c r="V4073" i="8" s="1"/>
  <c r="A4074" i="8"/>
  <c r="V4074" i="8" s="1"/>
  <c r="A4075" i="8"/>
  <c r="V4075" i="8" s="1"/>
  <c r="A4076" i="8"/>
  <c r="V4076" i="8" s="1"/>
  <c r="A4077" i="8"/>
  <c r="V4077" i="8" s="1"/>
  <c r="A4078" i="8"/>
  <c r="V4078" i="8" s="1"/>
  <c r="A4079" i="8"/>
  <c r="V4079" i="8" s="1"/>
  <c r="A4080" i="8"/>
  <c r="V4080" i="8" s="1"/>
  <c r="A4081" i="8"/>
  <c r="V4081" i="8" s="1"/>
  <c r="A4082" i="8"/>
  <c r="V4082" i="8" s="1"/>
  <c r="A4083" i="8"/>
  <c r="V4083" i="8" s="1"/>
  <c r="A4084" i="8"/>
  <c r="V4084" i="8" s="1"/>
  <c r="A4085" i="8"/>
  <c r="V4085" i="8" s="1"/>
  <c r="A4086" i="8"/>
  <c r="V4086" i="8" s="1"/>
  <c r="A4087" i="8"/>
  <c r="V4087" i="8" s="1"/>
  <c r="A4088" i="8"/>
  <c r="V4088" i="8" s="1"/>
  <c r="A4089" i="8"/>
  <c r="V4089" i="8" s="1"/>
  <c r="A4090" i="8"/>
  <c r="V4090" i="8" s="1"/>
  <c r="A4091" i="8"/>
  <c r="V4091" i="8" s="1"/>
  <c r="A4092" i="8"/>
  <c r="V4092" i="8" s="1"/>
  <c r="A4093" i="8"/>
  <c r="V4093" i="8" s="1"/>
  <c r="A4094" i="8"/>
  <c r="V4094" i="8" s="1"/>
  <c r="A4095" i="8"/>
  <c r="V4095" i="8" s="1"/>
  <c r="A4096" i="8"/>
  <c r="V4096" i="8" s="1"/>
  <c r="A4097" i="8"/>
  <c r="V4097" i="8" s="1"/>
  <c r="A4098" i="8"/>
  <c r="V4098" i="8" s="1"/>
  <c r="A4099" i="8"/>
  <c r="V4099" i="8" s="1"/>
  <c r="A4100" i="8"/>
  <c r="V4100" i="8" s="1"/>
  <c r="A4101" i="8"/>
  <c r="V4101" i="8" s="1"/>
  <c r="A4102" i="8"/>
  <c r="V4102" i="8" s="1"/>
  <c r="A4103" i="8"/>
  <c r="V4103" i="8" s="1"/>
  <c r="A4104" i="8"/>
  <c r="V4104" i="8" s="1"/>
  <c r="A4105" i="8"/>
  <c r="V4105" i="8" s="1"/>
  <c r="A4106" i="8"/>
  <c r="V4106" i="8" s="1"/>
  <c r="A4107" i="8"/>
  <c r="V4107" i="8" s="1"/>
  <c r="A4108" i="8"/>
  <c r="V4108" i="8" s="1"/>
  <c r="A4109" i="8"/>
  <c r="V4109" i="8" s="1"/>
  <c r="A4110" i="8"/>
  <c r="V4110" i="8" s="1"/>
  <c r="A4111" i="8"/>
  <c r="V4111" i="8" s="1"/>
  <c r="A4112" i="8"/>
  <c r="V4112" i="8" s="1"/>
  <c r="A4113" i="8"/>
  <c r="V4113" i="8" s="1"/>
  <c r="A4114" i="8"/>
  <c r="V4114" i="8" s="1"/>
  <c r="A4115" i="8"/>
  <c r="V4115" i="8" s="1"/>
  <c r="A4116" i="8"/>
  <c r="V4116" i="8" s="1"/>
  <c r="A4117" i="8"/>
  <c r="V4117" i="8" s="1"/>
  <c r="A4118" i="8"/>
  <c r="V4118" i="8" s="1"/>
  <c r="A4119" i="8"/>
  <c r="V4119" i="8" s="1"/>
  <c r="A4120" i="8"/>
  <c r="V4120" i="8" s="1"/>
  <c r="A4121" i="8"/>
  <c r="V4121" i="8" s="1"/>
  <c r="A4122" i="8"/>
  <c r="V4122" i="8" s="1"/>
  <c r="A4123" i="8"/>
  <c r="V4123" i="8" s="1"/>
  <c r="A4124" i="8"/>
  <c r="V4124" i="8" s="1"/>
  <c r="A4125" i="8"/>
  <c r="V4125" i="8" s="1"/>
  <c r="A4126" i="8"/>
  <c r="V4126" i="8" s="1"/>
  <c r="A4127" i="8"/>
  <c r="V4127" i="8" s="1"/>
  <c r="A4128" i="8"/>
  <c r="V4128" i="8" s="1"/>
  <c r="A4129" i="8"/>
  <c r="V4129" i="8" s="1"/>
  <c r="A4130" i="8"/>
  <c r="V4130" i="8" s="1"/>
  <c r="A4131" i="8"/>
  <c r="V4131" i="8" s="1"/>
  <c r="A4132" i="8"/>
  <c r="V4132" i="8" s="1"/>
  <c r="A4133" i="8"/>
  <c r="V4133" i="8" s="1"/>
  <c r="A4134" i="8"/>
  <c r="V4134" i="8" s="1"/>
  <c r="A4135" i="8"/>
  <c r="V4135" i="8" s="1"/>
  <c r="A4136" i="8"/>
  <c r="V4136" i="8" s="1"/>
  <c r="A4137" i="8"/>
  <c r="V4137" i="8" s="1"/>
  <c r="A4138" i="8"/>
  <c r="V4138" i="8" s="1"/>
  <c r="A4139" i="8"/>
  <c r="V4139" i="8" s="1"/>
  <c r="A4140" i="8"/>
  <c r="V4140" i="8" s="1"/>
  <c r="A4141" i="8"/>
  <c r="V4141" i="8" s="1"/>
  <c r="A4142" i="8"/>
  <c r="V4142" i="8" s="1"/>
  <c r="A4143" i="8"/>
  <c r="V4143" i="8" s="1"/>
  <c r="A4144" i="8"/>
  <c r="V4144" i="8" s="1"/>
  <c r="A4145" i="8"/>
  <c r="V4145" i="8" s="1"/>
  <c r="A4146" i="8"/>
  <c r="V4146" i="8" s="1"/>
  <c r="A4147" i="8"/>
  <c r="V4147" i="8" s="1"/>
  <c r="A4148" i="8"/>
  <c r="V4148" i="8" s="1"/>
  <c r="A2" i="8"/>
  <c r="AU10" i="1"/>
  <c r="AV14" i="1"/>
  <c r="AU47" i="1"/>
  <c r="AU18" i="1"/>
  <c r="AV22" i="1"/>
  <c r="AU24" i="1"/>
  <c r="AU33" i="1"/>
  <c r="AU43" i="1"/>
  <c r="AU19" i="1"/>
  <c r="AU23" i="1"/>
  <c r="AU40" i="1"/>
  <c r="AV13" i="1"/>
  <c r="AV10" i="1"/>
  <c r="AU15" i="1"/>
  <c r="AU41" i="1"/>
  <c r="AU36" i="1"/>
  <c r="AU12" i="1"/>
  <c r="AV46" i="1"/>
  <c r="AV40" i="1"/>
  <c r="AV50" i="1"/>
  <c r="AU37" i="1"/>
  <c r="AU35" i="1"/>
  <c r="AU16" i="1"/>
  <c r="AV20" i="1"/>
  <c r="AV28" i="1"/>
  <c r="AV11" i="1"/>
  <c r="AV4" i="1"/>
  <c r="AV49" i="1"/>
  <c r="AV9" i="1"/>
  <c r="AU38" i="1"/>
  <c r="AV24" i="1"/>
  <c r="AV34" i="1"/>
  <c r="AU31" i="1"/>
  <c r="AU34" i="1"/>
  <c r="AU28" i="1"/>
  <c r="AU39" i="1"/>
  <c r="AV23" i="1"/>
  <c r="AV18" i="1"/>
  <c r="AU22" i="1"/>
  <c r="AU44" i="1"/>
  <c r="AV52" i="1"/>
  <c r="AV26" i="1"/>
  <c r="AU8" i="1"/>
  <c r="AU20" i="1"/>
  <c r="AU14" i="1"/>
  <c r="AU51" i="1"/>
  <c r="AV30" i="1"/>
  <c r="AV16" i="1"/>
  <c r="AV27" i="1"/>
  <c r="AV38" i="1"/>
  <c r="AV7" i="1"/>
  <c r="AV15" i="1"/>
  <c r="AU50" i="1"/>
  <c r="AV43" i="1"/>
  <c r="AV36" i="1"/>
  <c r="AU32" i="1"/>
  <c r="AU26" i="1"/>
  <c r="AU21" i="1"/>
  <c r="AV37" i="1"/>
  <c r="AV35" i="1"/>
  <c r="AU29" i="1"/>
  <c r="AV41" i="1"/>
  <c r="AU9" i="1"/>
  <c r="AV3" i="1"/>
  <c r="AV8" i="1"/>
  <c r="AU13" i="1"/>
  <c r="AU49" i="1"/>
  <c r="AV19" i="1"/>
  <c r="AV31" i="1"/>
  <c r="AV44" i="1"/>
  <c r="AU52" i="1"/>
  <c r="AV25" i="1"/>
  <c r="AV33" i="1"/>
  <c r="AU30" i="1"/>
  <c r="AU27" i="1"/>
  <c r="AU25" i="1"/>
  <c r="AU5" i="1"/>
  <c r="AV48" i="1"/>
  <c r="AU42" i="1"/>
  <c r="AV42" i="1"/>
  <c r="AV17" i="1"/>
  <c r="AV47" i="1"/>
  <c r="AU48" i="1"/>
  <c r="AV32" i="1"/>
  <c r="AU4" i="1"/>
  <c r="AV29" i="1"/>
  <c r="AV51" i="1"/>
  <c r="AV12" i="1"/>
  <c r="AU3" i="1"/>
  <c r="AV45" i="1"/>
  <c r="AU6" i="1"/>
  <c r="AV6" i="1"/>
  <c r="AU45" i="1"/>
  <c r="AU46" i="1"/>
  <c r="AU11" i="1"/>
  <c r="AU7" i="1"/>
  <c r="AV39" i="1"/>
  <c r="AV5" i="1"/>
  <c r="AU17" i="1"/>
  <c r="AV21" i="1"/>
  <c r="V52" i="8" l="1"/>
  <c r="M29" i="1"/>
  <c r="M37" i="1"/>
  <c r="M13" i="1"/>
  <c r="M49" i="1"/>
  <c r="M50" i="1"/>
  <c r="M43" i="1"/>
  <c r="M44" i="1"/>
  <c r="M26" i="1"/>
  <c r="M35" i="1"/>
  <c r="M45" i="1"/>
  <c r="M39" i="1"/>
  <c r="M23" i="1"/>
  <c r="M21" i="1"/>
  <c r="M5" i="1"/>
  <c r="M51" i="1"/>
  <c r="M52" i="1"/>
  <c r="M19" i="1"/>
  <c r="M36" i="1"/>
  <c r="M6" i="1"/>
  <c r="M8" i="1"/>
  <c r="M47" i="1"/>
  <c r="M31" i="1"/>
  <c r="M15" i="1"/>
  <c r="M7" i="1"/>
  <c r="M32" i="1"/>
  <c r="M42" i="1"/>
  <c r="M14" i="1"/>
  <c r="M16" i="1"/>
  <c r="M9" i="1"/>
  <c r="M10" i="1"/>
  <c r="M3" i="1"/>
  <c r="M4" i="1"/>
  <c r="M30" i="1"/>
  <c r="M20" i="1"/>
  <c r="M22" i="1"/>
  <c r="M24" i="1"/>
  <c r="M17" i="1"/>
  <c r="M18" i="1"/>
  <c r="M11" i="1"/>
  <c r="M12" i="1"/>
  <c r="M25" i="1"/>
  <c r="M41" i="1"/>
  <c r="M38" i="1"/>
  <c r="M40" i="1"/>
  <c r="M33" i="1"/>
  <c r="M34" i="1"/>
  <c r="M27" i="1"/>
  <c r="M28" i="1"/>
  <c r="M46" i="1"/>
  <c r="M48" i="1"/>
  <c r="BC14" i="1"/>
  <c r="BC33" i="1"/>
  <c r="BC50" i="1"/>
  <c r="BC35" i="1"/>
  <c r="BC36" i="1"/>
  <c r="BC6" i="1"/>
  <c r="BC39" i="1"/>
  <c r="BC30" i="1"/>
  <c r="BC17" i="1"/>
  <c r="BC9" i="1"/>
  <c r="BC43" i="1"/>
  <c r="BC8" i="1"/>
  <c r="BC41" i="1"/>
  <c r="BC25" i="1"/>
  <c r="BC51" i="1"/>
  <c r="BC5" i="1"/>
  <c r="BC22" i="1"/>
  <c r="BC16" i="1"/>
  <c r="BC10" i="1"/>
  <c r="BC49" i="1"/>
  <c r="BC4" i="1"/>
  <c r="BC38" i="1"/>
  <c r="BC24" i="1"/>
  <c r="BC18" i="1"/>
  <c r="BC3" i="1"/>
  <c r="BC20" i="1"/>
  <c r="BC21" i="1"/>
  <c r="BC7" i="1"/>
  <c r="BC40" i="1"/>
  <c r="BC19" i="1"/>
  <c r="BC37" i="1"/>
  <c r="BC52" i="1"/>
  <c r="BC13" i="1"/>
  <c r="BC32" i="1"/>
  <c r="BC26" i="1"/>
  <c r="BC11" i="1"/>
  <c r="BC44" i="1"/>
  <c r="BC29" i="1"/>
  <c r="BC15" i="1"/>
  <c r="BC34" i="1"/>
  <c r="BC12" i="1"/>
  <c r="BC23" i="1"/>
  <c r="BC47" i="1"/>
  <c r="BC48" i="1"/>
  <c r="BC42" i="1"/>
  <c r="BC27" i="1"/>
  <c r="BC28" i="1"/>
  <c r="BC45" i="1"/>
  <c r="BC31" i="1"/>
  <c r="BC46" i="1"/>
  <c r="BD5" i="1"/>
  <c r="BD13" i="1"/>
  <c r="BD21" i="1"/>
  <c r="BD29" i="1"/>
  <c r="BD37" i="1"/>
  <c r="BD45" i="1"/>
  <c r="BD6" i="1"/>
  <c r="BD22" i="1"/>
  <c r="BD16" i="1"/>
  <c r="BD30" i="1"/>
  <c r="BD48" i="1"/>
  <c r="BD7" i="1"/>
  <c r="BD15" i="1"/>
  <c r="BD23" i="1"/>
  <c r="BD31" i="1"/>
  <c r="BD39" i="1"/>
  <c r="BD47" i="1"/>
  <c r="BD32" i="1"/>
  <c r="BD9" i="1"/>
  <c r="BD17" i="1"/>
  <c r="BD25" i="1"/>
  <c r="BD33" i="1"/>
  <c r="BD41" i="1"/>
  <c r="BD49" i="1"/>
  <c r="BD19" i="1"/>
  <c r="BD51" i="1"/>
  <c r="BD8" i="1"/>
  <c r="BD10" i="1"/>
  <c r="BD18" i="1"/>
  <c r="BD26" i="1"/>
  <c r="BD34" i="1"/>
  <c r="BD42" i="1"/>
  <c r="BD50" i="1"/>
  <c r="BD3" i="1"/>
  <c r="BD27" i="1"/>
  <c r="BD43" i="1"/>
  <c r="BD24" i="1"/>
  <c r="BD11" i="1"/>
  <c r="BD35" i="1"/>
  <c r="BD38" i="1"/>
  <c r="BD40" i="1"/>
  <c r="BD4" i="1"/>
  <c r="BD12" i="1"/>
  <c r="BD20" i="1"/>
  <c r="BD28" i="1"/>
  <c r="BD36" i="1"/>
  <c r="BD44" i="1"/>
  <c r="BD52" i="1"/>
  <c r="BD14" i="1"/>
  <c r="BD46" i="1"/>
  <c r="V2" i="8"/>
  <c r="V3723" i="8"/>
  <c r="V4149" i="8"/>
  <c r="BE14" i="1" l="1"/>
  <c r="BE22" i="1"/>
  <c r="BE51" i="1"/>
  <c r="BE30" i="1"/>
  <c r="BE39" i="1"/>
  <c r="BE36" i="1"/>
  <c r="BE49" i="1"/>
  <c r="BE35" i="1"/>
  <c r="BE8" i="1"/>
  <c r="BE9" i="1"/>
  <c r="BE11" i="1"/>
  <c r="BE48" i="1"/>
  <c r="BE12" i="1"/>
  <c r="BE18" i="1"/>
  <c r="BE16" i="1"/>
  <c r="BE20" i="1"/>
  <c r="BE33" i="1"/>
  <c r="BE45" i="1"/>
  <c r="BE4" i="1"/>
  <c r="BE17" i="1"/>
  <c r="BE7" i="1"/>
  <c r="BE3" i="1"/>
  <c r="BE32" i="1"/>
  <c r="BE13" i="1"/>
  <c r="BE44" i="1"/>
  <c r="BE40" i="1"/>
  <c r="BE29" i="1"/>
  <c r="BE52" i="1"/>
  <c r="BE42" i="1"/>
  <c r="BE5" i="1"/>
  <c r="BE34" i="1"/>
  <c r="BE41" i="1"/>
  <c r="BE50" i="1"/>
  <c r="BE19" i="1"/>
  <c r="BE21" i="1"/>
  <c r="BE24" i="1"/>
  <c r="BE26" i="1"/>
  <c r="BE23" i="1"/>
  <c r="BE6" i="1"/>
  <c r="BE38" i="1"/>
  <c r="BE37" i="1"/>
  <c r="BE47" i="1"/>
  <c r="BE28" i="1"/>
  <c r="BE43" i="1"/>
  <c r="BE46" i="1"/>
  <c r="BE27" i="1"/>
  <c r="BE10" i="1"/>
  <c r="BE25" i="1"/>
  <c r="BE15" i="1"/>
  <c r="BE31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B2" i="1" l="1"/>
  <c r="AW2" i="1"/>
  <c r="AX2" i="1" s="1"/>
  <c r="AS2" i="1"/>
  <c r="AY2" i="1" l="1"/>
  <c r="AZ2" i="1"/>
  <c r="AB2" i="8" l="1"/>
  <c r="AB3" i="8"/>
  <c r="AB4" i="8"/>
  <c r="AB5" i="8"/>
  <c r="AB6" i="8"/>
  <c r="AB7" i="8"/>
  <c r="AB8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1" i="8"/>
  <c r="AB22" i="8"/>
  <c r="AB23" i="8"/>
  <c r="AB24" i="8"/>
  <c r="AB25" i="8"/>
  <c r="AB26" i="8"/>
  <c r="AB27" i="8"/>
  <c r="AB28" i="8"/>
  <c r="AB29" i="8"/>
  <c r="AB30" i="8"/>
  <c r="AB31" i="8"/>
  <c r="AB32" i="8"/>
  <c r="AB33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3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AB89" i="8"/>
  <c r="AB90" i="8"/>
  <c r="AB91" i="8"/>
  <c r="AB92" i="8"/>
  <c r="AB93" i="8"/>
  <c r="AB94" i="8"/>
  <c r="AB95" i="8"/>
  <c r="AB96" i="8"/>
  <c r="AB97" i="8"/>
  <c r="AB98" i="8"/>
  <c r="AB99" i="8"/>
  <c r="AB100" i="8"/>
  <c r="AB101" i="8"/>
  <c r="AB102" i="8"/>
  <c r="AB103" i="8"/>
  <c r="AB104" i="8"/>
  <c r="AB105" i="8"/>
  <c r="AB106" i="8"/>
  <c r="AB107" i="8"/>
  <c r="AB108" i="8"/>
  <c r="AB109" i="8"/>
  <c r="AB110" i="8"/>
  <c r="AB111" i="8"/>
  <c r="AB112" i="8"/>
  <c r="AB113" i="8"/>
  <c r="AB114" i="8"/>
  <c r="AB115" i="8"/>
  <c r="AB116" i="8"/>
  <c r="AB117" i="8"/>
  <c r="AB118" i="8"/>
  <c r="AB119" i="8"/>
  <c r="AB120" i="8"/>
  <c r="AB121" i="8"/>
  <c r="AB122" i="8"/>
  <c r="AB123" i="8"/>
  <c r="AB124" i="8"/>
  <c r="AB125" i="8"/>
  <c r="AB126" i="8"/>
  <c r="AB127" i="8"/>
  <c r="AB128" i="8"/>
  <c r="AB129" i="8"/>
  <c r="AB130" i="8"/>
  <c r="AB131" i="8"/>
  <c r="AB132" i="8"/>
  <c r="AB133" i="8"/>
  <c r="AB134" i="8"/>
  <c r="AB135" i="8"/>
  <c r="AB136" i="8"/>
  <c r="AB137" i="8"/>
  <c r="AB138" i="8"/>
  <c r="AB139" i="8"/>
  <c r="AB140" i="8"/>
  <c r="AB141" i="8"/>
  <c r="AB142" i="8"/>
  <c r="AB143" i="8"/>
  <c r="AB144" i="8"/>
  <c r="AB145" i="8"/>
  <c r="AB146" i="8"/>
  <c r="AB147" i="8"/>
  <c r="AB148" i="8"/>
  <c r="AB149" i="8"/>
  <c r="AB150" i="8"/>
  <c r="AB151" i="8"/>
  <c r="AB152" i="8"/>
  <c r="AB153" i="8"/>
  <c r="AB154" i="8"/>
  <c r="AB155" i="8"/>
  <c r="AB156" i="8"/>
  <c r="AB157" i="8"/>
  <c r="AB158" i="8"/>
  <c r="AB159" i="8"/>
  <c r="AB160" i="8"/>
  <c r="AB161" i="8"/>
  <c r="AB162" i="8"/>
  <c r="AB163" i="8"/>
  <c r="AB164" i="8"/>
  <c r="AB165" i="8"/>
  <c r="AB166" i="8"/>
  <c r="AB167" i="8"/>
  <c r="AB168" i="8"/>
  <c r="AB169" i="8"/>
  <c r="AB170" i="8"/>
  <c r="AB171" i="8"/>
  <c r="AB172" i="8"/>
  <c r="AB173" i="8"/>
  <c r="AB174" i="8"/>
  <c r="AB175" i="8"/>
  <c r="AB176" i="8"/>
  <c r="AB177" i="8"/>
  <c r="AB178" i="8"/>
  <c r="AB179" i="8"/>
  <c r="AB180" i="8"/>
  <c r="AB181" i="8"/>
  <c r="AB182" i="8"/>
  <c r="AB183" i="8"/>
  <c r="AB184" i="8"/>
  <c r="AB185" i="8"/>
  <c r="AB186" i="8"/>
  <c r="AB187" i="8"/>
  <c r="AB188" i="8"/>
  <c r="AB189" i="8"/>
  <c r="AB190" i="8"/>
  <c r="AB191" i="8"/>
  <c r="AB192" i="8"/>
  <c r="AB193" i="8"/>
  <c r="AB194" i="8"/>
  <c r="AB195" i="8"/>
  <c r="AB196" i="8"/>
  <c r="AB197" i="8"/>
  <c r="AB198" i="8"/>
  <c r="AB199" i="8"/>
  <c r="AB200" i="8"/>
  <c r="AB201" i="8"/>
  <c r="AB202" i="8"/>
  <c r="AB203" i="8"/>
  <c r="AB204" i="8"/>
  <c r="AB205" i="8"/>
  <c r="AB206" i="8"/>
  <c r="AB207" i="8"/>
  <c r="AB208" i="8"/>
  <c r="AB209" i="8"/>
  <c r="AB210" i="8"/>
  <c r="AB211" i="8"/>
  <c r="AB212" i="8"/>
  <c r="AB213" i="8"/>
  <c r="AB214" i="8"/>
  <c r="AB215" i="8"/>
  <c r="AB216" i="8"/>
  <c r="AB217" i="8"/>
  <c r="AB218" i="8"/>
  <c r="AB219" i="8"/>
  <c r="AB220" i="8"/>
  <c r="AB221" i="8"/>
  <c r="AB222" i="8"/>
  <c r="AB223" i="8"/>
  <c r="AB224" i="8"/>
  <c r="AB225" i="8"/>
  <c r="AB226" i="8"/>
  <c r="AB227" i="8"/>
  <c r="AB228" i="8"/>
  <c r="AB229" i="8"/>
  <c r="AB230" i="8"/>
  <c r="AB231" i="8"/>
  <c r="AB232" i="8"/>
  <c r="AB233" i="8"/>
  <c r="AB234" i="8"/>
  <c r="AB235" i="8"/>
  <c r="AB236" i="8"/>
  <c r="AB237" i="8"/>
  <c r="AB238" i="8"/>
  <c r="AB239" i="8"/>
  <c r="AB240" i="8"/>
  <c r="AB241" i="8"/>
  <c r="AB242" i="8"/>
  <c r="AB243" i="8"/>
  <c r="AB244" i="8"/>
  <c r="AB245" i="8"/>
  <c r="AB246" i="8"/>
  <c r="AB247" i="8"/>
  <c r="AB248" i="8"/>
  <c r="AB249" i="8"/>
  <c r="AB250" i="8"/>
  <c r="AB251" i="8"/>
  <c r="AB252" i="8"/>
  <c r="AB253" i="8"/>
  <c r="AB254" i="8"/>
  <c r="AB255" i="8"/>
  <c r="AB256" i="8"/>
  <c r="AB257" i="8"/>
  <c r="AB258" i="8"/>
  <c r="AB259" i="8"/>
  <c r="AB260" i="8"/>
  <c r="AB261" i="8"/>
  <c r="AB262" i="8"/>
  <c r="AB263" i="8"/>
  <c r="AB264" i="8"/>
  <c r="AB265" i="8"/>
  <c r="AB266" i="8"/>
  <c r="AB267" i="8"/>
  <c r="AB268" i="8"/>
  <c r="AB269" i="8"/>
  <c r="AB270" i="8"/>
  <c r="AB271" i="8"/>
  <c r="AB272" i="8"/>
  <c r="AB273" i="8"/>
  <c r="AB274" i="8"/>
  <c r="AB275" i="8"/>
  <c r="AB276" i="8"/>
  <c r="AB277" i="8"/>
  <c r="AB278" i="8"/>
  <c r="AB279" i="8"/>
  <c r="AB280" i="8"/>
  <c r="AB281" i="8"/>
  <c r="AB282" i="8"/>
  <c r="AB283" i="8"/>
  <c r="AB284" i="8"/>
  <c r="AB285" i="8"/>
  <c r="AB286" i="8"/>
  <c r="AB287" i="8"/>
  <c r="AB288" i="8"/>
  <c r="AB289" i="8"/>
  <c r="AB290" i="8"/>
  <c r="AB291" i="8"/>
  <c r="AB292" i="8"/>
  <c r="AB293" i="8"/>
  <c r="AB294" i="8"/>
  <c r="AB295" i="8"/>
  <c r="AB296" i="8"/>
  <c r="AB297" i="8"/>
  <c r="AB298" i="8"/>
  <c r="AB299" i="8"/>
  <c r="AB300" i="8"/>
  <c r="AB301" i="8"/>
  <c r="AB302" i="8"/>
  <c r="AB303" i="8"/>
  <c r="AB304" i="8"/>
  <c r="AB305" i="8"/>
  <c r="AB306" i="8"/>
  <c r="AB307" i="8"/>
  <c r="AB308" i="8"/>
  <c r="AB309" i="8"/>
  <c r="AB310" i="8"/>
  <c r="AB311" i="8"/>
  <c r="AB312" i="8"/>
  <c r="AB313" i="8"/>
  <c r="AB314" i="8"/>
  <c r="AB315" i="8"/>
  <c r="AB316" i="8"/>
  <c r="AB317" i="8"/>
  <c r="AB318" i="8"/>
  <c r="AB319" i="8"/>
  <c r="AB320" i="8"/>
  <c r="AB321" i="8"/>
  <c r="AB322" i="8"/>
  <c r="AB323" i="8"/>
  <c r="AB324" i="8"/>
  <c r="AB325" i="8"/>
  <c r="AB326" i="8"/>
  <c r="AB327" i="8"/>
  <c r="AB328" i="8"/>
  <c r="AB329" i="8"/>
  <c r="AB330" i="8"/>
  <c r="AB331" i="8"/>
  <c r="AB332" i="8"/>
  <c r="AB333" i="8"/>
  <c r="AB334" i="8"/>
  <c r="AB335" i="8"/>
  <c r="AB336" i="8"/>
  <c r="AB337" i="8"/>
  <c r="AB338" i="8"/>
  <c r="AB339" i="8"/>
  <c r="AB340" i="8"/>
  <c r="AB341" i="8"/>
  <c r="AB342" i="8"/>
  <c r="AB343" i="8"/>
  <c r="AB344" i="8"/>
  <c r="AB345" i="8"/>
  <c r="AB346" i="8"/>
  <c r="AB347" i="8"/>
  <c r="AB348" i="8"/>
  <c r="AB349" i="8"/>
  <c r="AB350" i="8"/>
  <c r="AB351" i="8"/>
  <c r="AB352" i="8"/>
  <c r="AB353" i="8"/>
  <c r="AB354" i="8"/>
  <c r="AB355" i="8"/>
  <c r="AB356" i="8"/>
  <c r="AB357" i="8"/>
  <c r="AB358" i="8"/>
  <c r="AB359" i="8"/>
  <c r="AB360" i="8"/>
  <c r="AB361" i="8"/>
  <c r="AB362" i="8"/>
  <c r="AB363" i="8"/>
  <c r="AB364" i="8"/>
  <c r="AB365" i="8"/>
  <c r="AB366" i="8"/>
  <c r="AB367" i="8"/>
  <c r="AB368" i="8"/>
  <c r="AB369" i="8"/>
  <c r="AB370" i="8"/>
  <c r="AB371" i="8"/>
  <c r="AB372" i="8"/>
  <c r="AB373" i="8"/>
  <c r="AB374" i="8"/>
  <c r="AB375" i="8"/>
  <c r="AB376" i="8"/>
  <c r="AB377" i="8"/>
  <c r="AB378" i="8"/>
  <c r="AB379" i="8"/>
  <c r="AB380" i="8"/>
  <c r="AB381" i="8"/>
  <c r="AB382" i="8"/>
  <c r="AB383" i="8"/>
  <c r="AB384" i="8"/>
  <c r="AB385" i="8"/>
  <c r="AB386" i="8"/>
  <c r="AB387" i="8"/>
  <c r="AB388" i="8"/>
  <c r="AB389" i="8"/>
  <c r="AB390" i="8"/>
  <c r="AB391" i="8"/>
  <c r="AB392" i="8"/>
  <c r="AB393" i="8"/>
  <c r="AB394" i="8"/>
  <c r="AB395" i="8"/>
  <c r="AB396" i="8"/>
  <c r="AB397" i="8"/>
  <c r="AB398" i="8"/>
  <c r="AB399" i="8"/>
  <c r="AB400" i="8"/>
  <c r="AB401" i="8"/>
  <c r="AB402" i="8"/>
  <c r="AB403" i="8"/>
  <c r="AB404" i="8"/>
  <c r="AB405" i="8"/>
  <c r="AB406" i="8"/>
  <c r="AB407" i="8"/>
  <c r="AB408" i="8"/>
  <c r="AB409" i="8"/>
  <c r="AB410" i="8"/>
  <c r="AB411" i="8"/>
  <c r="AB412" i="8"/>
  <c r="AB413" i="8"/>
  <c r="AB414" i="8"/>
  <c r="AB415" i="8"/>
  <c r="AB416" i="8"/>
  <c r="AB417" i="8"/>
  <c r="AB418" i="8"/>
  <c r="AB419" i="8"/>
  <c r="AB420" i="8"/>
  <c r="AB421" i="8"/>
  <c r="AB422" i="8"/>
  <c r="AB423" i="8"/>
  <c r="AB424" i="8"/>
  <c r="AB425" i="8"/>
  <c r="AB426" i="8"/>
  <c r="AB427" i="8"/>
  <c r="AB428" i="8"/>
  <c r="AB429" i="8"/>
  <c r="AB430" i="8"/>
  <c r="AB431" i="8"/>
  <c r="AB432" i="8"/>
  <c r="AB433" i="8"/>
  <c r="AB434" i="8"/>
  <c r="AB435" i="8"/>
  <c r="AB436" i="8"/>
  <c r="AB437" i="8"/>
  <c r="AB438" i="8"/>
  <c r="AB439" i="8"/>
  <c r="AB440" i="8"/>
  <c r="AB441" i="8"/>
  <c r="AB442" i="8"/>
  <c r="AB443" i="8"/>
  <c r="AB444" i="8"/>
  <c r="AB445" i="8"/>
  <c r="AB446" i="8"/>
  <c r="AB447" i="8"/>
  <c r="AB448" i="8"/>
  <c r="AB449" i="8"/>
  <c r="AB450" i="8"/>
  <c r="AB451" i="8"/>
  <c r="AB452" i="8"/>
  <c r="AB453" i="8"/>
  <c r="AB454" i="8"/>
  <c r="AB455" i="8"/>
  <c r="AB456" i="8"/>
  <c r="AB457" i="8"/>
  <c r="AB458" i="8"/>
  <c r="AB459" i="8"/>
  <c r="AB460" i="8"/>
  <c r="AB461" i="8"/>
  <c r="AB462" i="8"/>
  <c r="AB463" i="8"/>
  <c r="AB464" i="8"/>
  <c r="AB465" i="8"/>
  <c r="AB466" i="8"/>
  <c r="AB467" i="8"/>
  <c r="AB468" i="8"/>
  <c r="AB469" i="8"/>
  <c r="AB470" i="8"/>
  <c r="AB471" i="8"/>
  <c r="AB472" i="8"/>
  <c r="AB473" i="8"/>
  <c r="AB474" i="8"/>
  <c r="AB475" i="8"/>
  <c r="AB476" i="8"/>
  <c r="AB477" i="8"/>
  <c r="AB478" i="8"/>
  <c r="AB479" i="8"/>
  <c r="AB480" i="8"/>
  <c r="AB481" i="8"/>
  <c r="AB482" i="8"/>
  <c r="AB483" i="8"/>
  <c r="AB484" i="8"/>
  <c r="AB485" i="8"/>
  <c r="AB486" i="8"/>
  <c r="AB487" i="8"/>
  <c r="AB488" i="8"/>
  <c r="AB489" i="8"/>
  <c r="AB490" i="8"/>
  <c r="AB491" i="8"/>
  <c r="AB492" i="8"/>
  <c r="AB493" i="8"/>
  <c r="AB494" i="8"/>
  <c r="AB495" i="8"/>
  <c r="AB496" i="8"/>
  <c r="AB497" i="8"/>
  <c r="AB498" i="8"/>
  <c r="AB499" i="8"/>
  <c r="AB500" i="8"/>
  <c r="AB501" i="8"/>
  <c r="AB502" i="8"/>
  <c r="AB503" i="8"/>
  <c r="AB504" i="8"/>
  <c r="AB505" i="8"/>
  <c r="AB506" i="8"/>
  <c r="AB507" i="8"/>
  <c r="AB508" i="8"/>
  <c r="AB509" i="8"/>
  <c r="AB510" i="8"/>
  <c r="AB511" i="8"/>
  <c r="AB512" i="8"/>
  <c r="AB513" i="8"/>
  <c r="AB514" i="8"/>
  <c r="AB515" i="8"/>
  <c r="AB516" i="8"/>
  <c r="AB517" i="8"/>
  <c r="AB518" i="8"/>
  <c r="AB519" i="8"/>
  <c r="AB520" i="8"/>
  <c r="AB521" i="8"/>
  <c r="AB522" i="8"/>
  <c r="AB523" i="8"/>
  <c r="AB524" i="8"/>
  <c r="AB525" i="8"/>
  <c r="AB526" i="8"/>
  <c r="AB527" i="8"/>
  <c r="AB528" i="8"/>
  <c r="AB529" i="8"/>
  <c r="AB530" i="8"/>
  <c r="AB531" i="8"/>
  <c r="AB532" i="8"/>
  <c r="AB533" i="8"/>
  <c r="AB534" i="8"/>
  <c r="AB535" i="8"/>
  <c r="AB536" i="8"/>
  <c r="AB537" i="8"/>
  <c r="AB538" i="8"/>
  <c r="AB539" i="8"/>
  <c r="AB540" i="8"/>
  <c r="AB541" i="8"/>
  <c r="AB542" i="8"/>
  <c r="AB543" i="8"/>
  <c r="AB544" i="8"/>
  <c r="AB545" i="8"/>
  <c r="AB546" i="8"/>
  <c r="AB547" i="8"/>
  <c r="AB548" i="8"/>
  <c r="AB549" i="8"/>
  <c r="AB550" i="8"/>
  <c r="AB551" i="8"/>
  <c r="AB552" i="8"/>
  <c r="AB553" i="8"/>
  <c r="AB554" i="8"/>
  <c r="AB555" i="8"/>
  <c r="AB556" i="8"/>
  <c r="AB557" i="8"/>
  <c r="AB558" i="8"/>
  <c r="AB559" i="8"/>
  <c r="AB560" i="8"/>
  <c r="AB561" i="8"/>
  <c r="AB562" i="8"/>
  <c r="AB563" i="8"/>
  <c r="AB564" i="8"/>
  <c r="AB565" i="8"/>
  <c r="AB566" i="8"/>
  <c r="AB567" i="8"/>
  <c r="AB568" i="8"/>
  <c r="AB569" i="8"/>
  <c r="AB570" i="8"/>
  <c r="AB571" i="8"/>
  <c r="AB572" i="8"/>
  <c r="AB573" i="8"/>
  <c r="AB574" i="8"/>
  <c r="AB575" i="8"/>
  <c r="AB576" i="8"/>
  <c r="AB577" i="8"/>
  <c r="AB578" i="8"/>
  <c r="AB579" i="8"/>
  <c r="AB580" i="8"/>
  <c r="AB581" i="8"/>
  <c r="AB582" i="8"/>
  <c r="AB583" i="8"/>
  <c r="AB584" i="8"/>
  <c r="AB585" i="8"/>
  <c r="AB586" i="8"/>
  <c r="AB587" i="8"/>
  <c r="AB588" i="8"/>
  <c r="AB589" i="8"/>
  <c r="AB590" i="8"/>
  <c r="AB591" i="8"/>
  <c r="AB592" i="8"/>
  <c r="AB593" i="8"/>
  <c r="AB594" i="8"/>
  <c r="AB595" i="8"/>
  <c r="AB596" i="8"/>
  <c r="AB597" i="8"/>
  <c r="AB598" i="8"/>
  <c r="AB599" i="8"/>
  <c r="AB600" i="8"/>
  <c r="AB601" i="8"/>
  <c r="AB602" i="8"/>
  <c r="AB603" i="8"/>
  <c r="AB604" i="8"/>
  <c r="AB605" i="8"/>
  <c r="AB606" i="8"/>
  <c r="AB607" i="8"/>
  <c r="AB608" i="8"/>
  <c r="AB609" i="8"/>
  <c r="AB610" i="8"/>
  <c r="AB611" i="8"/>
  <c r="AB612" i="8"/>
  <c r="AB613" i="8"/>
  <c r="AB614" i="8"/>
  <c r="AB615" i="8"/>
  <c r="AB616" i="8"/>
  <c r="AB617" i="8"/>
  <c r="AB618" i="8"/>
  <c r="AB619" i="8"/>
  <c r="AB620" i="8"/>
  <c r="AB621" i="8"/>
  <c r="AB622" i="8"/>
  <c r="AB623" i="8"/>
  <c r="AB624" i="8"/>
  <c r="AB625" i="8"/>
  <c r="AB626" i="8"/>
  <c r="AB627" i="8"/>
  <c r="AB628" i="8"/>
  <c r="AB629" i="8"/>
  <c r="AB630" i="8"/>
  <c r="AB631" i="8"/>
  <c r="AB632" i="8"/>
  <c r="AB633" i="8"/>
  <c r="AB634" i="8"/>
  <c r="AB635" i="8"/>
  <c r="AB636" i="8"/>
  <c r="AB637" i="8"/>
  <c r="AB638" i="8"/>
  <c r="AB639" i="8"/>
  <c r="AB640" i="8"/>
  <c r="AB641" i="8"/>
  <c r="AB642" i="8"/>
  <c r="AB643" i="8"/>
  <c r="AB644" i="8"/>
  <c r="AB645" i="8"/>
  <c r="AB646" i="8"/>
  <c r="AB647" i="8"/>
  <c r="AB648" i="8"/>
  <c r="AB649" i="8"/>
  <c r="AB650" i="8"/>
  <c r="AB651" i="8"/>
  <c r="AB652" i="8"/>
  <c r="AB653" i="8"/>
  <c r="AB654" i="8"/>
  <c r="AB655" i="8"/>
  <c r="AB656" i="8"/>
  <c r="AB657" i="8"/>
  <c r="AB658" i="8"/>
  <c r="AB659" i="8"/>
  <c r="AB660" i="8"/>
  <c r="AB661" i="8"/>
  <c r="AB662" i="8"/>
  <c r="AB663" i="8"/>
  <c r="AB664" i="8"/>
  <c r="AB665" i="8"/>
  <c r="AB666" i="8"/>
  <c r="AB667" i="8"/>
  <c r="AB668" i="8"/>
  <c r="AB669" i="8"/>
  <c r="AB670" i="8"/>
  <c r="AB671" i="8"/>
  <c r="AB672" i="8"/>
  <c r="AB673" i="8"/>
  <c r="AB674" i="8"/>
  <c r="AB675" i="8"/>
  <c r="AB676" i="8"/>
  <c r="AB677" i="8"/>
  <c r="AB678" i="8"/>
  <c r="AB679" i="8"/>
  <c r="AB680" i="8"/>
  <c r="AB681" i="8"/>
  <c r="AB682" i="8"/>
  <c r="AB683" i="8"/>
  <c r="AB684" i="8"/>
  <c r="AB685" i="8"/>
  <c r="AB686" i="8"/>
  <c r="AB687" i="8"/>
  <c r="AB688" i="8"/>
  <c r="AB689" i="8"/>
  <c r="AB690" i="8"/>
  <c r="AB691" i="8"/>
  <c r="AB692" i="8"/>
  <c r="AB693" i="8"/>
  <c r="AB694" i="8"/>
  <c r="AB695" i="8"/>
  <c r="AB696" i="8"/>
  <c r="AB697" i="8"/>
  <c r="AB698" i="8"/>
  <c r="AB699" i="8"/>
  <c r="AB700" i="8"/>
  <c r="AB701" i="8"/>
  <c r="AB702" i="8"/>
  <c r="AB703" i="8"/>
  <c r="AB704" i="8"/>
  <c r="AB705" i="8"/>
  <c r="AB706" i="8"/>
  <c r="AB707" i="8"/>
  <c r="AB708" i="8"/>
  <c r="AB709" i="8"/>
  <c r="AB710" i="8"/>
  <c r="AB711" i="8"/>
  <c r="AB712" i="8"/>
  <c r="AB713" i="8"/>
  <c r="AB714" i="8"/>
  <c r="AB715" i="8"/>
  <c r="AB716" i="8"/>
  <c r="AB717" i="8"/>
  <c r="AB718" i="8"/>
  <c r="AB719" i="8"/>
  <c r="AB720" i="8"/>
  <c r="AB721" i="8"/>
  <c r="AB722" i="8"/>
  <c r="AB723" i="8"/>
  <c r="AB724" i="8"/>
  <c r="AB725" i="8"/>
  <c r="AB726" i="8"/>
  <c r="AB727" i="8"/>
  <c r="AB728" i="8"/>
  <c r="AB729" i="8"/>
  <c r="AB730" i="8"/>
  <c r="AB731" i="8"/>
  <c r="AB732" i="8"/>
  <c r="AB733" i="8"/>
  <c r="AB734" i="8"/>
  <c r="AB735" i="8"/>
  <c r="AB736" i="8"/>
  <c r="AB737" i="8"/>
  <c r="AB738" i="8"/>
  <c r="AB739" i="8"/>
  <c r="AB740" i="8"/>
  <c r="AB741" i="8"/>
  <c r="AB742" i="8"/>
  <c r="AB743" i="8"/>
  <c r="AB744" i="8"/>
  <c r="AB745" i="8"/>
  <c r="AB746" i="8"/>
  <c r="AB747" i="8"/>
  <c r="AB748" i="8"/>
  <c r="AB749" i="8"/>
  <c r="AB750" i="8"/>
  <c r="AB751" i="8"/>
  <c r="AB752" i="8"/>
  <c r="AB753" i="8"/>
  <c r="AB754" i="8"/>
  <c r="AB755" i="8"/>
  <c r="AB756" i="8"/>
  <c r="AB757" i="8"/>
  <c r="AB758" i="8"/>
  <c r="AB759" i="8"/>
  <c r="AB760" i="8"/>
  <c r="AB761" i="8"/>
  <c r="AB762" i="8"/>
  <c r="AB763" i="8"/>
  <c r="AB764" i="8"/>
  <c r="AB765" i="8"/>
  <c r="AB766" i="8"/>
  <c r="AB767" i="8"/>
  <c r="AB768" i="8"/>
  <c r="AB769" i="8"/>
  <c r="AB770" i="8"/>
  <c r="AB771" i="8"/>
  <c r="AB772" i="8"/>
  <c r="AB773" i="8"/>
  <c r="AB774" i="8"/>
  <c r="AB775" i="8"/>
  <c r="AB776" i="8"/>
  <c r="AB777" i="8"/>
  <c r="AB778" i="8"/>
  <c r="AB779" i="8"/>
  <c r="AB780" i="8"/>
  <c r="AB781" i="8"/>
  <c r="AB782" i="8"/>
  <c r="AB783" i="8"/>
  <c r="AB784" i="8"/>
  <c r="AB785" i="8"/>
  <c r="AB786" i="8"/>
  <c r="AB787" i="8"/>
  <c r="AB788" i="8"/>
  <c r="AB789" i="8"/>
  <c r="AB790" i="8"/>
  <c r="AB791" i="8"/>
  <c r="AB792" i="8"/>
  <c r="AB793" i="8"/>
  <c r="AB794" i="8"/>
  <c r="AB795" i="8"/>
  <c r="AB796" i="8"/>
  <c r="AB797" i="8"/>
  <c r="AB798" i="8"/>
  <c r="AB799" i="8"/>
  <c r="AB800" i="8"/>
  <c r="AB801" i="8"/>
  <c r="AB802" i="8"/>
  <c r="AB803" i="8"/>
  <c r="AB804" i="8"/>
  <c r="AB805" i="8"/>
  <c r="AB806" i="8"/>
  <c r="AB807" i="8"/>
  <c r="AB808" i="8"/>
  <c r="AB809" i="8"/>
  <c r="AB810" i="8"/>
  <c r="AB811" i="8"/>
  <c r="AB812" i="8"/>
  <c r="AB813" i="8"/>
  <c r="AB814" i="8"/>
  <c r="AB815" i="8"/>
  <c r="AB816" i="8"/>
  <c r="AB817" i="8"/>
  <c r="AB818" i="8"/>
  <c r="AB819" i="8"/>
  <c r="AB820" i="8"/>
  <c r="AB821" i="8"/>
  <c r="AB822" i="8"/>
  <c r="AB823" i="8"/>
  <c r="AB824" i="8"/>
  <c r="AB825" i="8"/>
  <c r="AB826" i="8"/>
  <c r="AB827" i="8"/>
  <c r="AB828" i="8"/>
  <c r="AB829" i="8"/>
  <c r="AB830" i="8"/>
  <c r="AB831" i="8"/>
  <c r="AB832" i="8"/>
  <c r="AB833" i="8"/>
  <c r="AB834" i="8"/>
  <c r="AB835" i="8"/>
  <c r="AB836" i="8"/>
  <c r="AB837" i="8"/>
  <c r="AB838" i="8"/>
  <c r="AB839" i="8"/>
  <c r="AB840" i="8"/>
  <c r="AB841" i="8"/>
  <c r="AB842" i="8"/>
  <c r="AB843" i="8"/>
  <c r="AB844" i="8"/>
  <c r="AB845" i="8"/>
  <c r="AB846" i="8"/>
  <c r="AB847" i="8"/>
  <c r="AB848" i="8"/>
  <c r="AB849" i="8"/>
  <c r="AB850" i="8"/>
  <c r="AB851" i="8"/>
  <c r="AB852" i="8"/>
  <c r="AB853" i="8"/>
  <c r="AB854" i="8"/>
  <c r="AB855" i="8"/>
  <c r="AB856" i="8"/>
  <c r="AB857" i="8"/>
  <c r="AB858" i="8"/>
  <c r="AB859" i="8"/>
  <c r="AB860" i="8"/>
  <c r="AB861" i="8"/>
  <c r="AB862" i="8"/>
  <c r="AB863" i="8"/>
  <c r="AB864" i="8"/>
  <c r="AB865" i="8"/>
  <c r="AB866" i="8"/>
  <c r="AB867" i="8"/>
  <c r="AB868" i="8"/>
  <c r="AB869" i="8"/>
  <c r="AB870" i="8"/>
  <c r="AB871" i="8"/>
  <c r="AB872" i="8"/>
  <c r="AB873" i="8"/>
  <c r="AB874" i="8"/>
  <c r="AB875" i="8"/>
  <c r="AB876" i="8"/>
  <c r="AB877" i="8"/>
  <c r="AB878" i="8"/>
  <c r="AB879" i="8"/>
  <c r="AB880" i="8"/>
  <c r="AB881" i="8"/>
  <c r="AB882" i="8"/>
  <c r="AB883" i="8"/>
  <c r="AB884" i="8"/>
  <c r="AB885" i="8"/>
  <c r="AB886" i="8"/>
  <c r="AB887" i="8"/>
  <c r="AB888" i="8"/>
  <c r="AB889" i="8"/>
  <c r="AB890" i="8"/>
  <c r="AB891" i="8"/>
  <c r="AB892" i="8"/>
  <c r="AB893" i="8"/>
  <c r="AB894" i="8"/>
  <c r="AB895" i="8"/>
  <c r="AB896" i="8"/>
  <c r="AB897" i="8"/>
  <c r="AB898" i="8"/>
  <c r="AB899" i="8"/>
  <c r="AB900" i="8"/>
  <c r="AB901" i="8"/>
  <c r="AB902" i="8"/>
  <c r="AB903" i="8"/>
  <c r="AB904" i="8"/>
  <c r="AB905" i="8"/>
  <c r="AB906" i="8"/>
  <c r="AB907" i="8"/>
  <c r="AB908" i="8"/>
  <c r="AB909" i="8"/>
  <c r="AB910" i="8"/>
  <c r="AB911" i="8"/>
  <c r="AB912" i="8"/>
  <c r="AB913" i="8"/>
  <c r="AB914" i="8"/>
  <c r="AB915" i="8"/>
  <c r="AB916" i="8"/>
  <c r="AB917" i="8"/>
  <c r="AB918" i="8"/>
  <c r="AB919" i="8"/>
  <c r="AB920" i="8"/>
  <c r="AB921" i="8"/>
  <c r="AB922" i="8"/>
  <c r="AB923" i="8"/>
  <c r="AB924" i="8"/>
  <c r="AB925" i="8"/>
  <c r="AB926" i="8"/>
  <c r="AB927" i="8"/>
  <c r="AB928" i="8"/>
  <c r="AB929" i="8"/>
  <c r="AB930" i="8"/>
  <c r="AB931" i="8"/>
  <c r="AB932" i="8"/>
  <c r="AB933" i="8"/>
  <c r="AB934" i="8"/>
  <c r="AB935" i="8"/>
  <c r="AB936" i="8"/>
  <c r="AB937" i="8"/>
  <c r="AB938" i="8"/>
  <c r="AB939" i="8"/>
  <c r="AB940" i="8"/>
  <c r="AB941" i="8"/>
  <c r="AB942" i="8"/>
  <c r="AB943" i="8"/>
  <c r="AB944" i="8"/>
  <c r="AB945" i="8"/>
  <c r="AB946" i="8"/>
  <c r="AB947" i="8"/>
  <c r="AB948" i="8"/>
  <c r="AB949" i="8"/>
  <c r="AB950" i="8"/>
  <c r="AB951" i="8"/>
  <c r="AB952" i="8"/>
  <c r="AB953" i="8"/>
  <c r="AB954" i="8"/>
  <c r="AB955" i="8"/>
  <c r="AB956" i="8"/>
  <c r="AB957" i="8"/>
  <c r="AB958" i="8"/>
  <c r="AB959" i="8"/>
  <c r="AB960" i="8"/>
  <c r="AB961" i="8"/>
  <c r="AB962" i="8"/>
  <c r="AB963" i="8"/>
  <c r="AB964" i="8"/>
  <c r="AB965" i="8"/>
  <c r="AB966" i="8"/>
  <c r="AB967" i="8"/>
  <c r="AB968" i="8"/>
  <c r="AB969" i="8"/>
  <c r="AB970" i="8"/>
  <c r="AB971" i="8"/>
  <c r="AB972" i="8"/>
  <c r="AB973" i="8"/>
  <c r="AB974" i="8"/>
  <c r="AB975" i="8"/>
  <c r="AB976" i="8"/>
  <c r="AB977" i="8"/>
  <c r="AB978" i="8"/>
  <c r="AB979" i="8"/>
  <c r="AB980" i="8"/>
  <c r="AB981" i="8"/>
  <c r="AB982" i="8"/>
  <c r="AB983" i="8"/>
  <c r="AB984" i="8"/>
  <c r="AB985" i="8"/>
  <c r="AB986" i="8"/>
  <c r="AB987" i="8"/>
  <c r="AB988" i="8"/>
  <c r="AB989" i="8"/>
  <c r="AB990" i="8"/>
  <c r="AB991" i="8"/>
  <c r="AB992" i="8"/>
  <c r="AB993" i="8"/>
  <c r="AB994" i="8"/>
  <c r="AB995" i="8"/>
  <c r="AB996" i="8"/>
  <c r="AB997" i="8"/>
  <c r="AB998" i="8"/>
  <c r="AB999" i="8"/>
  <c r="AB1000" i="8"/>
  <c r="AB1001" i="8"/>
  <c r="AB1002" i="8"/>
  <c r="AB1003" i="8"/>
  <c r="AB1004" i="8"/>
  <c r="AB1005" i="8"/>
  <c r="AB1006" i="8"/>
  <c r="AB1007" i="8"/>
  <c r="AB1008" i="8"/>
  <c r="AB1009" i="8"/>
  <c r="AB1010" i="8"/>
  <c r="AB1011" i="8"/>
  <c r="AB1012" i="8"/>
  <c r="AB1013" i="8"/>
  <c r="AB1014" i="8"/>
  <c r="AB1015" i="8"/>
  <c r="AB1016" i="8"/>
  <c r="AB1017" i="8"/>
  <c r="AB1018" i="8"/>
  <c r="AB1019" i="8"/>
  <c r="AB1020" i="8"/>
  <c r="AB1021" i="8"/>
  <c r="AB1022" i="8"/>
  <c r="AB1023" i="8"/>
  <c r="AB1024" i="8"/>
  <c r="AB1025" i="8"/>
  <c r="AB1026" i="8"/>
  <c r="AB1027" i="8"/>
  <c r="AB1028" i="8"/>
  <c r="AB1029" i="8"/>
  <c r="AB1030" i="8"/>
  <c r="AB1031" i="8"/>
  <c r="AB1032" i="8"/>
  <c r="AB1033" i="8"/>
  <c r="AB1034" i="8"/>
  <c r="AB1035" i="8"/>
  <c r="AB1036" i="8"/>
  <c r="AB1037" i="8"/>
  <c r="AB1038" i="8"/>
  <c r="AB1039" i="8"/>
  <c r="AB1040" i="8"/>
  <c r="AB1041" i="8"/>
  <c r="AB1042" i="8"/>
  <c r="AB1043" i="8"/>
  <c r="AB1044" i="8"/>
  <c r="AB1045" i="8"/>
  <c r="AB1046" i="8"/>
  <c r="AB1047" i="8"/>
  <c r="AB1048" i="8"/>
  <c r="AB1049" i="8"/>
  <c r="AB1050" i="8"/>
  <c r="AB1051" i="8"/>
  <c r="AB1052" i="8"/>
  <c r="AB1053" i="8"/>
  <c r="AB1054" i="8"/>
  <c r="AB1055" i="8"/>
  <c r="AB1056" i="8"/>
  <c r="AB1057" i="8"/>
  <c r="AB1058" i="8"/>
  <c r="AB1059" i="8"/>
  <c r="AB1060" i="8"/>
  <c r="AB1061" i="8"/>
  <c r="AB1062" i="8"/>
  <c r="AB1063" i="8"/>
  <c r="AB1064" i="8"/>
  <c r="AB1065" i="8"/>
  <c r="AB1066" i="8"/>
  <c r="AB1067" i="8"/>
  <c r="AB1068" i="8"/>
  <c r="AB1069" i="8"/>
  <c r="AB1070" i="8"/>
  <c r="AB1071" i="8"/>
  <c r="AB1072" i="8"/>
  <c r="AB1073" i="8"/>
  <c r="AB1074" i="8"/>
  <c r="AB1075" i="8"/>
  <c r="AB1076" i="8"/>
  <c r="AB1077" i="8"/>
  <c r="AB1078" i="8"/>
  <c r="AB1079" i="8"/>
  <c r="AB1080" i="8"/>
  <c r="AB1081" i="8"/>
  <c r="AB1082" i="8"/>
  <c r="AB1083" i="8"/>
  <c r="AB1084" i="8"/>
  <c r="AB1085" i="8"/>
  <c r="AB1086" i="8"/>
  <c r="AB1087" i="8"/>
  <c r="AB1088" i="8"/>
  <c r="AB1089" i="8"/>
  <c r="AB1090" i="8"/>
  <c r="AB1091" i="8"/>
  <c r="AB1092" i="8"/>
  <c r="AB1093" i="8"/>
  <c r="AB1094" i="8"/>
  <c r="AB1095" i="8"/>
  <c r="AB1096" i="8"/>
  <c r="AB1097" i="8"/>
  <c r="AB1098" i="8"/>
  <c r="AB1099" i="8"/>
  <c r="AB1100" i="8"/>
  <c r="AB1101" i="8"/>
  <c r="AB1102" i="8"/>
  <c r="AB1103" i="8"/>
  <c r="AB1104" i="8"/>
  <c r="AB1105" i="8"/>
  <c r="AB1106" i="8"/>
  <c r="AB1107" i="8"/>
  <c r="AB1108" i="8"/>
  <c r="AB1109" i="8"/>
  <c r="AB1110" i="8"/>
  <c r="AB1111" i="8"/>
  <c r="AB1112" i="8"/>
  <c r="AB1113" i="8"/>
  <c r="AB1114" i="8"/>
  <c r="AB1115" i="8"/>
  <c r="AB1116" i="8"/>
  <c r="AB1117" i="8"/>
  <c r="AB1118" i="8"/>
  <c r="AB1119" i="8"/>
  <c r="AB1120" i="8"/>
  <c r="AB1121" i="8"/>
  <c r="AB1122" i="8"/>
  <c r="AB1123" i="8"/>
  <c r="AB1124" i="8"/>
  <c r="AB1125" i="8"/>
  <c r="AB1126" i="8"/>
  <c r="AB1127" i="8"/>
  <c r="AB1128" i="8"/>
  <c r="AB1129" i="8"/>
  <c r="AB1130" i="8"/>
  <c r="AB1131" i="8"/>
  <c r="AB1132" i="8"/>
  <c r="AB1133" i="8"/>
  <c r="AB1134" i="8"/>
  <c r="AB1135" i="8"/>
  <c r="AB1136" i="8"/>
  <c r="AB1137" i="8"/>
  <c r="AB1138" i="8"/>
  <c r="AB1139" i="8"/>
  <c r="AB1140" i="8"/>
  <c r="AB1141" i="8"/>
  <c r="AB1142" i="8"/>
  <c r="AB1143" i="8"/>
  <c r="AB1144" i="8"/>
  <c r="AB1145" i="8"/>
  <c r="AB1146" i="8"/>
  <c r="AB1147" i="8"/>
  <c r="AB1148" i="8"/>
  <c r="AB1149" i="8"/>
  <c r="AB1150" i="8"/>
  <c r="AB1151" i="8"/>
  <c r="AB1152" i="8"/>
  <c r="AB1153" i="8"/>
  <c r="AB1154" i="8"/>
  <c r="AB1155" i="8"/>
  <c r="AB1156" i="8"/>
  <c r="AB1157" i="8"/>
  <c r="AB1158" i="8"/>
  <c r="AB1159" i="8"/>
  <c r="AB1160" i="8"/>
  <c r="AB1161" i="8"/>
  <c r="AB1162" i="8"/>
  <c r="AB1163" i="8"/>
  <c r="AB1164" i="8"/>
  <c r="AB1165" i="8"/>
  <c r="AB1166" i="8"/>
  <c r="AB1167" i="8"/>
  <c r="AB1168" i="8"/>
  <c r="AB1169" i="8"/>
  <c r="AB1170" i="8"/>
  <c r="AB1171" i="8"/>
  <c r="AB1172" i="8"/>
  <c r="AB1173" i="8"/>
  <c r="AB1174" i="8"/>
  <c r="AB1175" i="8"/>
  <c r="AB1176" i="8"/>
  <c r="AB1177" i="8"/>
  <c r="AB1178" i="8"/>
  <c r="AB1179" i="8"/>
  <c r="AB1180" i="8"/>
  <c r="AB1181" i="8"/>
  <c r="AB1182" i="8"/>
  <c r="AB1183" i="8"/>
  <c r="AB1184" i="8"/>
  <c r="AB1185" i="8"/>
  <c r="AB1186" i="8"/>
  <c r="AB1187" i="8"/>
  <c r="AB1188" i="8"/>
  <c r="AB1189" i="8"/>
  <c r="AB1190" i="8"/>
  <c r="AB1191" i="8"/>
  <c r="AB1192" i="8"/>
  <c r="AB1193" i="8"/>
  <c r="AB1194" i="8"/>
  <c r="AB1195" i="8"/>
  <c r="AB1196" i="8"/>
  <c r="AB1197" i="8"/>
  <c r="AB1198" i="8"/>
  <c r="AB1199" i="8"/>
  <c r="AB1200" i="8"/>
  <c r="AB1201" i="8"/>
  <c r="AB1202" i="8"/>
  <c r="AB1203" i="8"/>
  <c r="AB1204" i="8"/>
  <c r="AB1205" i="8"/>
  <c r="AB1206" i="8"/>
  <c r="AB1207" i="8"/>
  <c r="AB1208" i="8"/>
  <c r="AB1209" i="8"/>
  <c r="AB1210" i="8"/>
  <c r="AB1211" i="8"/>
  <c r="AB1212" i="8"/>
  <c r="AB1213" i="8"/>
  <c r="AB1214" i="8"/>
  <c r="AB1215" i="8"/>
  <c r="AB1216" i="8"/>
  <c r="AB1217" i="8"/>
  <c r="AB1218" i="8"/>
  <c r="AB1219" i="8"/>
  <c r="AB1220" i="8"/>
  <c r="AB1221" i="8"/>
  <c r="AB1222" i="8"/>
  <c r="AB1223" i="8"/>
  <c r="AB1224" i="8"/>
  <c r="AB1225" i="8"/>
  <c r="AB1226" i="8"/>
  <c r="AB1227" i="8"/>
  <c r="AB1228" i="8"/>
  <c r="AB1229" i="8"/>
  <c r="AB1230" i="8"/>
  <c r="AB1231" i="8"/>
  <c r="AB1232" i="8"/>
  <c r="AB1233" i="8"/>
  <c r="AB1234" i="8"/>
  <c r="AB1235" i="8"/>
  <c r="AB1236" i="8"/>
  <c r="AB1237" i="8"/>
  <c r="AB1238" i="8"/>
  <c r="AB1239" i="8"/>
  <c r="AB1240" i="8"/>
  <c r="AB1241" i="8"/>
  <c r="AB1242" i="8"/>
  <c r="AB1243" i="8"/>
  <c r="AB1244" i="8"/>
  <c r="AB1245" i="8"/>
  <c r="AB1246" i="8"/>
  <c r="AB1247" i="8"/>
  <c r="AB1248" i="8"/>
  <c r="AB1249" i="8"/>
  <c r="AB1250" i="8"/>
  <c r="AB1251" i="8"/>
  <c r="AB1252" i="8"/>
  <c r="AB1253" i="8"/>
  <c r="AB1254" i="8"/>
  <c r="AB1255" i="8"/>
  <c r="AB1256" i="8"/>
  <c r="AB1257" i="8"/>
  <c r="AB1258" i="8"/>
  <c r="AB1259" i="8"/>
  <c r="AB1260" i="8"/>
  <c r="AB1261" i="8"/>
  <c r="AB1262" i="8"/>
  <c r="AB1263" i="8"/>
  <c r="AB1264" i="8"/>
  <c r="AB1265" i="8"/>
  <c r="AB1266" i="8"/>
  <c r="AB1267" i="8"/>
  <c r="AB1268" i="8"/>
  <c r="AB1269" i="8"/>
  <c r="AB1270" i="8"/>
  <c r="AB1271" i="8"/>
  <c r="AB1272" i="8"/>
  <c r="AB1273" i="8"/>
  <c r="AB1274" i="8"/>
  <c r="AB1275" i="8"/>
  <c r="AB1276" i="8"/>
  <c r="AB1277" i="8"/>
  <c r="AB1278" i="8"/>
  <c r="AB1279" i="8"/>
  <c r="AB1280" i="8"/>
  <c r="AB1281" i="8"/>
  <c r="AB1282" i="8"/>
  <c r="AB1283" i="8"/>
  <c r="AB1284" i="8"/>
  <c r="AB1285" i="8"/>
  <c r="AB1286" i="8"/>
  <c r="AB1287" i="8"/>
  <c r="AB1288" i="8"/>
  <c r="AB1289" i="8"/>
  <c r="AB1290" i="8"/>
  <c r="AB1291" i="8"/>
  <c r="AB1292" i="8"/>
  <c r="AB1293" i="8"/>
  <c r="AB1294" i="8"/>
  <c r="AB1295" i="8"/>
  <c r="AB1296" i="8"/>
  <c r="AB1297" i="8"/>
  <c r="AB1298" i="8"/>
  <c r="AB1299" i="8"/>
  <c r="AB1300" i="8"/>
  <c r="AB1301" i="8"/>
  <c r="AB1302" i="8"/>
  <c r="AB1303" i="8"/>
  <c r="AB1304" i="8"/>
  <c r="AB1305" i="8"/>
  <c r="AB1306" i="8"/>
  <c r="AB1307" i="8"/>
  <c r="AB1308" i="8"/>
  <c r="AB1309" i="8"/>
  <c r="AB1310" i="8"/>
  <c r="AB1311" i="8"/>
  <c r="AB1312" i="8"/>
  <c r="AB1313" i="8"/>
  <c r="AB1314" i="8"/>
  <c r="AB1315" i="8"/>
  <c r="AB1316" i="8"/>
  <c r="AB1317" i="8"/>
  <c r="AB1318" i="8"/>
  <c r="AB1319" i="8"/>
  <c r="AB1320" i="8"/>
  <c r="AB1321" i="8"/>
  <c r="AB1322" i="8"/>
  <c r="AB1323" i="8"/>
  <c r="AB1324" i="8"/>
  <c r="AB1325" i="8"/>
  <c r="AB1326" i="8"/>
  <c r="AB1327" i="8"/>
  <c r="AB1328" i="8"/>
  <c r="AB1329" i="8"/>
  <c r="AB1330" i="8"/>
  <c r="AB1331" i="8"/>
  <c r="AB1332" i="8"/>
  <c r="AB1333" i="8"/>
  <c r="AB1334" i="8"/>
  <c r="AB1335" i="8"/>
  <c r="AB1336" i="8"/>
  <c r="AB1337" i="8"/>
  <c r="AB1338" i="8"/>
  <c r="AB1339" i="8"/>
  <c r="AB1340" i="8"/>
  <c r="AB1341" i="8"/>
  <c r="AB1342" i="8"/>
  <c r="AB1343" i="8"/>
  <c r="AB1344" i="8"/>
  <c r="AB1345" i="8"/>
  <c r="AB1346" i="8"/>
  <c r="AB1347" i="8"/>
  <c r="AB1348" i="8"/>
  <c r="AB1349" i="8"/>
  <c r="AB1350" i="8"/>
  <c r="AB1351" i="8"/>
  <c r="AB1352" i="8"/>
  <c r="AB1353" i="8"/>
  <c r="AB1354" i="8"/>
  <c r="AB1355" i="8"/>
  <c r="AB1356" i="8"/>
  <c r="AB1357" i="8"/>
  <c r="AB1358" i="8"/>
  <c r="AB1359" i="8"/>
  <c r="AB1360" i="8"/>
  <c r="AB1361" i="8"/>
  <c r="AB1362" i="8"/>
  <c r="AB1363" i="8"/>
  <c r="AB1364" i="8"/>
  <c r="AB1365" i="8"/>
  <c r="AB1366" i="8"/>
  <c r="AB1367" i="8"/>
  <c r="AB1368" i="8"/>
  <c r="AB1369" i="8"/>
  <c r="AB1370" i="8"/>
  <c r="AB1371" i="8"/>
  <c r="AB1372" i="8"/>
  <c r="AB1373" i="8"/>
  <c r="AB1374" i="8"/>
  <c r="AB1375" i="8"/>
  <c r="AB1376" i="8"/>
  <c r="AB1377" i="8"/>
  <c r="AB1378" i="8"/>
  <c r="AB1379" i="8"/>
  <c r="AB1380" i="8"/>
  <c r="AB1381" i="8"/>
  <c r="AB1382" i="8"/>
  <c r="AB1383" i="8"/>
  <c r="AB1384" i="8"/>
  <c r="AB1385" i="8"/>
  <c r="AB1386" i="8"/>
  <c r="AB1387" i="8"/>
  <c r="AB1388" i="8"/>
  <c r="AB1389" i="8"/>
  <c r="AB1390" i="8"/>
  <c r="AB1391" i="8"/>
  <c r="AB1392" i="8"/>
  <c r="AB1393" i="8"/>
  <c r="AB1394" i="8"/>
  <c r="AB1395" i="8"/>
  <c r="AB1396" i="8"/>
  <c r="AB1397" i="8"/>
  <c r="AB1398" i="8"/>
  <c r="AB1399" i="8"/>
  <c r="AB1400" i="8"/>
  <c r="AB1401" i="8"/>
  <c r="AB1402" i="8"/>
  <c r="AB1403" i="8"/>
  <c r="AB1404" i="8"/>
  <c r="AB1405" i="8"/>
  <c r="AB1406" i="8"/>
  <c r="AB1407" i="8"/>
  <c r="AB1408" i="8"/>
  <c r="AB1409" i="8"/>
  <c r="AB1410" i="8"/>
  <c r="AB1411" i="8"/>
  <c r="AB1412" i="8"/>
  <c r="AB1413" i="8"/>
  <c r="AB1414" i="8"/>
  <c r="AB1415" i="8"/>
  <c r="AB1416" i="8"/>
  <c r="AB1417" i="8"/>
  <c r="AB1418" i="8"/>
  <c r="AB1419" i="8"/>
  <c r="AB1420" i="8"/>
  <c r="AB1421" i="8"/>
  <c r="AB1422" i="8"/>
  <c r="AB1423" i="8"/>
  <c r="AB1424" i="8"/>
  <c r="AB1425" i="8"/>
  <c r="AB1426" i="8"/>
  <c r="AB1427" i="8"/>
  <c r="AB1428" i="8"/>
  <c r="AB1429" i="8"/>
  <c r="AB1430" i="8"/>
  <c r="AB1431" i="8"/>
  <c r="AB1432" i="8"/>
  <c r="AB1433" i="8"/>
  <c r="AB1434" i="8"/>
  <c r="AB1435" i="8"/>
  <c r="AB1436" i="8"/>
  <c r="AB1437" i="8"/>
  <c r="AB1438" i="8"/>
  <c r="AB1439" i="8"/>
  <c r="AB1440" i="8"/>
  <c r="AB1441" i="8"/>
  <c r="AB1442" i="8"/>
  <c r="AB1443" i="8"/>
  <c r="AB1444" i="8"/>
  <c r="AB1445" i="8"/>
  <c r="AB1446" i="8"/>
  <c r="AB1447" i="8"/>
  <c r="AB1448" i="8"/>
  <c r="AB1449" i="8"/>
  <c r="AB1450" i="8"/>
  <c r="AB1451" i="8"/>
  <c r="AB1452" i="8"/>
  <c r="AB1453" i="8"/>
  <c r="AB1454" i="8"/>
  <c r="AB1455" i="8"/>
  <c r="AB1456" i="8"/>
  <c r="AB1457" i="8"/>
  <c r="AB1458" i="8"/>
  <c r="AB1459" i="8"/>
  <c r="AB1460" i="8"/>
  <c r="AB1461" i="8"/>
  <c r="AB1462" i="8"/>
  <c r="AB1463" i="8"/>
  <c r="AB1464" i="8"/>
  <c r="AB1465" i="8"/>
  <c r="AB1466" i="8"/>
  <c r="AB1467" i="8"/>
  <c r="AB1468" i="8"/>
  <c r="AB1469" i="8"/>
  <c r="AB1470" i="8"/>
  <c r="AB1471" i="8"/>
  <c r="AB1472" i="8"/>
  <c r="AB1473" i="8"/>
  <c r="AB1474" i="8"/>
  <c r="AB1475" i="8"/>
  <c r="AB1476" i="8"/>
  <c r="AB1477" i="8"/>
  <c r="AB1478" i="8"/>
  <c r="AB1479" i="8"/>
  <c r="AB1480" i="8"/>
  <c r="AB1481" i="8"/>
  <c r="AB1482" i="8"/>
  <c r="AB1483" i="8"/>
  <c r="AB1484" i="8"/>
  <c r="AB1485" i="8"/>
  <c r="AB1486" i="8"/>
  <c r="AB1487" i="8"/>
  <c r="AB1488" i="8"/>
  <c r="AB1489" i="8"/>
  <c r="AB1490" i="8"/>
  <c r="AB1491" i="8"/>
  <c r="AB1492" i="8"/>
  <c r="AB1493" i="8"/>
  <c r="AB1494" i="8"/>
  <c r="AB1495" i="8"/>
  <c r="AB1496" i="8"/>
  <c r="AB1497" i="8"/>
  <c r="AB1498" i="8"/>
  <c r="AB1499" i="8"/>
  <c r="AB1500" i="8"/>
  <c r="AB1501" i="8"/>
  <c r="AB1502" i="8"/>
  <c r="AB1503" i="8"/>
  <c r="AB1504" i="8"/>
  <c r="AB1505" i="8"/>
  <c r="AB1506" i="8"/>
  <c r="AB1507" i="8"/>
  <c r="AB1508" i="8"/>
  <c r="AB1509" i="8"/>
  <c r="AB1510" i="8"/>
  <c r="AB1511" i="8"/>
  <c r="AB1512" i="8"/>
  <c r="AB1513" i="8"/>
  <c r="AB1514" i="8"/>
  <c r="AB1515" i="8"/>
  <c r="AB1516" i="8"/>
  <c r="AB1517" i="8"/>
  <c r="AB1518" i="8"/>
  <c r="AB1519" i="8"/>
  <c r="AB1520" i="8"/>
  <c r="AB1521" i="8"/>
  <c r="AB1522" i="8"/>
  <c r="AB1523" i="8"/>
  <c r="AB1524" i="8"/>
  <c r="AB1525" i="8"/>
  <c r="AB1526" i="8"/>
  <c r="AB1527" i="8"/>
  <c r="AB1528" i="8"/>
  <c r="AB1529" i="8"/>
  <c r="AB1530" i="8"/>
  <c r="AB1531" i="8"/>
  <c r="AB1532" i="8"/>
  <c r="AB1533" i="8"/>
  <c r="AB1534" i="8"/>
  <c r="AB1535" i="8"/>
  <c r="AB1536" i="8"/>
  <c r="AB1537" i="8"/>
  <c r="AB1538" i="8"/>
  <c r="AB1539" i="8"/>
  <c r="AB1540" i="8"/>
  <c r="AB1541" i="8"/>
  <c r="AB1542" i="8"/>
  <c r="AB1543" i="8"/>
  <c r="AB1544" i="8"/>
  <c r="AB1545" i="8"/>
  <c r="AB1546" i="8"/>
  <c r="AB1547" i="8"/>
  <c r="AB1548" i="8"/>
  <c r="AB1549" i="8"/>
  <c r="AB1550" i="8"/>
  <c r="AB1551" i="8"/>
  <c r="AB1552" i="8"/>
  <c r="AB1553" i="8"/>
  <c r="AB1554" i="8"/>
  <c r="AB1555" i="8"/>
  <c r="AB1556" i="8"/>
  <c r="AB1557" i="8"/>
  <c r="AB1558" i="8"/>
  <c r="AB1559" i="8"/>
  <c r="AB1560" i="8"/>
  <c r="AB1561" i="8"/>
  <c r="AB1562" i="8"/>
  <c r="AB1563" i="8"/>
  <c r="AB1564" i="8"/>
  <c r="AB1565" i="8"/>
  <c r="AB1566" i="8"/>
  <c r="AB1567" i="8"/>
  <c r="AB1568" i="8"/>
  <c r="AB1569" i="8"/>
  <c r="AB1570" i="8"/>
  <c r="AB1571" i="8"/>
  <c r="AB1572" i="8"/>
  <c r="AB1573" i="8"/>
  <c r="AB1574" i="8"/>
  <c r="AB1575" i="8"/>
  <c r="AB1576" i="8"/>
  <c r="AB1577" i="8"/>
  <c r="AB1578" i="8"/>
  <c r="AB1579" i="8"/>
  <c r="AB1580" i="8"/>
  <c r="AB1581" i="8"/>
  <c r="AB1582" i="8"/>
  <c r="AB1583" i="8"/>
  <c r="AB1584" i="8"/>
  <c r="AB1585" i="8"/>
  <c r="AB1586" i="8"/>
  <c r="AB1587" i="8"/>
  <c r="AB1588" i="8"/>
  <c r="AB1589" i="8"/>
  <c r="AB1590" i="8"/>
  <c r="AB1591" i="8"/>
  <c r="AB1592" i="8"/>
  <c r="AB1593" i="8"/>
  <c r="AB1594" i="8"/>
  <c r="AB1595" i="8"/>
  <c r="AB1596" i="8"/>
  <c r="AB1597" i="8"/>
  <c r="AB1598" i="8"/>
  <c r="AB1599" i="8"/>
  <c r="AB1600" i="8"/>
  <c r="AB1601" i="8"/>
  <c r="AB1602" i="8"/>
  <c r="AB1603" i="8"/>
  <c r="AB1604" i="8"/>
  <c r="AB1605" i="8"/>
  <c r="AB1606" i="8"/>
  <c r="AB1607" i="8"/>
  <c r="AB1608" i="8"/>
  <c r="AB1609" i="8"/>
  <c r="AB1610" i="8"/>
  <c r="AB1611" i="8"/>
  <c r="AB1612" i="8"/>
  <c r="AB1613" i="8"/>
  <c r="AB1614" i="8"/>
  <c r="AB1615" i="8"/>
  <c r="AB1616" i="8"/>
  <c r="AB1617" i="8"/>
  <c r="AB1618" i="8"/>
  <c r="AB1619" i="8"/>
  <c r="AB1620" i="8"/>
  <c r="AB1621" i="8"/>
  <c r="AB1622" i="8"/>
  <c r="AB1623" i="8"/>
  <c r="AB1624" i="8"/>
  <c r="AB1625" i="8"/>
  <c r="AB1626" i="8"/>
  <c r="AB1627" i="8"/>
  <c r="AB1628" i="8"/>
  <c r="AB1629" i="8"/>
  <c r="AB1630" i="8"/>
  <c r="AB1631" i="8"/>
  <c r="AB1632" i="8"/>
  <c r="AB1633" i="8"/>
  <c r="AB1634" i="8"/>
  <c r="AB1635" i="8"/>
  <c r="AB1636" i="8"/>
  <c r="AB1637" i="8"/>
  <c r="AB1638" i="8"/>
  <c r="AB1639" i="8"/>
  <c r="AB1640" i="8"/>
  <c r="AB1641" i="8"/>
  <c r="AB1642" i="8"/>
  <c r="AB1643" i="8"/>
  <c r="AB1644" i="8"/>
  <c r="AB1645" i="8"/>
  <c r="AB1646" i="8"/>
  <c r="AB1647" i="8"/>
  <c r="AB1648" i="8"/>
  <c r="AB1649" i="8"/>
  <c r="AB1650" i="8"/>
  <c r="AB1651" i="8"/>
  <c r="AB1652" i="8"/>
  <c r="AB1653" i="8"/>
  <c r="AB1654" i="8"/>
  <c r="AB1655" i="8"/>
  <c r="AB1656" i="8"/>
  <c r="AB1657" i="8"/>
  <c r="AB1658" i="8"/>
  <c r="AB1659" i="8"/>
  <c r="AB1660" i="8"/>
  <c r="AB1661" i="8"/>
  <c r="AB1662" i="8"/>
  <c r="AB1663" i="8"/>
  <c r="AB1664" i="8"/>
  <c r="AB1665" i="8"/>
  <c r="AB1666" i="8"/>
  <c r="AB1667" i="8"/>
  <c r="AB1668" i="8"/>
  <c r="AB1669" i="8"/>
  <c r="AB1670" i="8"/>
  <c r="AB1671" i="8"/>
  <c r="AB1672" i="8"/>
  <c r="AB1673" i="8"/>
  <c r="AB1674" i="8"/>
  <c r="AB1675" i="8"/>
  <c r="AB1676" i="8"/>
  <c r="AB1677" i="8"/>
  <c r="AB1678" i="8"/>
  <c r="AB1679" i="8"/>
  <c r="AB1680" i="8"/>
  <c r="AB1681" i="8"/>
  <c r="AB1682" i="8"/>
  <c r="AB1683" i="8"/>
  <c r="AB1684" i="8"/>
  <c r="AB1685" i="8"/>
  <c r="AB1686" i="8"/>
  <c r="AB1687" i="8"/>
  <c r="AB1688" i="8"/>
  <c r="AB1689" i="8"/>
  <c r="AB1690" i="8"/>
  <c r="AB1691" i="8"/>
  <c r="AB1692" i="8"/>
  <c r="AB1693" i="8"/>
  <c r="AB1694" i="8"/>
  <c r="AB1695" i="8"/>
  <c r="AB1696" i="8"/>
  <c r="AB1697" i="8"/>
  <c r="AB1698" i="8"/>
  <c r="AB1699" i="8"/>
  <c r="AB1700" i="8"/>
  <c r="AB1701" i="8"/>
  <c r="AB1702" i="8"/>
  <c r="AB1703" i="8"/>
  <c r="AB1704" i="8"/>
  <c r="AB1705" i="8"/>
  <c r="AB1706" i="8"/>
  <c r="AB1707" i="8"/>
  <c r="AB1708" i="8"/>
  <c r="AB1709" i="8"/>
  <c r="AB1710" i="8"/>
  <c r="AB1711" i="8"/>
  <c r="AB1712" i="8"/>
  <c r="AB1713" i="8"/>
  <c r="AB1714" i="8"/>
  <c r="AB1715" i="8"/>
  <c r="AB1716" i="8"/>
  <c r="AB1717" i="8"/>
  <c r="AB1718" i="8"/>
  <c r="AB1719" i="8"/>
  <c r="AB1720" i="8"/>
  <c r="AB1721" i="8"/>
  <c r="AB1722" i="8"/>
  <c r="AB1723" i="8"/>
  <c r="AB1724" i="8"/>
  <c r="AB1725" i="8"/>
  <c r="AB1726" i="8"/>
  <c r="AB1727" i="8"/>
  <c r="AB1728" i="8"/>
  <c r="AB1729" i="8"/>
  <c r="AB1730" i="8"/>
  <c r="AB1731" i="8"/>
  <c r="AB1732" i="8"/>
  <c r="AB1733" i="8"/>
  <c r="AB1734" i="8"/>
  <c r="AB1735" i="8"/>
  <c r="AB1736" i="8"/>
  <c r="AB1737" i="8"/>
  <c r="AB1738" i="8"/>
  <c r="AB1739" i="8"/>
  <c r="AB1740" i="8"/>
  <c r="AB1741" i="8"/>
  <c r="AB1742" i="8"/>
  <c r="AB1743" i="8"/>
  <c r="AB1744" i="8"/>
  <c r="AB1745" i="8"/>
  <c r="AB1746" i="8"/>
  <c r="AB1747" i="8"/>
  <c r="AB1748" i="8"/>
  <c r="AB1749" i="8"/>
  <c r="AB1750" i="8"/>
  <c r="AB1751" i="8"/>
  <c r="AB1752" i="8"/>
  <c r="AB1753" i="8"/>
  <c r="AB1754" i="8"/>
  <c r="AB1755" i="8"/>
  <c r="AB1756" i="8"/>
  <c r="AB1757" i="8"/>
  <c r="AB1758" i="8"/>
  <c r="AB1759" i="8"/>
  <c r="AB1760" i="8"/>
  <c r="AB1761" i="8"/>
  <c r="AB1762" i="8"/>
  <c r="AB1763" i="8"/>
  <c r="AB1764" i="8"/>
  <c r="AB1765" i="8"/>
  <c r="AB1766" i="8"/>
  <c r="AB1767" i="8"/>
  <c r="AB1768" i="8"/>
  <c r="AB1769" i="8"/>
  <c r="AB1770" i="8"/>
  <c r="AB1771" i="8"/>
  <c r="AB1772" i="8"/>
  <c r="AB1773" i="8"/>
  <c r="AB1774" i="8"/>
  <c r="AB1775" i="8"/>
  <c r="AB1776" i="8"/>
  <c r="AB1777" i="8"/>
  <c r="AB1778" i="8"/>
  <c r="AB1779" i="8"/>
  <c r="AB1780" i="8"/>
  <c r="AB1781" i="8"/>
  <c r="AB1782" i="8"/>
  <c r="AB1783" i="8"/>
  <c r="AB1784" i="8"/>
  <c r="AB1785" i="8"/>
  <c r="AB1786" i="8"/>
  <c r="AB1787" i="8"/>
  <c r="AB1788" i="8"/>
  <c r="AB1789" i="8"/>
  <c r="AB1790" i="8"/>
  <c r="AB1791" i="8"/>
  <c r="AB1792" i="8"/>
  <c r="AB1793" i="8"/>
  <c r="AB1794" i="8"/>
  <c r="AB1795" i="8"/>
  <c r="AB1796" i="8"/>
  <c r="AB1797" i="8"/>
  <c r="AB1798" i="8"/>
  <c r="AB1799" i="8"/>
  <c r="AB1800" i="8"/>
  <c r="AB1801" i="8"/>
  <c r="AB1802" i="8"/>
  <c r="AB1803" i="8"/>
  <c r="AB1804" i="8"/>
  <c r="AB1805" i="8"/>
  <c r="AB1806" i="8"/>
  <c r="AB1807" i="8"/>
  <c r="AB1808" i="8"/>
  <c r="AB1809" i="8"/>
  <c r="AB1810" i="8"/>
  <c r="AB1811" i="8"/>
  <c r="AB1812" i="8"/>
  <c r="AB1813" i="8"/>
  <c r="AB1814" i="8"/>
  <c r="AB1815" i="8"/>
  <c r="AB1816" i="8"/>
  <c r="AB1817" i="8"/>
  <c r="AB1818" i="8"/>
  <c r="AB1819" i="8"/>
  <c r="AB1820" i="8"/>
  <c r="AB1821" i="8"/>
  <c r="AB1822" i="8"/>
  <c r="AB1823" i="8"/>
  <c r="AB1824" i="8"/>
  <c r="AB1825" i="8"/>
  <c r="AB1826" i="8"/>
  <c r="AB1827" i="8"/>
  <c r="AB1828" i="8"/>
  <c r="AB1829" i="8"/>
  <c r="AB1830" i="8"/>
  <c r="AB1831" i="8"/>
  <c r="AB1832" i="8"/>
  <c r="AB1833" i="8"/>
  <c r="AB1834" i="8"/>
  <c r="AB1835" i="8"/>
  <c r="AB1836" i="8"/>
  <c r="AB1837" i="8"/>
  <c r="AB1838" i="8"/>
  <c r="AB1839" i="8"/>
  <c r="AB1840" i="8"/>
  <c r="AB1841" i="8"/>
  <c r="AB1842" i="8"/>
  <c r="AB1843" i="8"/>
  <c r="AB1844" i="8"/>
  <c r="AB1845" i="8"/>
  <c r="AB1846" i="8"/>
  <c r="AB1847" i="8"/>
  <c r="AB1848" i="8"/>
  <c r="AB1849" i="8"/>
  <c r="AB1850" i="8"/>
  <c r="AB1851" i="8"/>
  <c r="AB1852" i="8"/>
  <c r="AB1853" i="8"/>
  <c r="AB1854" i="8"/>
  <c r="AB1855" i="8"/>
  <c r="AB1856" i="8"/>
  <c r="AB1857" i="8"/>
  <c r="AB1858" i="8"/>
  <c r="AB1859" i="8"/>
  <c r="AB1860" i="8"/>
  <c r="AB1861" i="8"/>
  <c r="AB1862" i="8"/>
  <c r="AB1863" i="8"/>
  <c r="AB1864" i="8"/>
  <c r="AB1865" i="8"/>
  <c r="AB1866" i="8"/>
  <c r="AB1867" i="8"/>
  <c r="AB1868" i="8"/>
  <c r="AB1869" i="8"/>
  <c r="AB1870" i="8"/>
  <c r="AB1871" i="8"/>
  <c r="AB1872" i="8"/>
  <c r="AB1873" i="8"/>
  <c r="AB1874" i="8"/>
  <c r="AB1875" i="8"/>
  <c r="AB1876" i="8"/>
  <c r="AB1877" i="8"/>
  <c r="AB1878" i="8"/>
  <c r="AB1879" i="8"/>
  <c r="AB1880" i="8"/>
  <c r="AB1881" i="8"/>
  <c r="AB1882" i="8"/>
  <c r="AB1883" i="8"/>
  <c r="AB1884" i="8"/>
  <c r="AB1885" i="8"/>
  <c r="AB1886" i="8"/>
  <c r="AB1887" i="8"/>
  <c r="AB1888" i="8"/>
  <c r="AB1889" i="8"/>
  <c r="AB1890" i="8"/>
  <c r="AB1891" i="8"/>
  <c r="AB1892" i="8"/>
  <c r="AB1893" i="8"/>
  <c r="AB1894" i="8"/>
  <c r="AB1895" i="8"/>
  <c r="AB1896" i="8"/>
  <c r="AB1897" i="8"/>
  <c r="AB1898" i="8"/>
  <c r="AB1899" i="8"/>
  <c r="AB1900" i="8"/>
  <c r="AB1901" i="8"/>
  <c r="AB1902" i="8"/>
  <c r="AB1903" i="8"/>
  <c r="AB1904" i="8"/>
  <c r="AB1905" i="8"/>
  <c r="AB1906" i="8"/>
  <c r="AB1907" i="8"/>
  <c r="AB1908" i="8"/>
  <c r="AB1909" i="8"/>
  <c r="AB1910" i="8"/>
  <c r="AB1911" i="8"/>
  <c r="AB1912" i="8"/>
  <c r="AB1913" i="8"/>
  <c r="AB1914" i="8"/>
  <c r="AB1915" i="8"/>
  <c r="AB1916" i="8"/>
  <c r="AB1917" i="8"/>
  <c r="AB1918" i="8"/>
  <c r="AB1919" i="8"/>
  <c r="AB1920" i="8"/>
  <c r="AB1921" i="8"/>
  <c r="AB1922" i="8"/>
  <c r="AB1923" i="8"/>
  <c r="AB1924" i="8"/>
  <c r="AB1925" i="8"/>
  <c r="AB1926" i="8"/>
  <c r="AB1927" i="8"/>
  <c r="AB1928" i="8"/>
  <c r="AB1929" i="8"/>
  <c r="AB1930" i="8"/>
  <c r="AB1931" i="8"/>
  <c r="AB1932" i="8"/>
  <c r="AB1933" i="8"/>
  <c r="AB1934" i="8"/>
  <c r="AB1935" i="8"/>
  <c r="AB1936" i="8"/>
  <c r="AB1937" i="8"/>
  <c r="AB1938" i="8"/>
  <c r="AB1939" i="8"/>
  <c r="AB1940" i="8"/>
  <c r="AB1941" i="8"/>
  <c r="AB1942" i="8"/>
  <c r="AB1943" i="8"/>
  <c r="AB1944" i="8"/>
  <c r="AB1945" i="8"/>
  <c r="AB1946" i="8"/>
  <c r="AB1947" i="8"/>
  <c r="AB1948" i="8"/>
  <c r="AB1949" i="8"/>
  <c r="AB1950" i="8"/>
  <c r="AB1951" i="8"/>
  <c r="AB1952" i="8"/>
  <c r="AB1953" i="8"/>
  <c r="AB1954" i="8"/>
  <c r="AB1955" i="8"/>
  <c r="AB1956" i="8"/>
  <c r="AB1957" i="8"/>
  <c r="AB1958" i="8"/>
  <c r="AB1959" i="8"/>
  <c r="AB1960" i="8"/>
  <c r="AB1961" i="8"/>
  <c r="AB1962" i="8"/>
  <c r="AB1963" i="8"/>
  <c r="AB1964" i="8"/>
  <c r="AB1965" i="8"/>
  <c r="AB1966" i="8"/>
  <c r="AB1967" i="8"/>
  <c r="AB1968" i="8"/>
  <c r="AB1969" i="8"/>
  <c r="AB1970" i="8"/>
  <c r="AB1971" i="8"/>
  <c r="AB1972" i="8"/>
  <c r="AB1973" i="8"/>
  <c r="AB1974" i="8"/>
  <c r="AB1975" i="8"/>
  <c r="AB1976" i="8"/>
  <c r="AB1977" i="8"/>
  <c r="AB1978" i="8"/>
  <c r="AB1979" i="8"/>
  <c r="AB1980" i="8"/>
  <c r="AB1981" i="8"/>
  <c r="AB1982" i="8"/>
  <c r="AB1983" i="8"/>
  <c r="AB1984" i="8"/>
  <c r="AB1985" i="8"/>
  <c r="AB1986" i="8"/>
  <c r="AB1987" i="8"/>
  <c r="AB1988" i="8"/>
  <c r="AB1989" i="8"/>
  <c r="AB1990" i="8"/>
  <c r="AB1991" i="8"/>
  <c r="AB1992" i="8"/>
  <c r="AB1993" i="8"/>
  <c r="AB1994" i="8"/>
  <c r="AB1995" i="8"/>
  <c r="AB1996" i="8"/>
  <c r="AB1997" i="8"/>
  <c r="AB1998" i="8"/>
  <c r="AB1999" i="8"/>
  <c r="AB2000" i="8"/>
  <c r="AB2001" i="8"/>
  <c r="AB2002" i="8"/>
  <c r="AB2003" i="8"/>
  <c r="AB2004" i="8"/>
  <c r="AB2005" i="8"/>
  <c r="AB2006" i="8"/>
  <c r="AB2007" i="8"/>
  <c r="AB2008" i="8"/>
  <c r="AB2009" i="8"/>
  <c r="AB2010" i="8"/>
  <c r="AB2011" i="8"/>
  <c r="AB2012" i="8"/>
  <c r="AB2013" i="8"/>
  <c r="AB2014" i="8"/>
  <c r="AB2015" i="8"/>
  <c r="AB2016" i="8"/>
  <c r="AB2017" i="8"/>
  <c r="AB2018" i="8"/>
  <c r="AB2019" i="8"/>
  <c r="AB2020" i="8"/>
  <c r="AB2021" i="8"/>
  <c r="AB2022" i="8"/>
  <c r="AB2023" i="8"/>
  <c r="AB2024" i="8"/>
  <c r="AB2025" i="8"/>
  <c r="AB2026" i="8"/>
  <c r="AB2027" i="8"/>
  <c r="AB2028" i="8"/>
  <c r="AB2029" i="8"/>
  <c r="AB2030" i="8"/>
  <c r="AB2031" i="8"/>
  <c r="AB2032" i="8"/>
  <c r="AB2033" i="8"/>
  <c r="AB2034" i="8"/>
  <c r="AB2035" i="8"/>
  <c r="AB2036" i="8"/>
  <c r="AB2037" i="8"/>
  <c r="AB2038" i="8"/>
  <c r="AB2039" i="8"/>
  <c r="AB2040" i="8"/>
  <c r="AB2041" i="8"/>
  <c r="AB2042" i="8"/>
  <c r="AB2043" i="8"/>
  <c r="AB2044" i="8"/>
  <c r="AB2045" i="8"/>
  <c r="AB2046" i="8"/>
  <c r="AB2047" i="8"/>
  <c r="AB2048" i="8"/>
  <c r="AB2049" i="8"/>
  <c r="AB2050" i="8"/>
  <c r="AB2051" i="8"/>
  <c r="AB2052" i="8"/>
  <c r="AB2053" i="8"/>
  <c r="AB2054" i="8"/>
  <c r="AB2055" i="8"/>
  <c r="AB2056" i="8"/>
  <c r="AB2057" i="8"/>
  <c r="AB2058" i="8"/>
  <c r="AB2059" i="8"/>
  <c r="AB2060" i="8"/>
  <c r="AB2061" i="8"/>
  <c r="AB2062" i="8"/>
  <c r="AB2063" i="8"/>
  <c r="AB2064" i="8"/>
  <c r="AB2065" i="8"/>
  <c r="AB2066" i="8"/>
  <c r="AB2067" i="8"/>
  <c r="AB2068" i="8"/>
  <c r="AB2069" i="8"/>
  <c r="AB2070" i="8"/>
  <c r="AB2071" i="8"/>
  <c r="AB2072" i="8"/>
  <c r="AB2073" i="8"/>
  <c r="AB2074" i="8"/>
  <c r="AB2075" i="8"/>
  <c r="AB2076" i="8"/>
  <c r="AB2077" i="8"/>
  <c r="AB2078" i="8"/>
  <c r="AB2079" i="8"/>
  <c r="AB2080" i="8"/>
  <c r="AB2081" i="8"/>
  <c r="AB2082" i="8"/>
  <c r="AB2083" i="8"/>
  <c r="AB2084" i="8"/>
  <c r="AB2085" i="8"/>
  <c r="AB2086" i="8"/>
  <c r="AB2087" i="8"/>
  <c r="AB2088" i="8"/>
  <c r="AB2089" i="8"/>
  <c r="AB2090" i="8"/>
  <c r="AB2091" i="8"/>
  <c r="AB2092" i="8"/>
  <c r="AB2093" i="8"/>
  <c r="AB2094" i="8"/>
  <c r="AB2095" i="8"/>
  <c r="AB2096" i="8"/>
  <c r="AB2097" i="8"/>
  <c r="AB2098" i="8"/>
  <c r="AB2099" i="8"/>
  <c r="AB2100" i="8"/>
  <c r="AB2101" i="8"/>
  <c r="AB2102" i="8"/>
  <c r="AB2103" i="8"/>
  <c r="AB2104" i="8"/>
  <c r="AB2105" i="8"/>
  <c r="AB2106" i="8"/>
  <c r="AB2107" i="8"/>
  <c r="AB2108" i="8"/>
  <c r="AB2109" i="8"/>
  <c r="AB2110" i="8"/>
  <c r="AB2111" i="8"/>
  <c r="AB2112" i="8"/>
  <c r="AB2113" i="8"/>
  <c r="AB2114" i="8"/>
  <c r="AB2115" i="8"/>
  <c r="AB2116" i="8"/>
  <c r="AB2117" i="8"/>
  <c r="AB2118" i="8"/>
  <c r="AB2119" i="8"/>
  <c r="AB2120" i="8"/>
  <c r="AB2121" i="8"/>
  <c r="AB2122" i="8"/>
  <c r="AB2123" i="8"/>
  <c r="AB2124" i="8"/>
  <c r="AB2125" i="8"/>
  <c r="AB2126" i="8"/>
  <c r="AB2127" i="8"/>
  <c r="AB2128" i="8"/>
  <c r="AB2129" i="8"/>
  <c r="AB2130" i="8"/>
  <c r="AB2131" i="8"/>
  <c r="AB2132" i="8"/>
  <c r="AB2133" i="8"/>
  <c r="AB2134" i="8"/>
  <c r="AB2135" i="8"/>
  <c r="AB2136" i="8"/>
  <c r="AB2137" i="8"/>
  <c r="AB2138" i="8"/>
  <c r="AB2139" i="8"/>
  <c r="AB2140" i="8"/>
  <c r="AB2141" i="8"/>
  <c r="AB2142" i="8"/>
  <c r="AB2143" i="8"/>
  <c r="AB2144" i="8"/>
  <c r="AB2145" i="8"/>
  <c r="AB2146" i="8"/>
  <c r="AB2147" i="8"/>
  <c r="AB2148" i="8"/>
  <c r="AB2149" i="8"/>
  <c r="AB2150" i="8"/>
  <c r="AB2151" i="8"/>
  <c r="AB2152" i="8"/>
  <c r="AB2153" i="8"/>
  <c r="AB2154" i="8"/>
  <c r="AB2155" i="8"/>
  <c r="AB2156" i="8"/>
  <c r="AB2157" i="8"/>
  <c r="AB2158" i="8"/>
  <c r="AB2159" i="8"/>
  <c r="AB2160" i="8"/>
  <c r="AB2161" i="8"/>
  <c r="AB2162" i="8"/>
  <c r="AB2163" i="8"/>
  <c r="AB2164" i="8"/>
  <c r="AB2165" i="8"/>
  <c r="AB2166" i="8"/>
  <c r="AB2167" i="8"/>
  <c r="AB2168" i="8"/>
  <c r="AB2169" i="8"/>
  <c r="AB2170" i="8"/>
  <c r="AB2171" i="8"/>
  <c r="AB2172" i="8"/>
  <c r="AB2173" i="8"/>
  <c r="AB2174" i="8"/>
  <c r="AB2175" i="8"/>
  <c r="AB2176" i="8"/>
  <c r="AB2177" i="8"/>
  <c r="AB2178" i="8"/>
  <c r="AB2179" i="8"/>
  <c r="AB2180" i="8"/>
  <c r="AB2181" i="8"/>
  <c r="AB2182" i="8"/>
  <c r="AB2183" i="8"/>
  <c r="AB2184" i="8"/>
  <c r="AB2185" i="8"/>
  <c r="AB2186" i="8"/>
  <c r="AB2187" i="8"/>
  <c r="AB2188" i="8"/>
  <c r="AB2189" i="8"/>
  <c r="AB2190" i="8"/>
  <c r="AB2191" i="8"/>
  <c r="AB2192" i="8"/>
  <c r="AB2193" i="8"/>
  <c r="AB2194" i="8"/>
  <c r="AB2195" i="8"/>
  <c r="AB2196" i="8"/>
  <c r="AB2197" i="8"/>
  <c r="AB2198" i="8"/>
  <c r="AB2199" i="8"/>
  <c r="AB2200" i="8"/>
  <c r="AB2201" i="8"/>
  <c r="AB2202" i="8"/>
  <c r="AB2203" i="8"/>
  <c r="AB2204" i="8"/>
  <c r="AB2205" i="8"/>
  <c r="AB2206" i="8"/>
  <c r="AB2207" i="8"/>
  <c r="AB2208" i="8"/>
  <c r="AB2209" i="8"/>
  <c r="AB2210" i="8"/>
  <c r="AB2211" i="8"/>
  <c r="AB2212" i="8"/>
  <c r="AB2213" i="8"/>
  <c r="AB2214" i="8"/>
  <c r="AB2215" i="8"/>
  <c r="AB2216" i="8"/>
  <c r="AB2217" i="8"/>
  <c r="AB2218" i="8"/>
  <c r="AB2219" i="8"/>
  <c r="AB2220" i="8"/>
  <c r="AB2221" i="8"/>
  <c r="AB2222" i="8"/>
  <c r="AB2223" i="8"/>
  <c r="AB2224" i="8"/>
  <c r="AB2225" i="8"/>
  <c r="AB2226" i="8"/>
  <c r="AB2227" i="8"/>
  <c r="AB2228" i="8"/>
  <c r="AB2229" i="8"/>
  <c r="AB2230" i="8"/>
  <c r="AB2231" i="8"/>
  <c r="AB2232" i="8"/>
  <c r="AB2233" i="8"/>
  <c r="AB2234" i="8"/>
  <c r="AB2235" i="8"/>
  <c r="AB2236" i="8"/>
  <c r="AB2237" i="8"/>
  <c r="AB2238" i="8"/>
  <c r="AB2239" i="8"/>
  <c r="AB2240" i="8"/>
  <c r="AB2241" i="8"/>
  <c r="AB2242" i="8"/>
  <c r="AB2243" i="8"/>
  <c r="AB2244" i="8"/>
  <c r="AB2245" i="8"/>
  <c r="AB2246" i="8"/>
  <c r="AB2247" i="8"/>
  <c r="AB2248" i="8"/>
  <c r="AB2249" i="8"/>
  <c r="AB2250" i="8"/>
  <c r="AB2251" i="8"/>
  <c r="AB2252" i="8"/>
  <c r="AB2253" i="8"/>
  <c r="AB2254" i="8"/>
  <c r="AB2255" i="8"/>
  <c r="AB2256" i="8"/>
  <c r="AB2257" i="8"/>
  <c r="AB2258" i="8"/>
  <c r="AB2259" i="8"/>
  <c r="AB2260" i="8"/>
  <c r="AB2261" i="8"/>
  <c r="AB2262" i="8"/>
  <c r="AB2263" i="8"/>
  <c r="AB2264" i="8"/>
  <c r="AB2265" i="8"/>
  <c r="AB2266" i="8"/>
  <c r="AB2267" i="8"/>
  <c r="AB2268" i="8"/>
  <c r="AB2269" i="8"/>
  <c r="AB2270" i="8"/>
  <c r="AB2271" i="8"/>
  <c r="AB2272" i="8"/>
  <c r="AB2273" i="8"/>
  <c r="AB2274" i="8"/>
  <c r="AB2275" i="8"/>
  <c r="AB2276" i="8"/>
  <c r="AB2277" i="8"/>
  <c r="AB2278" i="8"/>
  <c r="AB2279" i="8"/>
  <c r="AB2280" i="8"/>
  <c r="AB2281" i="8"/>
  <c r="AB2282" i="8"/>
  <c r="AB2283" i="8"/>
  <c r="AB2284" i="8"/>
  <c r="AB2285" i="8"/>
  <c r="AB2286" i="8"/>
  <c r="AB2287" i="8"/>
  <c r="AB2288" i="8"/>
  <c r="AB2289" i="8"/>
  <c r="AB2290" i="8"/>
  <c r="AB2291" i="8"/>
  <c r="AB2292" i="8"/>
  <c r="AB2293" i="8"/>
  <c r="AB2294" i="8"/>
  <c r="AB2295" i="8"/>
  <c r="AB2296" i="8"/>
  <c r="AB2297" i="8"/>
  <c r="AB2298" i="8"/>
  <c r="AB2299" i="8"/>
  <c r="AB2300" i="8"/>
  <c r="AB2301" i="8"/>
  <c r="AB2302" i="8"/>
  <c r="AB2303" i="8"/>
  <c r="AB2304" i="8"/>
  <c r="AB2305" i="8"/>
  <c r="AB2306" i="8"/>
  <c r="AB2307" i="8"/>
  <c r="AB2308" i="8"/>
  <c r="AB2309" i="8"/>
  <c r="AB2310" i="8"/>
  <c r="AB2311" i="8"/>
  <c r="AB2312" i="8"/>
  <c r="AB2313" i="8"/>
  <c r="AB2314" i="8"/>
  <c r="AB2315" i="8"/>
  <c r="AB2316" i="8"/>
  <c r="AB2317" i="8"/>
  <c r="AB2318" i="8"/>
  <c r="AB2319" i="8"/>
  <c r="AB2320" i="8"/>
  <c r="AB2321" i="8"/>
  <c r="AB2322" i="8"/>
  <c r="AB2323" i="8"/>
  <c r="AB2324" i="8"/>
  <c r="AB2325" i="8"/>
  <c r="AB2326" i="8"/>
  <c r="AB2327" i="8"/>
  <c r="AB2328" i="8"/>
  <c r="AB2329" i="8"/>
  <c r="AB2330" i="8"/>
  <c r="AB2331" i="8"/>
  <c r="AB2332" i="8"/>
  <c r="AB2333" i="8"/>
  <c r="AB2334" i="8"/>
  <c r="AB2335" i="8"/>
  <c r="AB2336" i="8"/>
  <c r="AB2337" i="8"/>
  <c r="AB2338" i="8"/>
  <c r="AB2339" i="8"/>
  <c r="AB2340" i="8"/>
  <c r="AB2341" i="8"/>
  <c r="AB2342" i="8"/>
  <c r="AB2343" i="8"/>
  <c r="AB2344" i="8"/>
  <c r="AB2345" i="8"/>
  <c r="AB2346" i="8"/>
  <c r="AB2347" i="8"/>
  <c r="AB2348" i="8"/>
  <c r="AB2349" i="8"/>
  <c r="AB2350" i="8"/>
  <c r="AB2351" i="8"/>
  <c r="AB2352" i="8"/>
  <c r="AB2353" i="8"/>
  <c r="AB2354" i="8"/>
  <c r="AB2355" i="8"/>
  <c r="AB2356" i="8"/>
  <c r="AB2357" i="8"/>
  <c r="AB2358" i="8"/>
  <c r="AB2359" i="8"/>
  <c r="AB2360" i="8"/>
  <c r="AB2361" i="8"/>
  <c r="AB2362" i="8"/>
  <c r="AB2363" i="8"/>
  <c r="AB2364" i="8"/>
  <c r="AB2365" i="8"/>
  <c r="AB2366" i="8"/>
  <c r="AB2367" i="8"/>
  <c r="AB2368" i="8"/>
  <c r="AB2369" i="8"/>
  <c r="AB2370" i="8"/>
  <c r="AB2371" i="8"/>
  <c r="AB2372" i="8"/>
  <c r="AB2373" i="8"/>
  <c r="AB2374" i="8"/>
  <c r="AB2375" i="8"/>
  <c r="AB2376" i="8"/>
  <c r="AB2377" i="8"/>
  <c r="AB2378" i="8"/>
  <c r="AB2379" i="8"/>
  <c r="AB2380" i="8"/>
  <c r="AB2381" i="8"/>
  <c r="AB2382" i="8"/>
  <c r="AB2383" i="8"/>
  <c r="AB2384" i="8"/>
  <c r="AB2385" i="8"/>
  <c r="AB2386" i="8"/>
  <c r="AB2387" i="8"/>
  <c r="AB2388" i="8"/>
  <c r="AB2389" i="8"/>
  <c r="AB2390" i="8"/>
  <c r="AB2391" i="8"/>
  <c r="AB2392" i="8"/>
  <c r="AB2393" i="8"/>
  <c r="AB2394" i="8"/>
  <c r="AB2395" i="8"/>
  <c r="AB2396" i="8"/>
  <c r="AB2397" i="8"/>
  <c r="AB2398" i="8"/>
  <c r="AB2399" i="8"/>
  <c r="AB2400" i="8"/>
  <c r="AB2401" i="8"/>
  <c r="AB2402" i="8"/>
  <c r="AB2403" i="8"/>
  <c r="AB2404" i="8"/>
  <c r="AB2405" i="8"/>
  <c r="AB2406" i="8"/>
  <c r="AB2407" i="8"/>
  <c r="AB2408" i="8"/>
  <c r="AB2409" i="8"/>
  <c r="AB2410" i="8"/>
  <c r="AB2411" i="8"/>
  <c r="AB2412" i="8"/>
  <c r="AB2413" i="8"/>
  <c r="AB2414" i="8"/>
  <c r="AB2415" i="8"/>
  <c r="AB2416" i="8"/>
  <c r="AB2417" i="8"/>
  <c r="AB2418" i="8"/>
  <c r="AB2419" i="8"/>
  <c r="AB2420" i="8"/>
  <c r="AB2421" i="8"/>
  <c r="AB2422" i="8"/>
  <c r="AB2423" i="8"/>
  <c r="AB2424" i="8"/>
  <c r="AB2425" i="8"/>
  <c r="AB2426" i="8"/>
  <c r="AB2427" i="8"/>
  <c r="AB2428" i="8"/>
  <c r="AB2429" i="8"/>
  <c r="AB2430" i="8"/>
  <c r="AB2431" i="8"/>
  <c r="AB2432" i="8"/>
  <c r="AB2433" i="8"/>
  <c r="AB2434" i="8"/>
  <c r="AB2435" i="8"/>
  <c r="AB2436" i="8"/>
  <c r="AB2437" i="8"/>
  <c r="AB2438" i="8"/>
  <c r="AB2439" i="8"/>
  <c r="AB2440" i="8"/>
  <c r="AB2441" i="8"/>
  <c r="AB2442" i="8"/>
  <c r="AB2443" i="8"/>
  <c r="AB2444" i="8"/>
  <c r="AB2445" i="8"/>
  <c r="AB2446" i="8"/>
  <c r="AB2447" i="8"/>
  <c r="AB2448" i="8"/>
  <c r="AB2449" i="8"/>
  <c r="AB2450" i="8"/>
  <c r="AB2451" i="8"/>
  <c r="AB2452" i="8"/>
  <c r="AB2453" i="8"/>
  <c r="AB2454" i="8"/>
  <c r="AB2455" i="8"/>
  <c r="AB2456" i="8"/>
  <c r="AB2457" i="8"/>
  <c r="AB2458" i="8"/>
  <c r="AB2459" i="8"/>
  <c r="AB2460" i="8"/>
  <c r="AB2461" i="8"/>
  <c r="AB2462" i="8"/>
  <c r="AB2463" i="8"/>
  <c r="AB2464" i="8"/>
  <c r="AB2465" i="8"/>
  <c r="AB2466" i="8"/>
  <c r="AB2467" i="8"/>
  <c r="AB2468" i="8"/>
  <c r="AB2469" i="8"/>
  <c r="AB2470" i="8"/>
  <c r="AB2471" i="8"/>
  <c r="AB2472" i="8"/>
  <c r="AB2473" i="8"/>
  <c r="AB2474" i="8"/>
  <c r="AB2475" i="8"/>
  <c r="AB2476" i="8"/>
  <c r="AB2477" i="8"/>
  <c r="AB2478" i="8"/>
  <c r="AB2479" i="8"/>
  <c r="AB2480" i="8"/>
  <c r="AB2481" i="8"/>
  <c r="AB2482" i="8"/>
  <c r="AB2483" i="8"/>
  <c r="AB2484" i="8"/>
  <c r="AB2485" i="8"/>
  <c r="AB2486" i="8"/>
  <c r="AB2487" i="8"/>
  <c r="AB2488" i="8"/>
  <c r="AB2489" i="8"/>
  <c r="AB2490" i="8"/>
  <c r="AB2491" i="8"/>
  <c r="AB2492" i="8"/>
  <c r="AB2493" i="8"/>
  <c r="AB2494" i="8"/>
  <c r="AB2495" i="8"/>
  <c r="AB2496" i="8"/>
  <c r="AB2497" i="8"/>
  <c r="AB2498" i="8"/>
  <c r="AB2499" i="8"/>
  <c r="AB2500" i="8"/>
  <c r="AB2501" i="8"/>
  <c r="AB2502" i="8"/>
  <c r="AB2503" i="8"/>
  <c r="AB2504" i="8"/>
  <c r="AB2505" i="8"/>
  <c r="AB2506" i="8"/>
  <c r="AB2507" i="8"/>
  <c r="AB2508" i="8"/>
  <c r="AB2509" i="8"/>
  <c r="AB2510" i="8"/>
  <c r="AB2511" i="8"/>
  <c r="AB2512" i="8"/>
  <c r="AB2513" i="8"/>
  <c r="AB2514" i="8"/>
  <c r="AB2515" i="8"/>
  <c r="AB2516" i="8"/>
  <c r="AB2517" i="8"/>
  <c r="AB2518" i="8"/>
  <c r="AB2519" i="8"/>
  <c r="AB2520" i="8"/>
  <c r="AB2521" i="8"/>
  <c r="AB2522" i="8"/>
  <c r="AB2523" i="8"/>
  <c r="AB2524" i="8"/>
  <c r="AB2525" i="8"/>
  <c r="AB2526" i="8"/>
  <c r="AB2527" i="8"/>
  <c r="AB2528" i="8"/>
  <c r="AB2529" i="8"/>
  <c r="AB2530" i="8"/>
  <c r="AB2531" i="8"/>
  <c r="AB2532" i="8"/>
  <c r="AB2533" i="8"/>
  <c r="AB2534" i="8"/>
  <c r="AB2535" i="8"/>
  <c r="AB2536" i="8"/>
  <c r="AB2537" i="8"/>
  <c r="AB2538" i="8"/>
  <c r="AB2539" i="8"/>
  <c r="AB2540" i="8"/>
  <c r="AB2541" i="8"/>
  <c r="AB2542" i="8"/>
  <c r="AB2543" i="8"/>
  <c r="AB2544" i="8"/>
  <c r="AB2545" i="8"/>
  <c r="AB2546" i="8"/>
  <c r="AB2547" i="8"/>
  <c r="AB2548" i="8"/>
  <c r="AB2549" i="8"/>
  <c r="AB2550" i="8"/>
  <c r="AB2551" i="8"/>
  <c r="AB2552" i="8"/>
  <c r="AB2553" i="8"/>
  <c r="AB2554" i="8"/>
  <c r="AB2555" i="8"/>
  <c r="AB2556" i="8"/>
  <c r="AB2557" i="8"/>
  <c r="AB2558" i="8"/>
  <c r="AB2559" i="8"/>
  <c r="AB2560" i="8"/>
  <c r="AB2561" i="8"/>
  <c r="AB2562" i="8"/>
  <c r="AB2563" i="8"/>
  <c r="AB2564" i="8"/>
  <c r="AB2565" i="8"/>
  <c r="AB2566" i="8"/>
  <c r="AB2567" i="8"/>
  <c r="AB2568" i="8"/>
  <c r="AB2569" i="8"/>
  <c r="AB2570" i="8"/>
  <c r="AB2571" i="8"/>
  <c r="AB2572" i="8"/>
  <c r="AB2573" i="8"/>
  <c r="AB2574" i="8"/>
  <c r="AB2575" i="8"/>
  <c r="AB2576" i="8"/>
  <c r="AB2577" i="8"/>
  <c r="AB2578" i="8"/>
  <c r="AB2579" i="8"/>
  <c r="AB2580" i="8"/>
  <c r="AB2581" i="8"/>
  <c r="AB2582" i="8"/>
  <c r="AB2583" i="8"/>
  <c r="AB2584" i="8"/>
  <c r="AB2585" i="8"/>
  <c r="AB2586" i="8"/>
  <c r="AB2587" i="8"/>
  <c r="AB2588" i="8"/>
  <c r="AB2589" i="8"/>
  <c r="AB2590" i="8"/>
  <c r="AB2591" i="8"/>
  <c r="AB2592" i="8"/>
  <c r="AB2593" i="8"/>
  <c r="AB2594" i="8"/>
  <c r="AB2595" i="8"/>
  <c r="AB2596" i="8"/>
  <c r="AB2597" i="8"/>
  <c r="AB2598" i="8"/>
  <c r="AB2599" i="8"/>
  <c r="AB2600" i="8"/>
  <c r="AB2601" i="8"/>
  <c r="AB2602" i="8"/>
  <c r="AB2603" i="8"/>
  <c r="AB2604" i="8"/>
  <c r="AB2605" i="8"/>
  <c r="AB2606" i="8"/>
  <c r="AB2607" i="8"/>
  <c r="AB2608" i="8"/>
  <c r="AB2609" i="8"/>
  <c r="AB2610" i="8"/>
  <c r="AB2611" i="8"/>
  <c r="AB2612" i="8"/>
  <c r="AB2613" i="8"/>
  <c r="AB2614" i="8"/>
  <c r="AB2615" i="8"/>
  <c r="AB2616" i="8"/>
  <c r="AB2617" i="8"/>
  <c r="AB2618" i="8"/>
  <c r="AB2619" i="8"/>
  <c r="AB2620" i="8"/>
  <c r="AB2621" i="8"/>
  <c r="AB2622" i="8"/>
  <c r="AB2623" i="8"/>
  <c r="AB2624" i="8"/>
  <c r="AB2625" i="8"/>
  <c r="AB2626" i="8"/>
  <c r="AB2627" i="8"/>
  <c r="AB2628" i="8"/>
  <c r="AB2629" i="8"/>
  <c r="AB2630" i="8"/>
  <c r="AB2631" i="8"/>
  <c r="AB2632" i="8"/>
  <c r="AB2633" i="8"/>
  <c r="AB2634" i="8"/>
  <c r="AB2635" i="8"/>
  <c r="AB2636" i="8"/>
  <c r="AB2637" i="8"/>
  <c r="AB2638" i="8"/>
  <c r="AB2639" i="8"/>
  <c r="AB2640" i="8"/>
  <c r="AB2641" i="8"/>
  <c r="AB2642" i="8"/>
  <c r="AB2643" i="8"/>
  <c r="AB2644" i="8"/>
  <c r="AB2645" i="8"/>
  <c r="AB2646" i="8"/>
  <c r="AB2647" i="8"/>
  <c r="AB2648" i="8"/>
  <c r="AB2649" i="8"/>
  <c r="AB2650" i="8"/>
  <c r="AB2651" i="8"/>
  <c r="AB2652" i="8"/>
  <c r="AB2653" i="8"/>
  <c r="AB2654" i="8"/>
  <c r="AB2655" i="8"/>
  <c r="AB2656" i="8"/>
  <c r="AB2657" i="8"/>
  <c r="AB2658" i="8"/>
  <c r="AB2659" i="8"/>
  <c r="AB2660" i="8"/>
  <c r="AB2661" i="8"/>
  <c r="AB2662" i="8"/>
  <c r="AB2663" i="8"/>
  <c r="AB2664" i="8"/>
  <c r="AB2665" i="8"/>
  <c r="AB2666" i="8"/>
  <c r="AB2667" i="8"/>
  <c r="AB2668" i="8"/>
  <c r="AB2669" i="8"/>
  <c r="AB2670" i="8"/>
  <c r="AB2671" i="8"/>
  <c r="AB2672" i="8"/>
  <c r="AB2673" i="8"/>
  <c r="AB2674" i="8"/>
  <c r="AB2675" i="8"/>
  <c r="AB2676" i="8"/>
  <c r="AB2677" i="8"/>
  <c r="AB2678" i="8"/>
  <c r="AB2679" i="8"/>
  <c r="AB2680" i="8"/>
  <c r="AB2681" i="8"/>
  <c r="AB2682" i="8"/>
  <c r="AB2683" i="8"/>
  <c r="AB2684" i="8"/>
  <c r="AB2685" i="8"/>
  <c r="AB2686" i="8"/>
  <c r="AB2687" i="8"/>
  <c r="AB2688" i="8"/>
  <c r="AB2689" i="8"/>
  <c r="AB2690" i="8"/>
  <c r="AB2691" i="8"/>
  <c r="AB2692" i="8"/>
  <c r="AB2693" i="8"/>
  <c r="AB2694" i="8"/>
  <c r="AB2695" i="8"/>
  <c r="AB2696" i="8"/>
  <c r="AB2697" i="8"/>
  <c r="AB2698" i="8"/>
  <c r="AB2699" i="8"/>
  <c r="AB2700" i="8"/>
  <c r="AB2701" i="8"/>
  <c r="AB2702" i="8"/>
  <c r="AB2703" i="8"/>
  <c r="AB2704" i="8"/>
  <c r="AB2705" i="8"/>
  <c r="AB2706" i="8"/>
  <c r="AB2707" i="8"/>
  <c r="AB2708" i="8"/>
  <c r="AB2709" i="8"/>
  <c r="AB2710" i="8"/>
  <c r="AB2711" i="8"/>
  <c r="AB2712" i="8"/>
  <c r="AB2713" i="8"/>
  <c r="AB2714" i="8"/>
  <c r="AB2715" i="8"/>
  <c r="AB2716" i="8"/>
  <c r="AB2717" i="8"/>
  <c r="AB2718" i="8"/>
  <c r="AB2719" i="8"/>
  <c r="AB2720" i="8"/>
  <c r="AB2721" i="8"/>
  <c r="AB2722" i="8"/>
  <c r="AB2723" i="8"/>
  <c r="AB2724" i="8"/>
  <c r="AB2725" i="8"/>
  <c r="AB2726" i="8"/>
  <c r="AB2727" i="8"/>
  <c r="AB2728" i="8"/>
  <c r="AB2729" i="8"/>
  <c r="AB2730" i="8"/>
  <c r="AB2731" i="8"/>
  <c r="AB2732" i="8"/>
  <c r="AB2733" i="8"/>
  <c r="AB2734" i="8"/>
  <c r="AB2735" i="8"/>
  <c r="AB2736" i="8"/>
  <c r="AB2737" i="8"/>
  <c r="AB2738" i="8"/>
  <c r="AB2739" i="8"/>
  <c r="AB2740" i="8"/>
  <c r="AB2741" i="8"/>
  <c r="AB2742" i="8"/>
  <c r="AB2743" i="8"/>
  <c r="AB2744" i="8"/>
  <c r="AB2745" i="8"/>
  <c r="AB2746" i="8"/>
  <c r="AB2747" i="8"/>
  <c r="AB2748" i="8"/>
  <c r="AB2749" i="8"/>
  <c r="AB2750" i="8"/>
  <c r="AB2751" i="8"/>
  <c r="AB2752" i="8"/>
  <c r="AB2753" i="8"/>
  <c r="AB2754" i="8"/>
  <c r="AB2755" i="8"/>
  <c r="AB2756" i="8"/>
  <c r="AB2757" i="8"/>
  <c r="AB2758" i="8"/>
  <c r="AB2759" i="8"/>
  <c r="AB2760" i="8"/>
  <c r="AB2761" i="8"/>
  <c r="AB2762" i="8"/>
  <c r="AB2763" i="8"/>
  <c r="AB2764" i="8"/>
  <c r="AB2765" i="8"/>
  <c r="AB2766" i="8"/>
  <c r="AB2767" i="8"/>
  <c r="AB2768" i="8"/>
  <c r="AB2769" i="8"/>
  <c r="AB2770" i="8"/>
  <c r="AB2771" i="8"/>
  <c r="AB2772" i="8"/>
  <c r="AB2773" i="8"/>
  <c r="AB2774" i="8"/>
  <c r="AB2775" i="8"/>
  <c r="AB2776" i="8"/>
  <c r="AB2777" i="8"/>
  <c r="AB2778" i="8"/>
  <c r="AB2779" i="8"/>
  <c r="AB2780" i="8"/>
  <c r="AB2781" i="8"/>
  <c r="AB2782" i="8"/>
  <c r="AB2783" i="8"/>
  <c r="AB2784" i="8"/>
  <c r="AB2785" i="8"/>
  <c r="AB2786" i="8"/>
  <c r="AB2787" i="8"/>
  <c r="AB2788" i="8"/>
  <c r="AB2789" i="8"/>
  <c r="AB2790" i="8"/>
  <c r="AB2791" i="8"/>
  <c r="AB2792" i="8"/>
  <c r="AB2793" i="8"/>
  <c r="AB2794" i="8"/>
  <c r="AB2795" i="8"/>
  <c r="AB2796" i="8"/>
  <c r="AB2797" i="8"/>
  <c r="AB2798" i="8"/>
  <c r="AB2799" i="8"/>
  <c r="AB2800" i="8"/>
  <c r="AB2801" i="8"/>
  <c r="AB2802" i="8"/>
  <c r="AB2803" i="8"/>
  <c r="AB2804" i="8"/>
  <c r="AB2805" i="8"/>
  <c r="AB2806" i="8"/>
  <c r="AB2807" i="8"/>
  <c r="AB2808" i="8"/>
  <c r="AB2809" i="8"/>
  <c r="AB2810" i="8"/>
  <c r="AB2811" i="8"/>
  <c r="AB2812" i="8"/>
  <c r="AB2813" i="8"/>
  <c r="AB2814" i="8"/>
  <c r="AB2815" i="8"/>
  <c r="AB2816" i="8"/>
  <c r="AB2817" i="8"/>
  <c r="AB2818" i="8"/>
  <c r="AB2819" i="8"/>
  <c r="AB2820" i="8"/>
  <c r="AB2821" i="8"/>
  <c r="AB2822" i="8"/>
  <c r="AB2823" i="8"/>
  <c r="AB2824" i="8"/>
  <c r="AB2825" i="8"/>
  <c r="AB2826" i="8"/>
  <c r="AB2827" i="8"/>
  <c r="AB2828" i="8"/>
  <c r="AB2829" i="8"/>
  <c r="AB2830" i="8"/>
  <c r="AB2831" i="8"/>
  <c r="AB2832" i="8"/>
  <c r="AB2833" i="8"/>
  <c r="AB2834" i="8"/>
  <c r="AB2835" i="8"/>
  <c r="AB2836" i="8"/>
  <c r="AB2837" i="8"/>
  <c r="AB2838" i="8"/>
  <c r="AB2839" i="8"/>
  <c r="AB2840" i="8"/>
  <c r="AB2841" i="8"/>
  <c r="AB2842" i="8"/>
  <c r="AB2843" i="8"/>
  <c r="AB2844" i="8"/>
  <c r="AB2845" i="8"/>
  <c r="AB2846" i="8"/>
  <c r="AB2847" i="8"/>
  <c r="AB2848" i="8"/>
  <c r="AB2849" i="8"/>
  <c r="AB2850" i="8"/>
  <c r="AB2851" i="8"/>
  <c r="AB2852" i="8"/>
  <c r="AB2853" i="8"/>
  <c r="AB2854" i="8"/>
  <c r="AB2855" i="8"/>
  <c r="AB2856" i="8"/>
  <c r="AB2857" i="8"/>
  <c r="AB2858" i="8"/>
  <c r="AB2859" i="8"/>
  <c r="AB2860" i="8"/>
  <c r="AB2861" i="8"/>
  <c r="AB2862" i="8"/>
  <c r="AB2863" i="8"/>
  <c r="AB2864" i="8"/>
  <c r="AB2865" i="8"/>
  <c r="AB2866" i="8"/>
  <c r="AB2867" i="8"/>
  <c r="AB2868" i="8"/>
  <c r="AB2869" i="8"/>
  <c r="AB2870" i="8"/>
  <c r="AB2871" i="8"/>
  <c r="AB2872" i="8"/>
  <c r="AB2873" i="8"/>
  <c r="AB2874" i="8"/>
  <c r="AB2875" i="8"/>
  <c r="AB2876" i="8"/>
  <c r="AB2877" i="8"/>
  <c r="AB2878" i="8"/>
  <c r="AB2879" i="8"/>
  <c r="AB2880" i="8"/>
  <c r="AB2881" i="8"/>
  <c r="AB2882" i="8"/>
  <c r="AB2883" i="8"/>
  <c r="AB2884" i="8"/>
  <c r="AB2885" i="8"/>
  <c r="AB2886" i="8"/>
  <c r="AB2887" i="8"/>
  <c r="AB2888" i="8"/>
  <c r="AB2889" i="8"/>
  <c r="AB2890" i="8"/>
  <c r="AB2891" i="8"/>
  <c r="AB2892" i="8"/>
  <c r="AB2893" i="8"/>
  <c r="AB2894" i="8"/>
  <c r="AB2895" i="8"/>
  <c r="AB2896" i="8"/>
  <c r="AB2897" i="8"/>
  <c r="AB2898" i="8"/>
  <c r="AB2899" i="8"/>
  <c r="AB2900" i="8"/>
  <c r="AB2901" i="8"/>
  <c r="AB2902" i="8"/>
  <c r="AB2903" i="8"/>
  <c r="AB2904" i="8"/>
  <c r="AB2905" i="8"/>
  <c r="AB2906" i="8"/>
  <c r="AB2907" i="8"/>
  <c r="AB2908" i="8"/>
  <c r="AB2909" i="8"/>
  <c r="AB2910" i="8"/>
  <c r="AB2911" i="8"/>
  <c r="AB2912" i="8"/>
  <c r="AB2913" i="8"/>
  <c r="AB2914" i="8"/>
  <c r="AB2915" i="8"/>
  <c r="AB2916" i="8"/>
  <c r="AB2917" i="8"/>
  <c r="AB2918" i="8"/>
  <c r="AB2919" i="8"/>
  <c r="AB2920" i="8"/>
  <c r="AB2921" i="8"/>
  <c r="AB2922" i="8"/>
  <c r="AB2923" i="8"/>
  <c r="AB2924" i="8"/>
  <c r="AB2925" i="8"/>
  <c r="AB2926" i="8"/>
  <c r="AB2927" i="8"/>
  <c r="AB2928" i="8"/>
  <c r="AB2929" i="8"/>
  <c r="AB2930" i="8"/>
  <c r="AB2931" i="8"/>
  <c r="AB2932" i="8"/>
  <c r="AB2933" i="8"/>
  <c r="AB2934" i="8"/>
  <c r="AB2935" i="8"/>
  <c r="AB2936" i="8"/>
  <c r="AB2937" i="8"/>
  <c r="AB2938" i="8"/>
  <c r="AB2939" i="8"/>
  <c r="AB2940" i="8"/>
  <c r="AB2941" i="8"/>
  <c r="AB2942" i="8"/>
  <c r="AB2943" i="8"/>
  <c r="AB2944" i="8"/>
  <c r="AB2945" i="8"/>
  <c r="AB2946" i="8"/>
  <c r="AB2947" i="8"/>
  <c r="AB2948" i="8"/>
  <c r="AB2949" i="8"/>
  <c r="AB2950" i="8"/>
  <c r="AB2951" i="8"/>
  <c r="AB2952" i="8"/>
  <c r="AB2953" i="8"/>
  <c r="AB2954" i="8"/>
  <c r="AB2955" i="8"/>
  <c r="AB2956" i="8"/>
  <c r="AB2957" i="8"/>
  <c r="AB2958" i="8"/>
  <c r="AB2959" i="8"/>
  <c r="AB2960" i="8"/>
  <c r="AB2961" i="8"/>
  <c r="AB2962" i="8"/>
  <c r="AB2963" i="8"/>
  <c r="AB2964" i="8"/>
  <c r="AB2965" i="8"/>
  <c r="AB2966" i="8"/>
  <c r="AB2967" i="8"/>
  <c r="AB2968" i="8"/>
  <c r="AB2969" i="8"/>
  <c r="AB2970" i="8"/>
  <c r="AB2971" i="8"/>
  <c r="AB2972" i="8"/>
  <c r="AB2973" i="8"/>
  <c r="AB2974" i="8"/>
  <c r="AB2975" i="8"/>
  <c r="AB2976" i="8"/>
  <c r="AB2977" i="8"/>
  <c r="AB2978" i="8"/>
  <c r="AB2979" i="8"/>
  <c r="AB2980" i="8"/>
  <c r="AB2981" i="8"/>
  <c r="AB2982" i="8"/>
  <c r="AB2983" i="8"/>
  <c r="AB2984" i="8"/>
  <c r="AB2985" i="8"/>
  <c r="AB2986" i="8"/>
  <c r="AB2987" i="8"/>
  <c r="AB2988" i="8"/>
  <c r="AB2989" i="8"/>
  <c r="AB2990" i="8"/>
  <c r="AB2991" i="8"/>
  <c r="AB2992" i="8"/>
  <c r="AB2993" i="8"/>
  <c r="AB2994" i="8"/>
  <c r="AB2995" i="8"/>
  <c r="AB2996" i="8"/>
  <c r="AB2997" i="8"/>
  <c r="AB2998" i="8"/>
  <c r="AB2999" i="8"/>
  <c r="AB3000" i="8"/>
  <c r="AB3001" i="8"/>
  <c r="AB3002" i="8"/>
  <c r="AB3003" i="8"/>
  <c r="AB3004" i="8"/>
  <c r="AB3005" i="8"/>
  <c r="AB3006" i="8"/>
  <c r="AB3007" i="8"/>
  <c r="AB3008" i="8"/>
  <c r="AB3009" i="8"/>
  <c r="AB3010" i="8"/>
  <c r="AB3011" i="8"/>
  <c r="AB3012" i="8"/>
  <c r="AB3013" i="8"/>
  <c r="AB3014" i="8"/>
  <c r="AB3015" i="8"/>
  <c r="AB3016" i="8"/>
  <c r="AB3017" i="8"/>
  <c r="AB3018" i="8"/>
  <c r="AB3019" i="8"/>
  <c r="AB3020" i="8"/>
  <c r="AB3021" i="8"/>
  <c r="AB3022" i="8"/>
  <c r="AB3023" i="8"/>
  <c r="AB3024" i="8"/>
  <c r="AB3025" i="8"/>
  <c r="AB3026" i="8"/>
  <c r="AB3027" i="8"/>
  <c r="AB3028" i="8"/>
  <c r="AB3029" i="8"/>
  <c r="AB3030" i="8"/>
  <c r="AB3031" i="8"/>
  <c r="AB3032" i="8"/>
  <c r="AB3033" i="8"/>
  <c r="AB3034" i="8"/>
  <c r="AB3035" i="8"/>
  <c r="AB3036" i="8"/>
  <c r="AB3037" i="8"/>
  <c r="AB3038" i="8"/>
  <c r="AB3039" i="8"/>
  <c r="AB3040" i="8"/>
  <c r="AB3041" i="8"/>
  <c r="AB3042" i="8"/>
  <c r="AB3043" i="8"/>
  <c r="AB3044" i="8"/>
  <c r="AB3045" i="8"/>
  <c r="AB3046" i="8"/>
  <c r="AB3047" i="8"/>
  <c r="AB3048" i="8"/>
  <c r="AB3049" i="8"/>
  <c r="AB3050" i="8"/>
  <c r="AB3051" i="8"/>
  <c r="AB3052" i="8"/>
  <c r="AB3053" i="8"/>
  <c r="AB3054" i="8"/>
  <c r="AB3055" i="8"/>
  <c r="AB3056" i="8"/>
  <c r="AB3057" i="8"/>
  <c r="AB3058" i="8"/>
  <c r="AB3059" i="8"/>
  <c r="AB3060" i="8"/>
  <c r="AB3061" i="8"/>
  <c r="AB3062" i="8"/>
  <c r="AB3063" i="8"/>
  <c r="AB3064" i="8"/>
  <c r="AB3065" i="8"/>
  <c r="AB3066" i="8"/>
  <c r="AB3067" i="8"/>
  <c r="AB3068" i="8"/>
  <c r="AB3069" i="8"/>
  <c r="AB3070" i="8"/>
  <c r="AB3071" i="8"/>
  <c r="AB3072" i="8"/>
  <c r="AB3073" i="8"/>
  <c r="AB3074" i="8"/>
  <c r="AB3075" i="8"/>
  <c r="AB3076" i="8"/>
  <c r="AB3077" i="8"/>
  <c r="AB3078" i="8"/>
  <c r="AB3079" i="8"/>
  <c r="AB3080" i="8"/>
  <c r="AB3081" i="8"/>
  <c r="AB3082" i="8"/>
  <c r="AB3083" i="8"/>
  <c r="AB3084" i="8"/>
  <c r="AB3085" i="8"/>
  <c r="AB3086" i="8"/>
  <c r="AB3087" i="8"/>
  <c r="AB3088" i="8"/>
  <c r="AB3089" i="8"/>
  <c r="AB3090" i="8"/>
  <c r="AB3091" i="8"/>
  <c r="AB3092" i="8"/>
  <c r="AB3093" i="8"/>
  <c r="AB3094" i="8"/>
  <c r="AB3095" i="8"/>
  <c r="AB3096" i="8"/>
  <c r="AB3097" i="8"/>
  <c r="AB3098" i="8"/>
  <c r="AB3099" i="8"/>
  <c r="AB3100" i="8"/>
  <c r="AB3101" i="8"/>
  <c r="AB3102" i="8"/>
  <c r="AB3103" i="8"/>
  <c r="AB3104" i="8"/>
  <c r="AB3105" i="8"/>
  <c r="AB3106" i="8"/>
  <c r="AB3107" i="8"/>
  <c r="AB3108" i="8"/>
  <c r="AB3109" i="8"/>
  <c r="AB3110" i="8"/>
  <c r="AB3111" i="8"/>
  <c r="AB3112" i="8"/>
  <c r="AB3113" i="8"/>
  <c r="AB3114" i="8"/>
  <c r="AB3115" i="8"/>
  <c r="AB3116" i="8"/>
  <c r="AB3117" i="8"/>
  <c r="AB3118" i="8"/>
  <c r="AB3119" i="8"/>
  <c r="AB3120" i="8"/>
  <c r="AB3121" i="8"/>
  <c r="AB3122" i="8"/>
  <c r="AB3123" i="8"/>
  <c r="AB3124" i="8"/>
  <c r="AB3125" i="8"/>
  <c r="AB3126" i="8"/>
  <c r="AB3127" i="8"/>
  <c r="AB3128" i="8"/>
  <c r="AB3129" i="8"/>
  <c r="AB3130" i="8"/>
  <c r="AB3131" i="8"/>
  <c r="AB3132" i="8"/>
  <c r="AB3133" i="8"/>
  <c r="AB3134" i="8"/>
  <c r="AB3135" i="8"/>
  <c r="AB3136" i="8"/>
  <c r="AB3137" i="8"/>
  <c r="AB3138" i="8"/>
  <c r="AB3139" i="8"/>
  <c r="AB3140" i="8"/>
  <c r="AB3141" i="8"/>
  <c r="AB3142" i="8"/>
  <c r="AB3143" i="8"/>
  <c r="AB3144" i="8"/>
  <c r="AB3145" i="8"/>
  <c r="AB3146" i="8"/>
  <c r="AB3147" i="8"/>
  <c r="AB3148" i="8"/>
  <c r="AB3149" i="8"/>
  <c r="AB3150" i="8"/>
  <c r="AB3151" i="8"/>
  <c r="AB3152" i="8"/>
  <c r="AB3153" i="8"/>
  <c r="AB3154" i="8"/>
  <c r="AB3155" i="8"/>
  <c r="AB3156" i="8"/>
  <c r="AB3157" i="8"/>
  <c r="AB3158" i="8"/>
  <c r="AB3159" i="8"/>
  <c r="AB3160" i="8"/>
  <c r="AB3161" i="8"/>
  <c r="AB3162" i="8"/>
  <c r="AB3163" i="8"/>
  <c r="AB3164" i="8"/>
  <c r="AB3165" i="8"/>
  <c r="AB3166" i="8"/>
  <c r="AB3167" i="8"/>
  <c r="AB3168" i="8"/>
  <c r="AB3169" i="8"/>
  <c r="AB3170" i="8"/>
  <c r="AB3171" i="8"/>
  <c r="AB3172" i="8"/>
  <c r="AB3173" i="8"/>
  <c r="AB3174" i="8"/>
  <c r="AB3175" i="8"/>
  <c r="AB3176" i="8"/>
  <c r="AB3177" i="8"/>
  <c r="AB3178" i="8"/>
  <c r="AB3179" i="8"/>
  <c r="AB3180" i="8"/>
  <c r="AB3181" i="8"/>
  <c r="AB3182" i="8"/>
  <c r="AB3183" i="8"/>
  <c r="AB3184" i="8"/>
  <c r="AB3185" i="8"/>
  <c r="AB3186" i="8"/>
  <c r="AB3187" i="8"/>
  <c r="AB3188" i="8"/>
  <c r="AB3189" i="8"/>
  <c r="AB3190" i="8"/>
  <c r="AB3191" i="8"/>
  <c r="AB3192" i="8"/>
  <c r="AB3193" i="8"/>
  <c r="AB3194" i="8"/>
  <c r="AB3195" i="8"/>
  <c r="AB3196" i="8"/>
  <c r="AB3197" i="8"/>
  <c r="AB3198" i="8"/>
  <c r="AB3199" i="8"/>
  <c r="AB3200" i="8"/>
  <c r="AB3201" i="8"/>
  <c r="AB3202" i="8"/>
  <c r="AB3203" i="8"/>
  <c r="AB3204" i="8"/>
  <c r="AB3205" i="8"/>
  <c r="AB3206" i="8"/>
  <c r="AB3207" i="8"/>
  <c r="AB3208" i="8"/>
  <c r="AB3209" i="8"/>
  <c r="AB3210" i="8"/>
  <c r="AB3211" i="8"/>
  <c r="AB3212" i="8"/>
  <c r="AB3213" i="8"/>
  <c r="AB3214" i="8"/>
  <c r="AB3215" i="8"/>
  <c r="AB3216" i="8"/>
  <c r="AB3217" i="8"/>
  <c r="AB3218" i="8"/>
  <c r="AB3219" i="8"/>
  <c r="AB3220" i="8"/>
  <c r="AB3221" i="8"/>
  <c r="AB3222" i="8"/>
  <c r="AB3223" i="8"/>
  <c r="AB3224" i="8"/>
  <c r="AB3225" i="8"/>
  <c r="AB3226" i="8"/>
  <c r="AB3227" i="8"/>
  <c r="AB3228" i="8"/>
  <c r="AB3229" i="8"/>
  <c r="AB3230" i="8"/>
  <c r="AB3231" i="8"/>
  <c r="AB3232" i="8"/>
  <c r="AB3233" i="8"/>
  <c r="AB3234" i="8"/>
  <c r="AB3235" i="8"/>
  <c r="AB3236" i="8"/>
  <c r="AB3237" i="8"/>
  <c r="AB3238" i="8"/>
  <c r="AB3239" i="8"/>
  <c r="AB3240" i="8"/>
  <c r="AB3241" i="8"/>
  <c r="AB3242" i="8"/>
  <c r="AB3243" i="8"/>
  <c r="AB3244" i="8"/>
  <c r="AB3245" i="8"/>
  <c r="AB3246" i="8"/>
  <c r="AB3247" i="8"/>
  <c r="AB3248" i="8"/>
  <c r="AB3249" i="8"/>
  <c r="AB3250" i="8"/>
  <c r="AB3251" i="8"/>
  <c r="AB3252" i="8"/>
  <c r="AB3253" i="8"/>
  <c r="AB3254" i="8"/>
  <c r="AB3255" i="8"/>
  <c r="AB3256" i="8"/>
  <c r="AB3257" i="8"/>
  <c r="AB3258" i="8"/>
  <c r="AB3259" i="8"/>
  <c r="AB3260" i="8"/>
  <c r="AB3261" i="8"/>
  <c r="AB3262" i="8"/>
  <c r="AB3263" i="8"/>
  <c r="AB3264" i="8"/>
  <c r="AB3265" i="8"/>
  <c r="AB3266" i="8"/>
  <c r="AB3267" i="8"/>
  <c r="AB3268" i="8"/>
  <c r="AB3269" i="8"/>
  <c r="AB3270" i="8"/>
  <c r="AB3271" i="8"/>
  <c r="AB3272" i="8"/>
  <c r="AB3273" i="8"/>
  <c r="AB3274" i="8"/>
  <c r="AB3275" i="8"/>
  <c r="AB3276" i="8"/>
  <c r="AB3277" i="8"/>
  <c r="AB3278" i="8"/>
  <c r="AB3279" i="8"/>
  <c r="AB3280" i="8"/>
  <c r="AB3281" i="8"/>
  <c r="AB3282" i="8"/>
  <c r="AB3283" i="8"/>
  <c r="AB3284" i="8"/>
  <c r="AB3285" i="8"/>
  <c r="AB3286" i="8"/>
  <c r="AB3287" i="8"/>
  <c r="AB3288" i="8"/>
  <c r="AB3289" i="8"/>
  <c r="AB3290" i="8"/>
  <c r="AB3291" i="8"/>
  <c r="AB3292" i="8"/>
  <c r="AB3293" i="8"/>
  <c r="AB3294" i="8"/>
  <c r="AB3295" i="8"/>
  <c r="AB3296" i="8"/>
  <c r="AB3297" i="8"/>
  <c r="AB3298" i="8"/>
  <c r="AB3299" i="8"/>
  <c r="AB3300" i="8"/>
  <c r="AB3301" i="8"/>
  <c r="AB3302" i="8"/>
  <c r="AB3303" i="8"/>
  <c r="AB3304" i="8"/>
  <c r="AB3305" i="8"/>
  <c r="AB3306" i="8"/>
  <c r="AB3307" i="8"/>
  <c r="AB3308" i="8"/>
  <c r="AB3309" i="8"/>
  <c r="AB3310" i="8"/>
  <c r="AB3311" i="8"/>
  <c r="AB3312" i="8"/>
  <c r="AB3313" i="8"/>
  <c r="AB3314" i="8"/>
  <c r="AB3315" i="8"/>
  <c r="AB3316" i="8"/>
  <c r="AB3317" i="8"/>
  <c r="AB3318" i="8"/>
  <c r="AB3319" i="8"/>
  <c r="AB3320" i="8"/>
  <c r="AB3321" i="8"/>
  <c r="AB3322" i="8"/>
  <c r="AB3323" i="8"/>
  <c r="AB3324" i="8"/>
  <c r="AB3325" i="8"/>
  <c r="AB3326" i="8"/>
  <c r="AB3327" i="8"/>
  <c r="AB3328" i="8"/>
  <c r="AB3329" i="8"/>
  <c r="AB3330" i="8"/>
  <c r="AB3331" i="8"/>
  <c r="AB3332" i="8"/>
  <c r="AB3333" i="8"/>
  <c r="AB3334" i="8"/>
  <c r="AB3335" i="8"/>
  <c r="AB3336" i="8"/>
  <c r="AB3337" i="8"/>
  <c r="AB3338" i="8"/>
  <c r="AB3339" i="8"/>
  <c r="AB3340" i="8"/>
  <c r="AB3341" i="8"/>
  <c r="AB3342" i="8"/>
  <c r="AB3343" i="8"/>
  <c r="AB3344" i="8"/>
  <c r="AB3345" i="8"/>
  <c r="AB3346" i="8"/>
  <c r="AB3347" i="8"/>
  <c r="AB3348" i="8"/>
  <c r="AB3349" i="8"/>
  <c r="AB3350" i="8"/>
  <c r="AB3351" i="8"/>
  <c r="AB3352" i="8"/>
  <c r="AB3353" i="8"/>
  <c r="AB3354" i="8"/>
  <c r="AB3355" i="8"/>
  <c r="AB3356" i="8"/>
  <c r="AB3357" i="8"/>
  <c r="AB3358" i="8"/>
  <c r="AB3359" i="8"/>
  <c r="AB3360" i="8"/>
  <c r="AB3361" i="8"/>
  <c r="AB3362" i="8"/>
  <c r="AB3363" i="8"/>
  <c r="AB3364" i="8"/>
  <c r="AB3365" i="8"/>
  <c r="AB3366" i="8"/>
  <c r="AB3367" i="8"/>
  <c r="AB3368" i="8"/>
  <c r="AB3369" i="8"/>
  <c r="AB3370" i="8"/>
  <c r="AB3371" i="8"/>
  <c r="AB3372" i="8"/>
  <c r="AB3373" i="8"/>
  <c r="AB3374" i="8"/>
  <c r="AB3375" i="8"/>
  <c r="AB3376" i="8"/>
  <c r="AB3377" i="8"/>
  <c r="AB3378" i="8"/>
  <c r="AB3379" i="8"/>
  <c r="AB3380" i="8"/>
  <c r="AB3381" i="8"/>
  <c r="AB3382" i="8"/>
  <c r="AB3383" i="8"/>
  <c r="AB3384" i="8"/>
  <c r="AB3385" i="8"/>
  <c r="AB3386" i="8"/>
  <c r="AB3387" i="8"/>
  <c r="AB3388" i="8"/>
  <c r="AB3389" i="8"/>
  <c r="AB3390" i="8"/>
  <c r="AB3391" i="8"/>
  <c r="AB3392" i="8"/>
  <c r="AB3393" i="8"/>
  <c r="AB3394" i="8"/>
  <c r="AB3395" i="8"/>
  <c r="AB3396" i="8"/>
  <c r="AB3397" i="8"/>
  <c r="AB3398" i="8"/>
  <c r="AB3399" i="8"/>
  <c r="AB3400" i="8"/>
  <c r="AB3401" i="8"/>
  <c r="AB3402" i="8"/>
  <c r="AB3403" i="8"/>
  <c r="AB3404" i="8"/>
  <c r="AB3405" i="8"/>
  <c r="AB3406" i="8"/>
  <c r="AB3407" i="8"/>
  <c r="AB3408" i="8"/>
  <c r="AB3409" i="8"/>
  <c r="AB3410" i="8"/>
  <c r="AB3411" i="8"/>
  <c r="AB3412" i="8"/>
  <c r="AB3413" i="8"/>
  <c r="AB3414" i="8"/>
  <c r="AB3415" i="8"/>
  <c r="AB3416" i="8"/>
  <c r="AB3417" i="8"/>
  <c r="AB3418" i="8"/>
  <c r="AB3419" i="8"/>
  <c r="AB3420" i="8"/>
  <c r="AB3421" i="8"/>
  <c r="AB3422" i="8"/>
  <c r="AB3423" i="8"/>
  <c r="AB3424" i="8"/>
  <c r="AB3425" i="8"/>
  <c r="AB3426" i="8"/>
  <c r="AB3427" i="8"/>
  <c r="AB3428" i="8"/>
  <c r="AB3429" i="8"/>
  <c r="AB3430" i="8"/>
  <c r="AB3431" i="8"/>
  <c r="AB3432" i="8"/>
  <c r="AB3433" i="8"/>
  <c r="AB3434" i="8"/>
  <c r="AB3435" i="8"/>
  <c r="AB3436" i="8"/>
  <c r="AB3437" i="8"/>
  <c r="AB3438" i="8"/>
  <c r="AB3439" i="8"/>
  <c r="AB3440" i="8"/>
  <c r="AB3441" i="8"/>
  <c r="AB3442" i="8"/>
  <c r="AB3443" i="8"/>
  <c r="AB3444" i="8"/>
  <c r="AB3445" i="8"/>
  <c r="AB3446" i="8"/>
  <c r="AB3447" i="8"/>
  <c r="AB3448" i="8"/>
  <c r="AB3449" i="8"/>
  <c r="AB3450" i="8"/>
  <c r="AB3451" i="8"/>
  <c r="AB3452" i="8"/>
  <c r="AB3453" i="8"/>
  <c r="AB3454" i="8"/>
  <c r="AB3455" i="8"/>
  <c r="AB3456" i="8"/>
  <c r="AB3457" i="8"/>
  <c r="AB3458" i="8"/>
  <c r="AB3459" i="8"/>
  <c r="AB3460" i="8"/>
  <c r="AB3461" i="8"/>
  <c r="AB3462" i="8"/>
  <c r="AB3463" i="8"/>
  <c r="AB3464" i="8"/>
  <c r="AB3465" i="8"/>
  <c r="AB3466" i="8"/>
  <c r="AB3467" i="8"/>
  <c r="AB3468" i="8"/>
  <c r="AB3469" i="8"/>
  <c r="AB3470" i="8"/>
  <c r="AB3471" i="8"/>
  <c r="AB3472" i="8"/>
  <c r="AB3473" i="8"/>
  <c r="AB3474" i="8"/>
  <c r="AB3475" i="8"/>
  <c r="AB3476" i="8"/>
  <c r="AB3477" i="8"/>
  <c r="AB3478" i="8"/>
  <c r="AB3479" i="8"/>
  <c r="AB3480" i="8"/>
  <c r="AB3481" i="8"/>
  <c r="AB3482" i="8"/>
  <c r="AB3483" i="8"/>
  <c r="AB3484" i="8"/>
  <c r="AB3485" i="8"/>
  <c r="AB3486" i="8"/>
  <c r="AB3487" i="8"/>
  <c r="AB3488" i="8"/>
  <c r="AB3489" i="8"/>
  <c r="AB3490" i="8"/>
  <c r="AB3491" i="8"/>
  <c r="AB3492" i="8"/>
  <c r="AB3493" i="8"/>
  <c r="AB3494" i="8"/>
  <c r="AB3495" i="8"/>
  <c r="AB3496" i="8"/>
  <c r="AB3497" i="8"/>
  <c r="AB3498" i="8"/>
  <c r="AB3499" i="8"/>
  <c r="AB3500" i="8"/>
  <c r="AB3501" i="8"/>
  <c r="AB3502" i="8"/>
  <c r="AB3503" i="8"/>
  <c r="AB3504" i="8"/>
  <c r="AB3505" i="8"/>
  <c r="AB3506" i="8"/>
  <c r="AB3507" i="8"/>
  <c r="AB3508" i="8"/>
  <c r="AB3509" i="8"/>
  <c r="AB3510" i="8"/>
  <c r="AB3511" i="8"/>
  <c r="AB3512" i="8"/>
  <c r="AB3513" i="8"/>
  <c r="AB3514" i="8"/>
  <c r="AB3515" i="8"/>
  <c r="AB3516" i="8"/>
  <c r="AB3517" i="8"/>
  <c r="AB3518" i="8"/>
  <c r="AB3519" i="8"/>
  <c r="AB3520" i="8"/>
  <c r="AB3521" i="8"/>
  <c r="AB3522" i="8"/>
  <c r="AB3523" i="8"/>
  <c r="AB3524" i="8"/>
  <c r="AB3525" i="8"/>
  <c r="AB3526" i="8"/>
  <c r="AB3527" i="8"/>
  <c r="AB3528" i="8"/>
  <c r="AB3529" i="8"/>
  <c r="AB3530" i="8"/>
  <c r="AB3531" i="8"/>
  <c r="AB3532" i="8"/>
  <c r="AB3533" i="8"/>
  <c r="AB3534" i="8"/>
  <c r="AB3535" i="8"/>
  <c r="AB3536" i="8"/>
  <c r="AB3537" i="8"/>
  <c r="AB3538" i="8"/>
  <c r="AB3539" i="8"/>
  <c r="AB3540" i="8"/>
  <c r="AB3541" i="8"/>
  <c r="AB3542" i="8"/>
  <c r="AB3543" i="8"/>
  <c r="AB3544" i="8"/>
  <c r="AB3545" i="8"/>
  <c r="AB3546" i="8"/>
  <c r="AB3547" i="8"/>
  <c r="AB3548" i="8"/>
  <c r="AB3549" i="8"/>
  <c r="AB3550" i="8"/>
  <c r="AB3551" i="8"/>
  <c r="AB3552" i="8"/>
  <c r="AB3553" i="8"/>
  <c r="AB3554" i="8"/>
  <c r="AB3555" i="8"/>
  <c r="AB3556" i="8"/>
  <c r="AB3557" i="8"/>
  <c r="AB3558" i="8"/>
  <c r="AB3559" i="8"/>
  <c r="AB3560" i="8"/>
  <c r="AB3561" i="8"/>
  <c r="AB3562" i="8"/>
  <c r="AB3563" i="8"/>
  <c r="AB3564" i="8"/>
  <c r="AB3565" i="8"/>
  <c r="AB3566" i="8"/>
  <c r="AB3567" i="8"/>
  <c r="AB3568" i="8"/>
  <c r="AB3569" i="8"/>
  <c r="AB3570" i="8"/>
  <c r="AB3571" i="8"/>
  <c r="AB3572" i="8"/>
  <c r="AB3573" i="8"/>
  <c r="AB3574" i="8"/>
  <c r="AB3575" i="8"/>
  <c r="AB3576" i="8"/>
  <c r="AB3577" i="8"/>
  <c r="AB3578" i="8"/>
  <c r="AB3579" i="8"/>
  <c r="AB3580" i="8"/>
  <c r="AB3581" i="8"/>
  <c r="AB3582" i="8"/>
  <c r="AB3583" i="8"/>
  <c r="AB3584" i="8"/>
  <c r="AB3585" i="8"/>
  <c r="AB3586" i="8"/>
  <c r="AB3587" i="8"/>
  <c r="AB3588" i="8"/>
  <c r="AB3589" i="8"/>
  <c r="AB3590" i="8"/>
  <c r="AB3591" i="8"/>
  <c r="AB3592" i="8"/>
  <c r="AB3593" i="8"/>
  <c r="AB3594" i="8"/>
  <c r="AB3595" i="8"/>
  <c r="AB3596" i="8"/>
  <c r="AB3597" i="8"/>
  <c r="AB3598" i="8"/>
  <c r="AB3599" i="8"/>
  <c r="AB3600" i="8"/>
  <c r="AB3601" i="8"/>
  <c r="AB3602" i="8"/>
  <c r="AB3603" i="8"/>
  <c r="AB3604" i="8"/>
  <c r="AB3605" i="8"/>
  <c r="AB3606" i="8"/>
  <c r="AB3607" i="8"/>
  <c r="AB3608" i="8"/>
  <c r="AB3609" i="8"/>
  <c r="AB3610" i="8"/>
  <c r="AB3611" i="8"/>
  <c r="AB3612" i="8"/>
  <c r="AB3613" i="8"/>
  <c r="AB3614" i="8"/>
  <c r="AB3615" i="8"/>
  <c r="AB3616" i="8"/>
  <c r="AB3617" i="8"/>
  <c r="AB3618" i="8"/>
  <c r="AB3619" i="8"/>
  <c r="AB3620" i="8"/>
  <c r="AB3621" i="8"/>
  <c r="AB3622" i="8"/>
  <c r="AB3623" i="8"/>
  <c r="AB3624" i="8"/>
  <c r="AB3625" i="8"/>
  <c r="AB3626" i="8"/>
  <c r="AB3627" i="8"/>
  <c r="AB3628" i="8"/>
  <c r="AB3629" i="8"/>
  <c r="AB3630" i="8"/>
  <c r="AB3631" i="8"/>
  <c r="AB3632" i="8"/>
  <c r="AB3633" i="8"/>
  <c r="AB3634" i="8"/>
  <c r="AB3635" i="8"/>
  <c r="AB3636" i="8"/>
  <c r="AB3637" i="8"/>
  <c r="AB3638" i="8"/>
  <c r="AB3639" i="8"/>
  <c r="AB3640" i="8"/>
  <c r="AB3641" i="8"/>
  <c r="AB3642" i="8"/>
  <c r="AB3643" i="8"/>
  <c r="AB3644" i="8"/>
  <c r="AB3645" i="8"/>
  <c r="AB3646" i="8"/>
  <c r="AB3647" i="8"/>
  <c r="AB3648" i="8"/>
  <c r="AB3649" i="8"/>
  <c r="AB3650" i="8"/>
  <c r="AB3651" i="8"/>
  <c r="AB3652" i="8"/>
  <c r="AB3653" i="8"/>
  <c r="AB3654" i="8"/>
  <c r="AB3655" i="8"/>
  <c r="AB3656" i="8"/>
  <c r="AB3657" i="8"/>
  <c r="AB3658" i="8"/>
  <c r="AB3659" i="8"/>
  <c r="AB3660" i="8"/>
  <c r="AB3661" i="8"/>
  <c r="AB3662" i="8"/>
  <c r="AB3663" i="8"/>
  <c r="AB3664" i="8"/>
  <c r="AB3665" i="8"/>
  <c r="AB3666" i="8"/>
  <c r="AB3667" i="8"/>
  <c r="AB3668" i="8"/>
  <c r="AB3669" i="8"/>
  <c r="AB3670" i="8"/>
  <c r="AB3671" i="8"/>
  <c r="AB3672" i="8"/>
  <c r="AB3673" i="8"/>
  <c r="AB3674" i="8"/>
  <c r="AB3675" i="8"/>
  <c r="AB3676" i="8"/>
  <c r="AB3677" i="8"/>
  <c r="AB3678" i="8"/>
  <c r="AB3679" i="8"/>
  <c r="AB3680" i="8"/>
  <c r="AB3681" i="8"/>
  <c r="AB3682" i="8"/>
  <c r="AB3683" i="8"/>
  <c r="AB3684" i="8"/>
  <c r="AB3685" i="8"/>
  <c r="AB3686" i="8"/>
  <c r="AB3687" i="8"/>
  <c r="AB3688" i="8"/>
  <c r="AB3689" i="8"/>
  <c r="AB3690" i="8"/>
  <c r="AB3691" i="8"/>
  <c r="AB3692" i="8"/>
  <c r="AB3693" i="8"/>
  <c r="AB3694" i="8"/>
  <c r="AB3695" i="8"/>
  <c r="AB3696" i="8"/>
  <c r="AB3697" i="8"/>
  <c r="AB3698" i="8"/>
  <c r="AB3699" i="8"/>
  <c r="AB3700" i="8"/>
  <c r="AB3701" i="8"/>
  <c r="AB3702" i="8"/>
  <c r="AB3703" i="8"/>
  <c r="AB3704" i="8"/>
  <c r="AB3705" i="8"/>
  <c r="AB3706" i="8"/>
  <c r="AB3707" i="8"/>
  <c r="AB3708" i="8"/>
  <c r="AB3709" i="8"/>
  <c r="AB3710" i="8"/>
  <c r="AB3711" i="8"/>
  <c r="AB3712" i="8"/>
  <c r="AB3713" i="8"/>
  <c r="AB3714" i="8"/>
  <c r="AB3715" i="8"/>
  <c r="AB3716" i="8"/>
  <c r="AB3717" i="8"/>
  <c r="AB3718" i="8"/>
  <c r="AB3719" i="8"/>
  <c r="AB3720" i="8"/>
  <c r="AB3721" i="8"/>
  <c r="AB3722" i="8"/>
  <c r="AB3723" i="8"/>
  <c r="AB3724" i="8"/>
  <c r="AB3725" i="8"/>
  <c r="AB3726" i="8"/>
  <c r="AB3727" i="8"/>
  <c r="AB3728" i="8"/>
  <c r="AB3729" i="8"/>
  <c r="AB3730" i="8"/>
  <c r="AB3731" i="8"/>
  <c r="AB3732" i="8"/>
  <c r="AB3733" i="8"/>
  <c r="AB3734" i="8"/>
  <c r="AB3735" i="8"/>
  <c r="AB3736" i="8"/>
  <c r="AB3737" i="8"/>
  <c r="AB3738" i="8"/>
  <c r="AB3739" i="8"/>
  <c r="AB3740" i="8"/>
  <c r="AB3741" i="8"/>
  <c r="AB3742" i="8"/>
  <c r="AB3743" i="8"/>
  <c r="AB3744" i="8"/>
  <c r="AB3745" i="8"/>
  <c r="AB3746" i="8"/>
  <c r="AB3747" i="8"/>
  <c r="AB3748" i="8"/>
  <c r="AB3749" i="8"/>
  <c r="AB3750" i="8"/>
  <c r="AB3751" i="8"/>
  <c r="AB3752" i="8"/>
  <c r="AB3753" i="8"/>
  <c r="AB3754" i="8"/>
  <c r="AB3755" i="8"/>
  <c r="AB3756" i="8"/>
  <c r="AB3757" i="8"/>
  <c r="AB3758" i="8"/>
  <c r="AB3759" i="8"/>
  <c r="AB3760" i="8"/>
  <c r="AB3761" i="8"/>
  <c r="AB3762" i="8"/>
  <c r="AB3763" i="8"/>
  <c r="AB3764" i="8"/>
  <c r="AB3765" i="8"/>
  <c r="AB3766" i="8"/>
  <c r="AB3767" i="8"/>
  <c r="AB3768" i="8"/>
  <c r="AB3769" i="8"/>
  <c r="AB3770" i="8"/>
  <c r="AB3771" i="8"/>
  <c r="AB3772" i="8"/>
  <c r="AB3773" i="8"/>
  <c r="AB3774" i="8"/>
  <c r="AB3775" i="8"/>
  <c r="AB3776" i="8"/>
  <c r="AB3777" i="8"/>
  <c r="AB3778" i="8"/>
  <c r="AB3779" i="8"/>
  <c r="AB3780" i="8"/>
  <c r="AB3781" i="8"/>
  <c r="AB3782" i="8"/>
  <c r="AB3783" i="8"/>
  <c r="AB3784" i="8"/>
  <c r="AB3785" i="8"/>
  <c r="AB3786" i="8"/>
  <c r="AB3787" i="8"/>
  <c r="AB3788" i="8"/>
  <c r="AB3789" i="8"/>
  <c r="AB3790" i="8"/>
  <c r="AB3791" i="8"/>
  <c r="AB3792" i="8"/>
  <c r="AB3793" i="8"/>
  <c r="AB3794" i="8"/>
  <c r="AB3795" i="8"/>
  <c r="AB3796" i="8"/>
  <c r="AB3797" i="8"/>
  <c r="AB3798" i="8"/>
  <c r="AB3799" i="8"/>
  <c r="AB3800" i="8"/>
  <c r="AB3801" i="8"/>
  <c r="AB3802" i="8"/>
  <c r="AB3803" i="8"/>
  <c r="AB3804" i="8"/>
  <c r="AB3805" i="8"/>
  <c r="AB3806" i="8"/>
  <c r="AB3807" i="8"/>
  <c r="AB3808" i="8"/>
  <c r="AB3809" i="8"/>
  <c r="AB3810" i="8"/>
  <c r="AB3811" i="8"/>
  <c r="AB3812" i="8"/>
  <c r="AB3813" i="8"/>
  <c r="AB3814" i="8"/>
  <c r="AB3815" i="8"/>
  <c r="AB3816" i="8"/>
  <c r="AB3817" i="8"/>
  <c r="AB3818" i="8"/>
  <c r="AB3819" i="8"/>
  <c r="AB3820" i="8"/>
  <c r="AB3821" i="8"/>
  <c r="AB3822" i="8"/>
  <c r="AB3823" i="8"/>
  <c r="AB3824" i="8"/>
  <c r="AB3825" i="8"/>
  <c r="AB3826" i="8"/>
  <c r="AB3827" i="8"/>
  <c r="AB3828" i="8"/>
  <c r="AB3829" i="8"/>
  <c r="AB3830" i="8"/>
  <c r="AB3831" i="8"/>
  <c r="AB3832" i="8"/>
  <c r="AB3833" i="8"/>
  <c r="AB3834" i="8"/>
  <c r="AB3835" i="8"/>
  <c r="AB3836" i="8"/>
  <c r="AB3837" i="8"/>
  <c r="AB3838" i="8"/>
  <c r="AB3839" i="8"/>
  <c r="AB3840" i="8"/>
  <c r="AB3841" i="8"/>
  <c r="AB3842" i="8"/>
  <c r="AB3843" i="8"/>
  <c r="AB3844" i="8"/>
  <c r="AB3845" i="8"/>
  <c r="AB3846" i="8"/>
  <c r="AB3847" i="8"/>
  <c r="AB3848" i="8"/>
  <c r="AB3849" i="8"/>
  <c r="AB3850" i="8"/>
  <c r="AB3851" i="8"/>
  <c r="AB3852" i="8"/>
  <c r="AB3853" i="8"/>
  <c r="AB3854" i="8"/>
  <c r="AB3855" i="8"/>
  <c r="AB3856" i="8"/>
  <c r="AB3857" i="8"/>
  <c r="AB3858" i="8"/>
  <c r="AB3859" i="8"/>
  <c r="AB3860" i="8"/>
  <c r="AB3861" i="8"/>
  <c r="AB3862" i="8"/>
  <c r="AB3863" i="8"/>
  <c r="AB3864" i="8"/>
  <c r="AB3865" i="8"/>
  <c r="AB3866" i="8"/>
  <c r="AB3867" i="8"/>
  <c r="AB3868" i="8"/>
  <c r="AB3869" i="8"/>
  <c r="AB3870" i="8"/>
  <c r="AB3871" i="8"/>
  <c r="AB3872" i="8"/>
  <c r="AB3873" i="8"/>
  <c r="AB3874" i="8"/>
  <c r="AB3875" i="8"/>
  <c r="AB3876" i="8"/>
  <c r="AB3877" i="8"/>
  <c r="AB3878" i="8"/>
  <c r="AB3879" i="8"/>
  <c r="AB3880" i="8"/>
  <c r="AB3881" i="8"/>
  <c r="AB3882" i="8"/>
  <c r="AB3883" i="8"/>
  <c r="AB3884" i="8"/>
  <c r="AB3885" i="8"/>
  <c r="AB3886" i="8"/>
  <c r="AB3887" i="8"/>
  <c r="AB3888" i="8"/>
  <c r="AB3889" i="8"/>
  <c r="AB3890" i="8"/>
  <c r="AB3891" i="8"/>
  <c r="AB3892" i="8"/>
  <c r="AB3893" i="8"/>
  <c r="AB3894" i="8"/>
  <c r="AB3895" i="8"/>
  <c r="AB3896" i="8"/>
  <c r="AB3897" i="8"/>
  <c r="AB3898" i="8"/>
  <c r="AB3899" i="8"/>
  <c r="AB3900" i="8"/>
  <c r="AB3901" i="8"/>
  <c r="AB3902" i="8"/>
  <c r="AB3903" i="8"/>
  <c r="AB3904" i="8"/>
  <c r="AB3905" i="8"/>
  <c r="AB3906" i="8"/>
  <c r="AB3907" i="8"/>
  <c r="AB3908" i="8"/>
  <c r="AB3909" i="8"/>
  <c r="AB3910" i="8"/>
  <c r="AB3911" i="8"/>
  <c r="AB3912" i="8"/>
  <c r="AB3913" i="8"/>
  <c r="AB3914" i="8"/>
  <c r="AB3915" i="8"/>
  <c r="AB3916" i="8"/>
  <c r="AB3917" i="8"/>
  <c r="AB3918" i="8"/>
  <c r="AB3919" i="8"/>
  <c r="AB3920" i="8"/>
  <c r="AB3921" i="8"/>
  <c r="AB3922" i="8"/>
  <c r="AB3923" i="8"/>
  <c r="AB3924" i="8"/>
  <c r="AB3925" i="8"/>
  <c r="AB3926" i="8"/>
  <c r="AB3927" i="8"/>
  <c r="AB3928" i="8"/>
  <c r="AB3929" i="8"/>
  <c r="AB3930" i="8"/>
  <c r="AB3931" i="8"/>
  <c r="AB3932" i="8"/>
  <c r="AB3933" i="8"/>
  <c r="AB3934" i="8"/>
  <c r="AB3935" i="8"/>
  <c r="AB3936" i="8"/>
  <c r="AB3937" i="8"/>
  <c r="AB3938" i="8"/>
  <c r="AB3939" i="8"/>
  <c r="AB3940" i="8"/>
  <c r="AB3941" i="8"/>
  <c r="AB3942" i="8"/>
  <c r="AB3943" i="8"/>
  <c r="AB3944" i="8"/>
  <c r="AB3945" i="8"/>
  <c r="AB3946" i="8"/>
  <c r="AB3947" i="8"/>
  <c r="AB3948" i="8"/>
  <c r="AB3949" i="8"/>
  <c r="AB3950" i="8"/>
  <c r="AB3951" i="8"/>
  <c r="AB3952" i="8"/>
  <c r="AB3953" i="8"/>
  <c r="AB3954" i="8"/>
  <c r="AB3955" i="8"/>
  <c r="AB3956" i="8"/>
  <c r="AB3957" i="8"/>
  <c r="AB3958" i="8"/>
  <c r="AB3959" i="8"/>
  <c r="AB3960" i="8"/>
  <c r="AB3961" i="8"/>
  <c r="AB3962" i="8"/>
  <c r="AB3963" i="8"/>
  <c r="AB3964" i="8"/>
  <c r="AB3965" i="8"/>
  <c r="AB3966" i="8"/>
  <c r="AB3967" i="8"/>
  <c r="AB3968" i="8"/>
  <c r="AB3969" i="8"/>
  <c r="AB3970" i="8"/>
  <c r="AB3971" i="8"/>
  <c r="AB3972" i="8"/>
  <c r="AB3973" i="8"/>
  <c r="AB3974" i="8"/>
  <c r="AB3975" i="8"/>
  <c r="AB3976" i="8"/>
  <c r="AB3977" i="8"/>
  <c r="AB3978" i="8"/>
  <c r="AB3979" i="8"/>
  <c r="AB3980" i="8"/>
  <c r="AB3981" i="8"/>
  <c r="AB3982" i="8"/>
  <c r="AB3983" i="8"/>
  <c r="AB3984" i="8"/>
  <c r="AB3985" i="8"/>
  <c r="AB3986" i="8"/>
  <c r="AB3987" i="8"/>
  <c r="AB3988" i="8"/>
  <c r="AB3989" i="8"/>
  <c r="AB3990" i="8"/>
  <c r="AB3991" i="8"/>
  <c r="AB3992" i="8"/>
  <c r="AB3993" i="8"/>
  <c r="AB3994" i="8"/>
  <c r="AB3995" i="8"/>
  <c r="AB3996" i="8"/>
  <c r="AB3997" i="8"/>
  <c r="AB3998" i="8"/>
  <c r="AB3999" i="8"/>
  <c r="AB4000" i="8"/>
  <c r="AB4001" i="8"/>
  <c r="AB4002" i="8"/>
  <c r="AB4003" i="8"/>
  <c r="AB4004" i="8"/>
  <c r="AB4005" i="8"/>
  <c r="AB4006" i="8"/>
  <c r="AB4007" i="8"/>
  <c r="AB4008" i="8"/>
  <c r="AB4009" i="8"/>
  <c r="AB4010" i="8"/>
  <c r="AB4011" i="8"/>
  <c r="AB4012" i="8"/>
  <c r="AB4013" i="8"/>
  <c r="AB4014" i="8"/>
  <c r="AB4015" i="8"/>
  <c r="AB4016" i="8"/>
  <c r="AB4017" i="8"/>
  <c r="AB4018" i="8"/>
  <c r="AB4019" i="8"/>
  <c r="AB4020" i="8"/>
  <c r="AB4021" i="8"/>
  <c r="AB4022" i="8"/>
  <c r="AB4023" i="8"/>
  <c r="AB4024" i="8"/>
  <c r="AB4025" i="8"/>
  <c r="AB4026" i="8"/>
  <c r="AB4027" i="8"/>
  <c r="AB4028" i="8"/>
  <c r="AB4029" i="8"/>
  <c r="AB4030" i="8"/>
  <c r="AB4031" i="8"/>
  <c r="AB4032" i="8"/>
  <c r="AB4033" i="8"/>
  <c r="AB4034" i="8"/>
  <c r="AB4035" i="8"/>
  <c r="AB4036" i="8"/>
  <c r="AB4037" i="8"/>
  <c r="AB4038" i="8"/>
  <c r="AB4039" i="8"/>
  <c r="AB4040" i="8"/>
  <c r="AB4041" i="8"/>
  <c r="AB4042" i="8"/>
  <c r="AB4043" i="8"/>
  <c r="AB4044" i="8"/>
  <c r="AB4045" i="8"/>
  <c r="AB4046" i="8"/>
  <c r="AB4047" i="8"/>
  <c r="AB4048" i="8"/>
  <c r="AB4049" i="8"/>
  <c r="AB4050" i="8"/>
  <c r="AB4051" i="8"/>
  <c r="AB4052" i="8"/>
  <c r="AB4053" i="8"/>
  <c r="AB4054" i="8"/>
  <c r="AB4055" i="8"/>
  <c r="AB4056" i="8"/>
  <c r="AB4057" i="8"/>
  <c r="AB4058" i="8"/>
  <c r="AB4059" i="8"/>
  <c r="AB4060" i="8"/>
  <c r="AB4061" i="8"/>
  <c r="AB4062" i="8"/>
  <c r="AB4063" i="8"/>
  <c r="AB4064" i="8"/>
  <c r="AB4065" i="8"/>
  <c r="AB4066" i="8"/>
  <c r="AB4067" i="8"/>
  <c r="AB4068" i="8"/>
  <c r="AB4069" i="8"/>
  <c r="AB4070" i="8"/>
  <c r="AB4071" i="8"/>
  <c r="AB4072" i="8"/>
  <c r="AB4073" i="8"/>
  <c r="AB4074" i="8"/>
  <c r="AB4075" i="8"/>
  <c r="AB4076" i="8"/>
  <c r="AB4077" i="8"/>
  <c r="AB4078" i="8"/>
  <c r="AB4079" i="8"/>
  <c r="AB4080" i="8"/>
  <c r="AB4081" i="8"/>
  <c r="AB4082" i="8"/>
  <c r="AB4083" i="8"/>
  <c r="AB4084" i="8"/>
  <c r="AB4085" i="8"/>
  <c r="AB4086" i="8"/>
  <c r="AB4087" i="8"/>
  <c r="AB4088" i="8"/>
  <c r="AB4089" i="8"/>
  <c r="AB4090" i="8"/>
  <c r="AB4091" i="8"/>
  <c r="AB4092" i="8"/>
  <c r="AB4093" i="8"/>
  <c r="AB4094" i="8"/>
  <c r="AB4095" i="8"/>
  <c r="AB4096" i="8"/>
  <c r="AB4097" i="8"/>
  <c r="AB4098" i="8"/>
  <c r="AB4099" i="8"/>
  <c r="AB4100" i="8"/>
  <c r="AB4101" i="8"/>
  <c r="AB4102" i="8"/>
  <c r="AB4103" i="8"/>
  <c r="AB4104" i="8"/>
  <c r="AB4105" i="8"/>
  <c r="AB4106" i="8"/>
  <c r="AB4107" i="8"/>
  <c r="AB4108" i="8"/>
  <c r="AB4109" i="8"/>
  <c r="AB4110" i="8"/>
  <c r="AB4111" i="8"/>
  <c r="AB4112" i="8"/>
  <c r="AB4113" i="8"/>
  <c r="AB4114" i="8"/>
  <c r="AB4115" i="8"/>
  <c r="AB4116" i="8"/>
  <c r="AB4117" i="8"/>
  <c r="AB4118" i="8"/>
  <c r="AB4119" i="8"/>
  <c r="AB4120" i="8"/>
  <c r="AB4121" i="8"/>
  <c r="AB4122" i="8"/>
  <c r="AB4123" i="8"/>
  <c r="AB4124" i="8"/>
  <c r="AB4125" i="8"/>
  <c r="AB4126" i="8"/>
  <c r="AB4127" i="8"/>
  <c r="AB4128" i="8"/>
  <c r="AB4129" i="8"/>
  <c r="AB4130" i="8"/>
  <c r="AB4131" i="8"/>
  <c r="AB4132" i="8"/>
  <c r="AB4133" i="8"/>
  <c r="AB4134" i="8"/>
  <c r="AB4135" i="8"/>
  <c r="AB4136" i="8"/>
  <c r="AB4137" i="8"/>
  <c r="AB4138" i="8"/>
  <c r="AB4139" i="8"/>
  <c r="AB4140" i="8"/>
  <c r="AB4141" i="8"/>
  <c r="AB4142" i="8"/>
  <c r="AB4143" i="8"/>
  <c r="AB4144" i="8"/>
  <c r="AB4145" i="8"/>
  <c r="AB4146" i="8"/>
  <c r="AB4147" i="8"/>
  <c r="AB4148" i="8"/>
  <c r="AB4149" i="8"/>
  <c r="AB4150" i="8"/>
  <c r="AB4151" i="8"/>
  <c r="AB4152" i="8"/>
  <c r="AB4153" i="8"/>
  <c r="AB4154" i="8"/>
  <c r="AB4155" i="8"/>
  <c r="AB4156" i="8"/>
  <c r="AB4157" i="8"/>
  <c r="AB4158" i="8"/>
  <c r="AB4159" i="8"/>
  <c r="AB4160" i="8"/>
  <c r="AB4161" i="8"/>
  <c r="AB4162" i="8"/>
  <c r="AB4163" i="8"/>
  <c r="AB4164" i="8"/>
  <c r="AB4165" i="8"/>
  <c r="AB4166" i="8"/>
  <c r="AB4167" i="8"/>
  <c r="AB4168" i="8"/>
  <c r="AB4169" i="8"/>
  <c r="AB4170" i="8"/>
  <c r="AB4171" i="8"/>
  <c r="AB4172" i="8"/>
  <c r="AB4173" i="8"/>
  <c r="AB4174" i="8"/>
  <c r="AB4175" i="8"/>
  <c r="AB4176" i="8"/>
  <c r="AB4177" i="8"/>
  <c r="AB4178" i="8"/>
  <c r="AB4179" i="8"/>
  <c r="AB4180" i="8"/>
  <c r="AB4181" i="8"/>
  <c r="AB4182" i="8"/>
  <c r="AB4183" i="8"/>
  <c r="AB4184" i="8"/>
  <c r="AB4185" i="8"/>
  <c r="AB4186" i="8"/>
  <c r="AB4187" i="8"/>
  <c r="AB4188" i="8"/>
  <c r="AB4189" i="8"/>
  <c r="AB4190" i="8"/>
  <c r="AB4191" i="8"/>
  <c r="AB4192" i="8"/>
  <c r="AB4193" i="8"/>
  <c r="AB4194" i="8"/>
  <c r="AB4195" i="8"/>
  <c r="AB4196" i="8"/>
  <c r="AB4197" i="8"/>
  <c r="AB4198" i="8"/>
  <c r="AB4199" i="8"/>
  <c r="AB4200" i="8"/>
  <c r="AB4201" i="8"/>
  <c r="AB4202" i="8"/>
  <c r="AB4203" i="8"/>
  <c r="AB4204" i="8"/>
  <c r="AB4205" i="8"/>
  <c r="AB4206" i="8"/>
  <c r="AB4207" i="8"/>
  <c r="AB4208" i="8"/>
  <c r="AB4209" i="8"/>
  <c r="AB4210" i="8"/>
  <c r="AB4211" i="8"/>
  <c r="AB4212" i="8"/>
  <c r="AB4213" i="8"/>
  <c r="AB4214" i="8"/>
  <c r="AB4215" i="8"/>
  <c r="AB4216" i="8"/>
  <c r="AB4217" i="8"/>
  <c r="AB4218" i="8"/>
  <c r="AB4219" i="8"/>
  <c r="AB4220" i="8"/>
  <c r="AB4221" i="8"/>
  <c r="AB4222" i="8"/>
  <c r="AB4223" i="8"/>
  <c r="AB4224" i="8"/>
  <c r="AB4225" i="8"/>
  <c r="AB4226" i="8"/>
  <c r="AB4227" i="8"/>
  <c r="AB4228" i="8"/>
  <c r="AB4229" i="8"/>
  <c r="AB4230" i="8"/>
  <c r="AB4231" i="8"/>
  <c r="AB4232" i="8"/>
  <c r="AB4233" i="8"/>
  <c r="AB4234" i="8"/>
  <c r="AB4235" i="8"/>
  <c r="AB4236" i="8"/>
  <c r="AB4237" i="8"/>
  <c r="AB4238" i="8"/>
  <c r="AB4239" i="8"/>
  <c r="AB4240" i="8"/>
  <c r="AB4241" i="8"/>
  <c r="AB4242" i="8"/>
  <c r="AB4243" i="8"/>
  <c r="AB4244" i="8"/>
  <c r="AB4245" i="8"/>
  <c r="AB4246" i="8"/>
  <c r="AB4247" i="8"/>
  <c r="AB4248" i="8"/>
  <c r="AB4249" i="8"/>
  <c r="AB4250" i="8"/>
  <c r="AB4251" i="8"/>
  <c r="AB4252" i="8"/>
  <c r="AB4253" i="8"/>
  <c r="AB4254" i="8"/>
  <c r="AB4255" i="8"/>
  <c r="AB4256" i="8"/>
  <c r="AB4257" i="8"/>
  <c r="AB4258" i="8"/>
  <c r="AB4259" i="8"/>
  <c r="AB4260" i="8"/>
  <c r="AB4261" i="8"/>
  <c r="AB4262" i="8"/>
  <c r="AB4263" i="8"/>
  <c r="AB4264" i="8"/>
  <c r="AB4265" i="8"/>
  <c r="AB4266" i="8"/>
  <c r="AB4267" i="8"/>
  <c r="AB4268" i="8"/>
  <c r="AB4269" i="8"/>
  <c r="AB4270" i="8"/>
  <c r="AB4271" i="8"/>
  <c r="AB4272" i="8"/>
  <c r="AB4273" i="8"/>
  <c r="AB4274" i="8"/>
  <c r="AB4275" i="8"/>
  <c r="AB4276" i="8"/>
  <c r="AB4277" i="8"/>
  <c r="AB4278" i="8"/>
  <c r="AB4279" i="8"/>
  <c r="AB4280" i="8"/>
  <c r="AB4281" i="8"/>
  <c r="AB4282" i="8"/>
  <c r="AB4283" i="8"/>
  <c r="AB4284" i="8"/>
  <c r="AB4285" i="8"/>
  <c r="AB4286" i="8"/>
  <c r="AB4287" i="8"/>
  <c r="AB4288" i="8"/>
  <c r="AB4289" i="8"/>
  <c r="AB4290" i="8"/>
  <c r="AB4291" i="8"/>
  <c r="AB4292" i="8"/>
  <c r="AB4293" i="8"/>
  <c r="AB4294" i="8"/>
  <c r="AB4295" i="8"/>
  <c r="AB4296" i="8"/>
  <c r="AB4297" i="8"/>
  <c r="AB4298" i="8"/>
  <c r="AB4299" i="8"/>
  <c r="AB4300" i="8"/>
  <c r="AB4301" i="8"/>
  <c r="AB4302" i="8"/>
  <c r="AB4303" i="8"/>
  <c r="AB4304" i="8"/>
  <c r="AB4305" i="8"/>
  <c r="AB4306" i="8"/>
  <c r="AB4307" i="8"/>
  <c r="AB4308" i="8"/>
  <c r="AB4309" i="8"/>
  <c r="AB4310" i="8"/>
  <c r="AB4311" i="8"/>
  <c r="AB4312" i="8"/>
  <c r="AB4313" i="8"/>
  <c r="AB4314" i="8"/>
  <c r="AB4315" i="8"/>
  <c r="AB4316" i="8"/>
  <c r="AB4317" i="8"/>
  <c r="AB4318" i="8"/>
  <c r="AB4319" i="8"/>
  <c r="AB4320" i="8"/>
  <c r="AB4321" i="8"/>
  <c r="AB4322" i="8"/>
  <c r="AB4323" i="8"/>
  <c r="AB4324" i="8"/>
  <c r="AB4325" i="8"/>
  <c r="AB4326" i="8"/>
  <c r="AB4327" i="8"/>
  <c r="AB4328" i="8"/>
  <c r="AB4329" i="8"/>
  <c r="AB4330" i="8"/>
  <c r="AB4331" i="8"/>
  <c r="AB4332" i="8"/>
  <c r="AB4333" i="8"/>
  <c r="AB4334" i="8"/>
  <c r="AB4335" i="8"/>
  <c r="AB4336" i="8"/>
  <c r="AB4337" i="8"/>
  <c r="AB4338" i="8"/>
  <c r="AB4339" i="8"/>
  <c r="AB4340" i="8"/>
  <c r="AB4341" i="8"/>
  <c r="AB4342" i="8"/>
  <c r="AB4343" i="8"/>
  <c r="AB4344" i="8"/>
  <c r="AB4345" i="8"/>
  <c r="AB4346" i="8"/>
  <c r="AB4347" i="8"/>
  <c r="AB4348" i="8"/>
  <c r="AB4349" i="8"/>
  <c r="AB4350" i="8"/>
  <c r="AB4351" i="8"/>
  <c r="AB4352" i="8"/>
  <c r="AB4353" i="8"/>
  <c r="AB4354" i="8"/>
  <c r="AB4355" i="8"/>
  <c r="AB4356" i="8"/>
  <c r="AB4357" i="8"/>
  <c r="AB4358" i="8"/>
  <c r="AB4359" i="8"/>
  <c r="AB4360" i="8"/>
  <c r="AB4361" i="8"/>
  <c r="AB4362" i="8"/>
  <c r="AB4363" i="8"/>
  <c r="AB4364" i="8"/>
  <c r="AB4365" i="8"/>
  <c r="AB4366" i="8"/>
  <c r="AB4367" i="8"/>
  <c r="AB4368" i="8"/>
  <c r="AB4369" i="8"/>
  <c r="AB4370" i="8"/>
  <c r="AB4371" i="8"/>
  <c r="AB4372" i="8"/>
  <c r="AB4373" i="8"/>
  <c r="AB4374" i="8"/>
  <c r="AB4375" i="8"/>
  <c r="AB4376" i="8"/>
  <c r="AB4377" i="8"/>
  <c r="AB4378" i="8"/>
  <c r="AB4379" i="8"/>
  <c r="AB4380" i="8"/>
  <c r="AB4381" i="8"/>
  <c r="AB4382" i="8"/>
  <c r="AB4383" i="8"/>
  <c r="AB4384" i="8"/>
  <c r="AB4385" i="8"/>
  <c r="AB4386" i="8"/>
  <c r="AB4387" i="8"/>
  <c r="AB4388" i="8"/>
  <c r="AB4389" i="8"/>
  <c r="AB4390" i="8"/>
  <c r="AB4391" i="8"/>
  <c r="AB4392" i="8"/>
  <c r="AB4393" i="8"/>
  <c r="AB4394" i="8"/>
  <c r="AB4395" i="8"/>
  <c r="AB4396" i="8"/>
  <c r="AB4397" i="8"/>
  <c r="AB4398" i="8"/>
  <c r="AB4399" i="8"/>
  <c r="AB4400" i="8"/>
  <c r="AB4401" i="8"/>
  <c r="AB4402" i="8"/>
  <c r="AB4403" i="8"/>
  <c r="AB4404" i="8"/>
  <c r="AB4405" i="8"/>
  <c r="AB4406" i="8"/>
  <c r="AB4407" i="8"/>
  <c r="AB4408" i="8"/>
  <c r="AB4409" i="8"/>
  <c r="AB4410" i="8"/>
  <c r="AB4411" i="8"/>
  <c r="AB4412" i="8"/>
  <c r="AB4413" i="8"/>
  <c r="AB4414" i="8"/>
  <c r="AB4415" i="8"/>
  <c r="AB4416" i="8"/>
  <c r="AB4417" i="8"/>
  <c r="AB4418" i="8"/>
  <c r="AB4419" i="8"/>
  <c r="AB4420" i="8"/>
  <c r="AB4421" i="8"/>
  <c r="AB4422" i="8"/>
  <c r="AB4423" i="8"/>
  <c r="AB4424" i="8"/>
  <c r="AB4425" i="8"/>
  <c r="AB4426" i="8"/>
  <c r="AB4427" i="8"/>
  <c r="AB4428" i="8"/>
  <c r="AB4429" i="8"/>
  <c r="AB4430" i="8"/>
  <c r="AB4431" i="8"/>
  <c r="AB4432" i="8"/>
  <c r="AB4433" i="8"/>
  <c r="AB4434" i="8"/>
  <c r="AB4435" i="8"/>
  <c r="AB4436" i="8"/>
  <c r="AB4437" i="8"/>
  <c r="AB4438" i="8"/>
  <c r="AB4439" i="8"/>
  <c r="AB4440" i="8"/>
  <c r="AB4441" i="8"/>
  <c r="AB4442" i="8"/>
  <c r="AB4443" i="8"/>
  <c r="AB4444" i="8"/>
  <c r="AB4445" i="8"/>
  <c r="AB4446" i="8"/>
  <c r="AB4447" i="8"/>
  <c r="AB4448" i="8"/>
  <c r="AB4449" i="8"/>
  <c r="AB4450" i="8"/>
  <c r="AB4451" i="8"/>
  <c r="AB4452" i="8"/>
  <c r="AB4453" i="8"/>
  <c r="AB4454" i="8"/>
  <c r="AB4455" i="8"/>
  <c r="AB4456" i="8"/>
  <c r="AB4457" i="8"/>
  <c r="AB4458" i="8"/>
  <c r="AB4459" i="8"/>
  <c r="AB4460" i="8"/>
  <c r="AB4461" i="8"/>
  <c r="AB4462" i="8"/>
  <c r="AB4463" i="8"/>
  <c r="AB4464" i="8"/>
  <c r="AB4465" i="8"/>
  <c r="AB4466" i="8"/>
  <c r="AB4467" i="8"/>
  <c r="AB4468" i="8"/>
  <c r="AB4469" i="8"/>
  <c r="AB4470" i="8"/>
  <c r="AB4471" i="8"/>
  <c r="AB4472" i="8"/>
  <c r="AB4473" i="8"/>
  <c r="AB4474" i="8"/>
  <c r="AB4475" i="8"/>
  <c r="AB4476" i="8"/>
  <c r="AB4477" i="8"/>
  <c r="AB4478" i="8"/>
  <c r="AB4479" i="8"/>
  <c r="AB4480" i="8"/>
  <c r="AB4481" i="8"/>
  <c r="AB4482" i="8"/>
  <c r="AB4483" i="8"/>
  <c r="AB4484" i="8"/>
  <c r="AB4485" i="8"/>
  <c r="AB4486" i="8"/>
  <c r="AB4487" i="8"/>
  <c r="AB4488" i="8"/>
  <c r="AB4489" i="8"/>
  <c r="AB4490" i="8"/>
  <c r="AB4491" i="8"/>
  <c r="AB4492" i="8"/>
  <c r="AB4493" i="8"/>
  <c r="AB4494" i="8"/>
  <c r="AB4495" i="8"/>
  <c r="AB4496" i="8"/>
  <c r="AB4497" i="8"/>
  <c r="AB4498" i="8"/>
  <c r="AB4499" i="8"/>
  <c r="AB4500" i="8"/>
  <c r="AB4501" i="8"/>
  <c r="AB4502" i="8"/>
  <c r="AB4503" i="8"/>
  <c r="AB4504" i="8"/>
  <c r="AB4505" i="8"/>
  <c r="AB4506" i="8"/>
  <c r="AB4507" i="8"/>
  <c r="AB4508" i="8"/>
  <c r="AB4509" i="8"/>
  <c r="AB4510" i="8"/>
  <c r="AB4511" i="8"/>
  <c r="AB4512" i="8"/>
  <c r="AB4513" i="8"/>
  <c r="AB4514" i="8"/>
  <c r="AB4515" i="8"/>
  <c r="AB4516" i="8"/>
  <c r="AB4517" i="8"/>
  <c r="AB4518" i="8"/>
  <c r="AB4519" i="8"/>
  <c r="AB4520" i="8"/>
  <c r="AB4521" i="8"/>
  <c r="AB4522" i="8"/>
  <c r="AB4523" i="8"/>
  <c r="AB4524" i="8"/>
  <c r="AB4525" i="8"/>
  <c r="AB4526" i="8"/>
  <c r="AB4527" i="8"/>
  <c r="AB4528" i="8"/>
  <c r="AB4529" i="8"/>
  <c r="AB4530" i="8"/>
  <c r="AB4531" i="8"/>
  <c r="AB4532" i="8"/>
  <c r="AB4533" i="8"/>
  <c r="AB4534" i="8"/>
  <c r="AB4535" i="8"/>
  <c r="AB4536" i="8"/>
  <c r="AB4537" i="8"/>
  <c r="AB4538" i="8"/>
  <c r="AB4539" i="8"/>
  <c r="AB4540" i="8"/>
  <c r="AB4541" i="8"/>
  <c r="AB4542" i="8"/>
  <c r="AB4543" i="8"/>
  <c r="AB4544" i="8"/>
  <c r="AB4545" i="8"/>
  <c r="AB4546" i="8"/>
  <c r="AB4547" i="8"/>
  <c r="AB4548" i="8"/>
  <c r="AB4549" i="8"/>
  <c r="AB4550" i="8"/>
  <c r="AB4551" i="8"/>
  <c r="AB4552" i="8"/>
  <c r="AB4553" i="8"/>
  <c r="AB4554" i="8"/>
  <c r="AB4555" i="8"/>
  <c r="AB4556" i="8"/>
  <c r="AB4557" i="8"/>
  <c r="AB4558" i="8"/>
  <c r="AB4559" i="8"/>
  <c r="AB4560" i="8"/>
  <c r="AB4561" i="8"/>
  <c r="AB4562" i="8"/>
  <c r="AB4563" i="8"/>
  <c r="AB4564" i="8"/>
  <c r="AB4565" i="8"/>
  <c r="AB4566" i="8"/>
  <c r="AB4567" i="8"/>
  <c r="AB4568" i="8"/>
  <c r="AB4569" i="8"/>
  <c r="AB4570" i="8"/>
  <c r="AB4571" i="8"/>
  <c r="AB4572" i="8"/>
  <c r="AB4573" i="8"/>
  <c r="AB4574" i="8"/>
  <c r="AB4575" i="8"/>
  <c r="AB4576" i="8"/>
  <c r="AB4577" i="8"/>
  <c r="AB4578" i="8"/>
  <c r="AB4579" i="8"/>
  <c r="AB4580" i="8"/>
  <c r="AB4581" i="8"/>
  <c r="AB4582" i="8"/>
  <c r="AB4583" i="8"/>
  <c r="AB4584" i="8"/>
  <c r="AB4585" i="8"/>
  <c r="AB4586" i="8"/>
  <c r="AB4587" i="8"/>
  <c r="AB4588" i="8"/>
  <c r="AB4589" i="8"/>
  <c r="AB4590" i="8"/>
  <c r="AB4591" i="8"/>
  <c r="AB4592" i="8"/>
  <c r="AB4593" i="8"/>
  <c r="AB4594" i="8"/>
  <c r="AB4595" i="8"/>
  <c r="AB4596" i="8"/>
  <c r="AB4597" i="8"/>
  <c r="AB4598" i="8"/>
  <c r="AB4599" i="8"/>
  <c r="AB4600" i="8"/>
  <c r="AB4601" i="8"/>
  <c r="AB4602" i="8"/>
  <c r="AB4603" i="8"/>
  <c r="AB4604" i="8"/>
  <c r="AB4605" i="8"/>
  <c r="AB4606" i="8"/>
  <c r="AB4607" i="8"/>
  <c r="AB4608" i="8"/>
  <c r="AB4609" i="8"/>
  <c r="AB4610" i="8"/>
  <c r="AB4611" i="8"/>
  <c r="AB4612" i="8"/>
  <c r="AB4613" i="8"/>
  <c r="AB4614" i="8"/>
  <c r="AB4615" i="8"/>
  <c r="AB4616" i="8"/>
  <c r="AB4617" i="8"/>
  <c r="AB4618" i="8"/>
  <c r="AB4619" i="8"/>
  <c r="AB4620" i="8"/>
  <c r="AB4621" i="8"/>
  <c r="AB4622" i="8"/>
  <c r="AB4623" i="8"/>
  <c r="AB4624" i="8"/>
  <c r="AB4625" i="8"/>
  <c r="AB4626" i="8"/>
  <c r="AB4627" i="8"/>
  <c r="AB4628" i="8"/>
  <c r="AB4629" i="8"/>
  <c r="AB4630" i="8"/>
  <c r="AB4631" i="8"/>
  <c r="AB4632" i="8"/>
  <c r="AB4633" i="8"/>
  <c r="AB4634" i="8"/>
  <c r="AB4635" i="8"/>
  <c r="AB4636" i="8"/>
  <c r="AB4637" i="8"/>
  <c r="AB4638" i="8"/>
  <c r="AB4639" i="8"/>
  <c r="AB4640" i="8"/>
  <c r="AB4641" i="8"/>
  <c r="AB4642" i="8"/>
  <c r="AB4643" i="8"/>
  <c r="AB4644" i="8"/>
  <c r="AB4645" i="8"/>
  <c r="AB4646" i="8"/>
  <c r="AB4647" i="8"/>
  <c r="AB4648" i="8"/>
  <c r="AB4649" i="8"/>
  <c r="AB4650" i="8"/>
  <c r="AB4651" i="8"/>
  <c r="AB4652" i="8"/>
  <c r="AB4653" i="8"/>
  <c r="AB4654" i="8"/>
  <c r="AB4655" i="8"/>
  <c r="AB4656" i="8"/>
  <c r="AB4657" i="8"/>
  <c r="AB4658" i="8"/>
  <c r="AB4659" i="8"/>
  <c r="AB4660" i="8"/>
  <c r="AB4661" i="8"/>
  <c r="AB4662" i="8"/>
  <c r="AB4663" i="8"/>
  <c r="AB4664" i="8"/>
  <c r="AB4665" i="8"/>
  <c r="AB4666" i="8"/>
  <c r="AB4667" i="8"/>
  <c r="AB4668" i="8"/>
  <c r="AB4669" i="8"/>
  <c r="AB4670" i="8"/>
  <c r="AB4671" i="8"/>
  <c r="AB4672" i="8"/>
  <c r="AB4673" i="8"/>
  <c r="AB4674" i="8"/>
  <c r="AB4675" i="8"/>
  <c r="AB4676" i="8"/>
  <c r="AB4677" i="8"/>
  <c r="AB4678" i="8"/>
  <c r="AB4679" i="8"/>
  <c r="AB4680" i="8"/>
  <c r="AB4681" i="8"/>
  <c r="AB4682" i="8"/>
  <c r="AB4683" i="8"/>
  <c r="AB4684" i="8"/>
  <c r="AB4685" i="8"/>
  <c r="AB4686" i="8"/>
  <c r="AB4687" i="8"/>
  <c r="AB4688" i="8"/>
  <c r="AB4689" i="8"/>
  <c r="AB4690" i="8"/>
  <c r="AB4691" i="8"/>
  <c r="AB4692" i="8"/>
  <c r="AB4693" i="8"/>
  <c r="AB4694" i="8"/>
  <c r="AB4695" i="8"/>
  <c r="AB4696" i="8"/>
  <c r="AB4697" i="8"/>
  <c r="AB4698" i="8"/>
  <c r="AB4699" i="8"/>
  <c r="AB4700" i="8"/>
  <c r="AB4701" i="8"/>
  <c r="AB4702" i="8"/>
  <c r="AB4703" i="8"/>
  <c r="AB4704" i="8"/>
  <c r="AB4705" i="8"/>
  <c r="AB4706" i="8"/>
  <c r="AB4707" i="8"/>
  <c r="AB4708" i="8"/>
  <c r="AB4709" i="8"/>
  <c r="AB4710" i="8"/>
  <c r="AB4711" i="8"/>
  <c r="AB4712" i="8"/>
  <c r="AB4713" i="8"/>
  <c r="AB4714" i="8"/>
  <c r="AB4715" i="8"/>
  <c r="AB4716" i="8"/>
  <c r="AB4717" i="8"/>
  <c r="AB4718" i="8"/>
  <c r="AB4719" i="8"/>
  <c r="AB4720" i="8"/>
  <c r="AB4721" i="8"/>
  <c r="AB4722" i="8"/>
  <c r="AB4723" i="8"/>
  <c r="AB4724" i="8"/>
  <c r="AB4725" i="8"/>
  <c r="AB4726" i="8"/>
  <c r="AB4727" i="8"/>
  <c r="AB4728" i="8"/>
  <c r="AB4729" i="8"/>
  <c r="AB4730" i="8"/>
  <c r="AB4731" i="8"/>
  <c r="AB4732" i="8"/>
  <c r="AB4733" i="8"/>
  <c r="AB4734" i="8"/>
  <c r="AB4735" i="8"/>
  <c r="AB4736" i="8"/>
  <c r="AB4737" i="8"/>
  <c r="AB4738" i="8"/>
  <c r="AB4739" i="8"/>
  <c r="AB4740" i="8"/>
  <c r="AB4741" i="8"/>
  <c r="AB4742" i="8"/>
  <c r="AB4743" i="8"/>
  <c r="AB4744" i="8"/>
  <c r="AB4745" i="8"/>
  <c r="AB4746" i="8"/>
  <c r="AB4747" i="8"/>
  <c r="AB4748" i="8"/>
  <c r="AB4749" i="8"/>
  <c r="AB4750" i="8"/>
  <c r="AB4751" i="8"/>
  <c r="AB4752" i="8"/>
  <c r="AB4753" i="8"/>
  <c r="AB4754" i="8"/>
  <c r="AB4755" i="8"/>
  <c r="AB4756" i="8"/>
  <c r="AB4757" i="8"/>
  <c r="AB4758" i="8"/>
  <c r="AB4759" i="8"/>
  <c r="AB4760" i="8"/>
  <c r="AB4761" i="8"/>
  <c r="AB4762" i="8"/>
  <c r="AB4763" i="8"/>
  <c r="AB4764" i="8"/>
  <c r="AB4765" i="8"/>
  <c r="AB4766" i="8"/>
  <c r="AB4767" i="8"/>
  <c r="AB4768" i="8"/>
  <c r="AB4769" i="8"/>
  <c r="AB4770" i="8"/>
  <c r="AB4771" i="8"/>
  <c r="AB4772" i="8"/>
  <c r="AB4773" i="8"/>
  <c r="AB4774" i="8"/>
  <c r="AB4775" i="8"/>
  <c r="AB4776" i="8"/>
  <c r="AB4777" i="8"/>
  <c r="AB4778" i="8"/>
  <c r="AB4779" i="8"/>
  <c r="AB4780" i="8"/>
  <c r="AB4781" i="8"/>
  <c r="AB4782" i="8"/>
  <c r="AB4783" i="8"/>
  <c r="AB4784" i="8"/>
  <c r="AB4785" i="8"/>
  <c r="AB4786" i="8"/>
  <c r="AB4787" i="8"/>
  <c r="AB4788" i="8"/>
  <c r="AB4789" i="8"/>
  <c r="AB4790" i="8"/>
  <c r="AB4791" i="8"/>
  <c r="AB4792" i="8"/>
  <c r="AB4793" i="8"/>
  <c r="AB4794" i="8"/>
  <c r="AB4795" i="8"/>
  <c r="AB4796" i="8"/>
  <c r="AB4797" i="8"/>
  <c r="AB4798" i="8"/>
  <c r="AB4799" i="8"/>
  <c r="AB4800" i="8"/>
  <c r="AB4801" i="8"/>
  <c r="AB4802" i="8"/>
  <c r="AB4803" i="8"/>
  <c r="AB4804" i="8"/>
  <c r="AB4805" i="8"/>
  <c r="AB4806" i="8"/>
  <c r="AB4807" i="8"/>
  <c r="AB4808" i="8"/>
  <c r="AB4809" i="8"/>
  <c r="AB4810" i="8"/>
  <c r="AB4811" i="8"/>
  <c r="AB4812" i="8"/>
  <c r="AB4813" i="8"/>
  <c r="AB4814" i="8"/>
  <c r="AB4815" i="8"/>
  <c r="AB4816" i="8"/>
  <c r="AB4817" i="8"/>
  <c r="AB4818" i="8"/>
  <c r="AB4819" i="8"/>
  <c r="AB4820" i="8"/>
  <c r="AB4821" i="8"/>
  <c r="AB4822" i="8"/>
  <c r="AB4823" i="8"/>
  <c r="AB4824" i="8"/>
  <c r="AB4825" i="8"/>
  <c r="AB4826" i="8"/>
  <c r="AB4827" i="8"/>
  <c r="AB4828" i="8"/>
  <c r="AB4829" i="8"/>
  <c r="AB4830" i="8"/>
  <c r="AB4831" i="8"/>
  <c r="AB4832" i="8"/>
  <c r="AB4833" i="8"/>
  <c r="AB4834" i="8"/>
  <c r="AB4835" i="8"/>
  <c r="AB4836" i="8"/>
  <c r="AB4837" i="8"/>
  <c r="AB4838" i="8"/>
  <c r="AB4839" i="8"/>
  <c r="AB4840" i="8"/>
  <c r="AB4841" i="8"/>
  <c r="AB4842" i="8"/>
  <c r="AB4843" i="8"/>
  <c r="AB4844" i="8"/>
  <c r="AB4845" i="8"/>
  <c r="AB4846" i="8"/>
  <c r="AB4847" i="8"/>
  <c r="AB4848" i="8"/>
  <c r="AB4849" i="8"/>
  <c r="AB4850" i="8"/>
  <c r="AB4851" i="8"/>
  <c r="AB4852" i="8"/>
  <c r="AB4853" i="8"/>
  <c r="AB4854" i="8"/>
  <c r="AB4855" i="8"/>
  <c r="AB4856" i="8"/>
  <c r="AB4857" i="8"/>
  <c r="AB4858" i="8"/>
  <c r="AB4859" i="8"/>
  <c r="AB4860" i="8"/>
  <c r="AB4861" i="8"/>
  <c r="AB4862" i="8"/>
  <c r="AB4863" i="8"/>
  <c r="AB4864" i="8"/>
  <c r="AB4865" i="8"/>
  <c r="AB4866" i="8"/>
  <c r="AB4867" i="8"/>
  <c r="AB4868" i="8"/>
  <c r="AB4869" i="8"/>
  <c r="AB4870" i="8"/>
  <c r="AB4871" i="8"/>
  <c r="AB4872" i="8"/>
  <c r="AB4873" i="8"/>
  <c r="AB4874" i="8"/>
  <c r="AB4875" i="8"/>
  <c r="AB4876" i="8"/>
  <c r="AB4877" i="8"/>
  <c r="AB4878" i="8"/>
  <c r="AB4879" i="8"/>
  <c r="AB4880" i="8"/>
  <c r="AB4881" i="8"/>
  <c r="AB4882" i="8"/>
  <c r="AB4883" i="8"/>
  <c r="AB4884" i="8"/>
  <c r="AB4885" i="8"/>
  <c r="AB4886" i="8"/>
  <c r="AB4887" i="8"/>
  <c r="AB4888" i="8"/>
  <c r="AB4889" i="8"/>
  <c r="AB4890" i="8"/>
  <c r="AB4891" i="8"/>
  <c r="AB4892" i="8"/>
  <c r="AB4893" i="8"/>
  <c r="AB4894" i="8"/>
  <c r="AB4895" i="8"/>
  <c r="AB4896" i="8"/>
  <c r="AB4897" i="8"/>
  <c r="AB4898" i="8"/>
  <c r="AB4899" i="8"/>
  <c r="AB4900" i="8"/>
  <c r="AB4901" i="8"/>
  <c r="AB4902" i="8"/>
  <c r="AB4903" i="8"/>
  <c r="AB4904" i="8"/>
  <c r="AB4905" i="8"/>
  <c r="AB4906" i="8"/>
  <c r="AB4907" i="8"/>
  <c r="AB4908" i="8"/>
  <c r="AB4909" i="8"/>
  <c r="AB4910" i="8"/>
  <c r="AB4911" i="8"/>
  <c r="AB4912" i="8"/>
  <c r="AB4913" i="8"/>
  <c r="AB4914" i="8"/>
  <c r="AB4915" i="8"/>
  <c r="AB4916" i="8"/>
  <c r="AB4917" i="8"/>
  <c r="AB4918" i="8"/>
  <c r="AB4919" i="8"/>
  <c r="AB4920" i="8"/>
  <c r="AB4921" i="8"/>
  <c r="AB4922" i="8"/>
  <c r="AB4923" i="8"/>
  <c r="AB4924" i="8"/>
  <c r="AB4925" i="8"/>
  <c r="AB4926" i="8"/>
  <c r="AB4927" i="8"/>
  <c r="AB4928" i="8"/>
  <c r="AB4929" i="8"/>
  <c r="AB4930" i="8"/>
  <c r="AB4931" i="8"/>
  <c r="AB4932" i="8"/>
  <c r="AB4933" i="8"/>
  <c r="AB4934" i="8"/>
  <c r="AB4935" i="8"/>
  <c r="AB4936" i="8"/>
  <c r="AB4937" i="8"/>
  <c r="AB4938" i="8"/>
  <c r="AB4939" i="8"/>
  <c r="AB4940" i="8"/>
  <c r="AB4941" i="8"/>
  <c r="AB4942" i="8"/>
  <c r="AB4943" i="8"/>
  <c r="AB4944" i="8"/>
  <c r="AB4945" i="8"/>
  <c r="AB4946" i="8"/>
  <c r="AB4947" i="8"/>
  <c r="AB4948" i="8"/>
  <c r="AB4949" i="8"/>
  <c r="AB4950" i="8"/>
  <c r="AB4951" i="8"/>
  <c r="AB4952" i="8"/>
  <c r="AB4953" i="8"/>
  <c r="AB4954" i="8"/>
  <c r="AB4955" i="8"/>
  <c r="AB4956" i="8"/>
  <c r="AB4957" i="8"/>
  <c r="AB4958" i="8"/>
  <c r="AB4959" i="8"/>
  <c r="AB4960" i="8"/>
  <c r="AB4961" i="8"/>
  <c r="AB4962" i="8"/>
  <c r="AB4963" i="8"/>
  <c r="AB4964" i="8"/>
  <c r="AB4965" i="8"/>
  <c r="AB4966" i="8"/>
  <c r="AB4967" i="8"/>
  <c r="AB4968" i="8"/>
  <c r="AB4969" i="8"/>
  <c r="AB4970" i="8"/>
  <c r="AB4971" i="8"/>
  <c r="AB4972" i="8"/>
  <c r="AB4973" i="8"/>
  <c r="AB4974" i="8"/>
  <c r="AB4975" i="8"/>
  <c r="AB4976" i="8"/>
  <c r="AB4977" i="8"/>
  <c r="AB4978" i="8"/>
  <c r="AB4979" i="8"/>
  <c r="AB4980" i="8"/>
  <c r="AB4981" i="8"/>
  <c r="AB4982" i="8"/>
  <c r="AB4983" i="8"/>
  <c r="AB4984" i="8"/>
  <c r="AB4985" i="8"/>
  <c r="AB4986" i="8"/>
  <c r="AB4987" i="8"/>
  <c r="AB4988" i="8"/>
  <c r="AB4989" i="8"/>
  <c r="AB4990" i="8"/>
  <c r="AB4991" i="8"/>
  <c r="AB4992" i="8"/>
  <c r="AB4993" i="8"/>
  <c r="AB4994" i="8"/>
  <c r="AB4995" i="8"/>
  <c r="AB4996" i="8"/>
  <c r="AB4997" i="8"/>
  <c r="AB4998" i="8"/>
  <c r="AB4999" i="8"/>
  <c r="AB5000" i="8"/>
  <c r="AB5001" i="8"/>
  <c r="AB5002" i="8"/>
  <c r="AB5003" i="8"/>
  <c r="AB5004" i="8"/>
  <c r="AB5005" i="8"/>
  <c r="AB5006" i="8"/>
  <c r="AB5007" i="8"/>
  <c r="AB5008" i="8"/>
  <c r="AB5009" i="8"/>
  <c r="AB5010" i="8"/>
  <c r="AB5011" i="8"/>
  <c r="AB5012" i="8"/>
  <c r="AB5013" i="8"/>
  <c r="AB5014" i="8"/>
  <c r="AB5015" i="8"/>
  <c r="AB5016" i="8"/>
  <c r="AB5017" i="8"/>
  <c r="AB5018" i="8"/>
  <c r="AB5019" i="8"/>
  <c r="AB5020" i="8"/>
  <c r="AB5021" i="8"/>
  <c r="AB5022" i="8"/>
  <c r="AB5023" i="8"/>
  <c r="AB5024" i="8"/>
  <c r="AB5025" i="8"/>
  <c r="AB5026" i="8"/>
  <c r="AB5027" i="8"/>
  <c r="AB5028" i="8"/>
  <c r="AB5029" i="8"/>
  <c r="AB5030" i="8"/>
  <c r="AB5031" i="8"/>
  <c r="AB5032" i="8"/>
  <c r="AB5033" i="8"/>
  <c r="AB5034" i="8"/>
  <c r="AB5035" i="8"/>
  <c r="AB5036" i="8"/>
  <c r="AB5037" i="8"/>
  <c r="AB5038" i="8"/>
  <c r="AB5039" i="8"/>
  <c r="AB5040" i="8"/>
  <c r="AB5041" i="8"/>
  <c r="AB5042" i="8"/>
  <c r="AB5043" i="8"/>
  <c r="AB5044" i="8"/>
  <c r="AB5045" i="8"/>
  <c r="AB5046" i="8"/>
  <c r="AB5047" i="8"/>
  <c r="AB5048" i="8"/>
  <c r="AB5049" i="8"/>
  <c r="AB5050" i="8"/>
  <c r="AB5051" i="8"/>
  <c r="AB5052" i="8"/>
  <c r="AB5053" i="8"/>
  <c r="AB5054" i="8"/>
  <c r="AB5055" i="8"/>
  <c r="AB5056" i="8"/>
  <c r="AB5057" i="8"/>
  <c r="AB5058" i="8"/>
  <c r="AB5059" i="8"/>
  <c r="AB5060" i="8"/>
  <c r="AB5061" i="8"/>
  <c r="AB5062" i="8"/>
  <c r="AB5063" i="8"/>
  <c r="AB5064" i="8"/>
  <c r="AB5065" i="8"/>
  <c r="AB5066" i="8"/>
  <c r="AB5067" i="8"/>
  <c r="AB5068" i="8"/>
  <c r="AB5069" i="8"/>
  <c r="AB5070" i="8"/>
  <c r="AB5071" i="8"/>
  <c r="AB5072" i="8"/>
  <c r="AB5073" i="8"/>
  <c r="AB5074" i="8"/>
  <c r="AB5075" i="8"/>
  <c r="AB5076" i="8"/>
  <c r="AB5077" i="8"/>
  <c r="AB5078" i="8"/>
  <c r="AB5079" i="8"/>
  <c r="AB5080" i="8"/>
  <c r="AB5081" i="8"/>
  <c r="AB5082" i="8"/>
  <c r="AB5083" i="8"/>
  <c r="AB5084" i="8"/>
  <c r="AB5085" i="8"/>
  <c r="AB5086" i="8"/>
  <c r="AB5087" i="8"/>
  <c r="AB5088" i="8"/>
  <c r="AB5089" i="8"/>
  <c r="AB5090" i="8"/>
  <c r="AB5091" i="8"/>
  <c r="AB5092" i="8"/>
  <c r="AB5093" i="8"/>
  <c r="AB5094" i="8"/>
  <c r="AB5095" i="8"/>
  <c r="AB5096" i="8"/>
  <c r="AB5097" i="8"/>
  <c r="AB5098" i="8"/>
  <c r="AB5099" i="8"/>
  <c r="AB5100" i="8"/>
  <c r="AB5101" i="8"/>
  <c r="AB5102" i="8"/>
  <c r="AB5103" i="8"/>
  <c r="AB5104" i="8"/>
  <c r="AB5105" i="8"/>
  <c r="AB5106" i="8"/>
  <c r="AB5107" i="8"/>
  <c r="AB5108" i="8"/>
  <c r="AB5109" i="8"/>
  <c r="AB5110" i="8"/>
  <c r="AB5111" i="8"/>
  <c r="AB5112" i="8"/>
  <c r="AB5113" i="8"/>
  <c r="AB5114" i="8"/>
  <c r="AB5115" i="8"/>
  <c r="AB5116" i="8"/>
  <c r="AB5117" i="8"/>
  <c r="AB5118" i="8"/>
  <c r="AB5119" i="8"/>
  <c r="AB5120" i="8"/>
  <c r="AB5121" i="8"/>
  <c r="AB5122" i="8"/>
  <c r="AB5123" i="8"/>
  <c r="AB5124" i="8"/>
  <c r="AB5125" i="8"/>
  <c r="AB5126" i="8"/>
  <c r="AB5127" i="8"/>
  <c r="AB5128" i="8"/>
  <c r="AB5129" i="8"/>
  <c r="AB5130" i="8"/>
  <c r="AB5131" i="8"/>
  <c r="AB5132" i="8"/>
  <c r="AB5133" i="8"/>
  <c r="AB5134" i="8"/>
  <c r="AB5135" i="8"/>
  <c r="AB5136" i="8"/>
  <c r="AB5137" i="8"/>
  <c r="AB5138" i="8"/>
  <c r="AB5139" i="8"/>
  <c r="AB5140" i="8"/>
  <c r="AB5141" i="8"/>
  <c r="AB5142" i="8"/>
  <c r="AB5143" i="8"/>
  <c r="AB5144" i="8"/>
  <c r="AB5145" i="8"/>
  <c r="AB5146" i="8"/>
  <c r="AB5147" i="8"/>
  <c r="AB5148" i="8"/>
  <c r="AB5149" i="8"/>
  <c r="AB5150" i="8"/>
  <c r="AB5151" i="8"/>
  <c r="AB5152" i="8"/>
  <c r="AB5153" i="8"/>
  <c r="AB5154" i="8"/>
  <c r="AB5155" i="8"/>
  <c r="AB5156" i="8"/>
  <c r="AB5157" i="8"/>
  <c r="AB5158" i="8"/>
  <c r="AB5159" i="8"/>
  <c r="AB5160" i="8"/>
  <c r="AB5161" i="8"/>
  <c r="AB5162" i="8"/>
  <c r="AB5163" i="8"/>
  <c r="AB5164" i="8"/>
  <c r="AB5165" i="8"/>
  <c r="AB5166" i="8"/>
  <c r="AB5167" i="8"/>
  <c r="AB5168" i="8"/>
  <c r="AB5169" i="8"/>
  <c r="AB5170" i="8"/>
  <c r="AB5171" i="8"/>
  <c r="AB5172" i="8"/>
  <c r="AB5173" i="8"/>
  <c r="AB5174" i="8"/>
  <c r="AB5175" i="8"/>
  <c r="AB5176" i="8"/>
  <c r="AB5177" i="8"/>
  <c r="AB5178" i="8"/>
  <c r="AB5179" i="8"/>
  <c r="AB5180" i="8"/>
  <c r="AB5181" i="8"/>
  <c r="AB5182" i="8"/>
  <c r="AB5183" i="8"/>
  <c r="AB5184" i="8"/>
  <c r="AB5185" i="8"/>
  <c r="AB5186" i="8"/>
  <c r="AB5187" i="8"/>
  <c r="AB5188" i="8"/>
  <c r="AB5189" i="8"/>
  <c r="AB5190" i="8"/>
  <c r="AB5191" i="8"/>
  <c r="AB5192" i="8"/>
  <c r="AB5193" i="8"/>
  <c r="AB5194" i="8"/>
  <c r="AB5195" i="8"/>
  <c r="AB5196" i="8"/>
  <c r="AB5197" i="8"/>
  <c r="AB5198" i="8"/>
  <c r="AB5199" i="8"/>
  <c r="AB5200" i="8"/>
  <c r="AB5201" i="8"/>
  <c r="AB5202" i="8"/>
  <c r="AB5203" i="8"/>
  <c r="AB5204" i="8"/>
  <c r="AB5205" i="8"/>
  <c r="AB5206" i="8"/>
  <c r="AB5207" i="8"/>
  <c r="AB5208" i="8"/>
  <c r="AB5209" i="8"/>
  <c r="AB5210" i="8"/>
  <c r="AB5211" i="8"/>
  <c r="AB5212" i="8"/>
  <c r="AB5213" i="8"/>
  <c r="AB5214" i="8"/>
  <c r="AB5215" i="8"/>
  <c r="AB5216" i="8"/>
  <c r="AB5217" i="8"/>
  <c r="AB5218" i="8"/>
  <c r="AB5219" i="8"/>
  <c r="AB5220" i="8"/>
  <c r="AB5221" i="8"/>
  <c r="AB5222" i="8"/>
  <c r="AB5223" i="8"/>
  <c r="AB5224" i="8"/>
  <c r="AB5225" i="8"/>
  <c r="AB5226" i="8"/>
  <c r="AB5227" i="8"/>
  <c r="AB5228" i="8"/>
  <c r="AB5229" i="8"/>
  <c r="AB5230" i="8"/>
  <c r="AB5231" i="8"/>
  <c r="AB5232" i="8"/>
  <c r="AB5233" i="8"/>
  <c r="AB5234" i="8"/>
  <c r="AB5235" i="8"/>
  <c r="AB5236" i="8"/>
  <c r="AB5237" i="8"/>
  <c r="AB5238" i="8"/>
  <c r="AB5239" i="8"/>
  <c r="AB5240" i="8"/>
  <c r="AB5241" i="8"/>
  <c r="AB5242" i="8"/>
  <c r="AB5243" i="8"/>
  <c r="AB5244" i="8"/>
  <c r="AB5245" i="8"/>
  <c r="AB5246" i="8"/>
  <c r="AB5247" i="8"/>
  <c r="AB5248" i="8"/>
  <c r="AB5249" i="8"/>
  <c r="AB5250" i="8"/>
  <c r="AB5251" i="8"/>
  <c r="AB5252" i="8"/>
  <c r="AB5253" i="8"/>
  <c r="AB5254" i="8"/>
  <c r="AB5255" i="8"/>
  <c r="AB5256" i="8"/>
  <c r="AB5257" i="8"/>
  <c r="AB5258" i="8"/>
  <c r="AB5259" i="8"/>
  <c r="AB5260" i="8"/>
  <c r="AB5261" i="8"/>
  <c r="AB5262" i="8"/>
  <c r="AB5263" i="8"/>
  <c r="AB5264" i="8"/>
  <c r="AB5265" i="8"/>
  <c r="AB5266" i="8"/>
  <c r="AB5267" i="8"/>
  <c r="AB5268" i="8"/>
  <c r="AB5269" i="8"/>
  <c r="AB5270" i="8"/>
  <c r="AB5271" i="8"/>
  <c r="AB5272" i="8"/>
  <c r="AB5273" i="8"/>
  <c r="AB5274" i="8"/>
  <c r="AB5275" i="8"/>
  <c r="AB5276" i="8"/>
  <c r="AB5277" i="8"/>
  <c r="AB5278" i="8"/>
  <c r="AB5279" i="8"/>
  <c r="AB5280" i="8"/>
  <c r="AB5281" i="8"/>
  <c r="AB5282" i="8"/>
  <c r="AB5283" i="8"/>
  <c r="AB5284" i="8"/>
  <c r="AB5285" i="8"/>
  <c r="AB5286" i="8"/>
  <c r="AB5287" i="8"/>
  <c r="AB5288" i="8"/>
  <c r="AB5289" i="8"/>
  <c r="AB5290" i="8"/>
  <c r="AB5291" i="8"/>
  <c r="AB5292" i="8"/>
  <c r="AB5293" i="8"/>
  <c r="AB5294" i="8"/>
  <c r="AB5295" i="8"/>
  <c r="AB5296" i="8"/>
  <c r="AB5297" i="8"/>
  <c r="AB5298" i="8"/>
  <c r="AB5299" i="8"/>
  <c r="AB5300" i="8"/>
  <c r="AB5301" i="8"/>
  <c r="AB5302" i="8"/>
  <c r="AB5303" i="8"/>
  <c r="AB5304" i="8"/>
  <c r="AB5305" i="8"/>
  <c r="AB5306" i="8"/>
  <c r="AB5307" i="8"/>
  <c r="AB5308" i="8"/>
  <c r="AB5309" i="8"/>
  <c r="AB5310" i="8"/>
  <c r="AB5311" i="8"/>
  <c r="AB5312" i="8"/>
  <c r="AB5313" i="8"/>
  <c r="AB5314" i="8"/>
  <c r="AB5315" i="8"/>
  <c r="AB5316" i="8"/>
  <c r="AB5317" i="8"/>
  <c r="AB5318" i="8"/>
  <c r="AB5319" i="8"/>
  <c r="AB5320" i="8"/>
  <c r="AB5321" i="8"/>
  <c r="AB5322" i="8"/>
  <c r="AB5323" i="8"/>
  <c r="AB5324" i="8"/>
  <c r="AB5325" i="8"/>
  <c r="AB5326" i="8"/>
  <c r="AB5327" i="8"/>
  <c r="AB5328" i="8"/>
  <c r="AB5329" i="8"/>
  <c r="AB5330" i="8"/>
  <c r="AB5331" i="8"/>
  <c r="AB5332" i="8"/>
  <c r="AB5333" i="8"/>
  <c r="AB5334" i="8"/>
  <c r="AB5335" i="8"/>
  <c r="AB5336" i="8"/>
  <c r="AB5337" i="8"/>
  <c r="AB5338" i="8"/>
  <c r="AB5339" i="8"/>
  <c r="AB5340" i="8"/>
  <c r="AB5341" i="8"/>
  <c r="AB5342" i="8"/>
  <c r="AB5343" i="8"/>
  <c r="AB5344" i="8"/>
  <c r="AB5345" i="8"/>
  <c r="AB5346" i="8"/>
  <c r="AB5347" i="8"/>
  <c r="AB5348" i="8"/>
  <c r="AB5349" i="8"/>
  <c r="AB5350" i="8"/>
  <c r="AB5351" i="8"/>
  <c r="AB5352" i="8"/>
  <c r="AB5353" i="8"/>
  <c r="AB5354" i="8"/>
  <c r="AB5355" i="8"/>
  <c r="AB5356" i="8"/>
  <c r="AB5357" i="8"/>
  <c r="AB5358" i="8"/>
  <c r="AB5359" i="8"/>
  <c r="AB5360" i="8"/>
  <c r="AB5361" i="8"/>
  <c r="AB5362" i="8"/>
  <c r="AB5363" i="8"/>
  <c r="AB5364" i="8"/>
  <c r="AB5365" i="8"/>
  <c r="AB5366" i="8"/>
  <c r="AB5367" i="8"/>
  <c r="AB5368" i="8"/>
  <c r="AB5369" i="8"/>
  <c r="AB5370" i="8"/>
  <c r="AB5371" i="8"/>
  <c r="AB5372" i="8"/>
  <c r="AB5373" i="8"/>
  <c r="AB5374" i="8"/>
  <c r="AB5375" i="8"/>
  <c r="AB5376" i="8"/>
  <c r="AB5377" i="8"/>
  <c r="AB5378" i="8"/>
  <c r="AB5379" i="8"/>
  <c r="AB5380" i="8"/>
  <c r="AB5381" i="8"/>
  <c r="AB5382" i="8"/>
  <c r="AB5383" i="8"/>
  <c r="AB5384" i="8"/>
  <c r="AB5385" i="8"/>
  <c r="AB5386" i="8"/>
  <c r="AB5387" i="8"/>
  <c r="AB5388" i="8"/>
  <c r="AB5389" i="8"/>
  <c r="AB5390" i="8"/>
  <c r="AB5391" i="8"/>
  <c r="AB5392" i="8"/>
  <c r="AB5393" i="8"/>
  <c r="AB5394" i="8"/>
  <c r="AB5395" i="8"/>
  <c r="AB5396" i="8"/>
  <c r="AB5397" i="8"/>
  <c r="AB5398" i="8"/>
  <c r="AB5399" i="8"/>
  <c r="AB5400" i="8"/>
  <c r="AB5401" i="8"/>
  <c r="AB5402" i="8"/>
  <c r="AB5403" i="8"/>
  <c r="AB5404" i="8"/>
  <c r="AB5405" i="8"/>
  <c r="AB5406" i="8"/>
  <c r="AB5407" i="8"/>
  <c r="AB5408" i="8"/>
  <c r="AB5409" i="8"/>
  <c r="AB5410" i="8"/>
  <c r="AB5411" i="8"/>
  <c r="AB5412" i="8"/>
  <c r="AB5413" i="8"/>
  <c r="AB5414" i="8"/>
  <c r="AB5415" i="8"/>
  <c r="AB5416" i="8"/>
  <c r="AB5417" i="8"/>
  <c r="AB5418" i="8"/>
  <c r="AB5419" i="8"/>
  <c r="AB5420" i="8"/>
  <c r="AB5421" i="8"/>
  <c r="AB5422" i="8"/>
  <c r="AB5423" i="8"/>
  <c r="AB5424" i="8"/>
  <c r="AB5425" i="8"/>
  <c r="AB5426" i="8"/>
  <c r="AB5427" i="8"/>
  <c r="AB5428" i="8"/>
  <c r="AB5429" i="8"/>
  <c r="AB5430" i="8"/>
  <c r="AB5431" i="8"/>
  <c r="AB5432" i="8"/>
  <c r="AB5433" i="8"/>
  <c r="AB5434" i="8"/>
  <c r="AB5435" i="8"/>
  <c r="AB5436" i="8"/>
  <c r="AB5437" i="8"/>
  <c r="AB5438" i="8"/>
  <c r="AB5439" i="8"/>
  <c r="AB5440" i="8"/>
  <c r="AB5441" i="8"/>
  <c r="AB5442" i="8"/>
  <c r="AB5443" i="8"/>
  <c r="AB5444" i="8"/>
  <c r="AB5445" i="8"/>
  <c r="AB5446" i="8"/>
  <c r="AB5447" i="8"/>
  <c r="AB5448" i="8"/>
  <c r="AB5449" i="8"/>
  <c r="AB5450" i="8"/>
  <c r="AB5451" i="8"/>
  <c r="AB5452" i="8"/>
  <c r="AB5453" i="8"/>
  <c r="AB5454" i="8"/>
  <c r="AB5455" i="8"/>
  <c r="AB5456" i="8"/>
  <c r="AB5457" i="8"/>
  <c r="AB5458" i="8"/>
  <c r="AB5459" i="8"/>
  <c r="AB5460" i="8"/>
  <c r="AB5461" i="8"/>
  <c r="AB5462" i="8"/>
  <c r="AB5463" i="8"/>
  <c r="AB5464" i="8"/>
  <c r="AB5465" i="8"/>
  <c r="AB5466" i="8"/>
  <c r="AB5467" i="8"/>
  <c r="AB5468" i="8"/>
  <c r="AB5469" i="8"/>
  <c r="AB5470" i="8"/>
  <c r="AB5471" i="8"/>
  <c r="AB5472" i="8"/>
  <c r="AB5473" i="8"/>
  <c r="AB5474" i="8"/>
  <c r="AB5475" i="8"/>
  <c r="AB5476" i="8"/>
  <c r="AB5477" i="8"/>
  <c r="AB5478" i="8"/>
  <c r="AB5479" i="8"/>
  <c r="AB5480" i="8"/>
  <c r="AB5481" i="8"/>
  <c r="AB5482" i="8"/>
  <c r="AB5483" i="8"/>
  <c r="AB5484" i="8"/>
  <c r="AB5485" i="8"/>
  <c r="AB5486" i="8"/>
  <c r="AB5487" i="8"/>
  <c r="AB5488" i="8"/>
  <c r="AB5489" i="8"/>
  <c r="AB5490" i="8"/>
  <c r="AB5491" i="8"/>
  <c r="AB5492" i="8"/>
  <c r="AB5493" i="8"/>
  <c r="AB5494" i="8"/>
  <c r="AB5495" i="8"/>
  <c r="AB5496" i="8"/>
  <c r="AB5497" i="8"/>
  <c r="AB5498" i="8"/>
  <c r="AB5499" i="8"/>
  <c r="AB5500" i="8"/>
  <c r="AB5501" i="8"/>
  <c r="AB5502" i="8"/>
  <c r="AB5503" i="8"/>
  <c r="AB5504" i="8"/>
  <c r="AB5505" i="8"/>
  <c r="AB5506" i="8"/>
  <c r="AB5507" i="8"/>
  <c r="AB5508" i="8"/>
  <c r="AB5509" i="8"/>
  <c r="AB5510" i="8"/>
  <c r="AB5511" i="8"/>
  <c r="AB5512" i="8"/>
  <c r="AB5513" i="8"/>
  <c r="AB5514" i="8"/>
  <c r="AB5515" i="8"/>
  <c r="AB5516" i="8"/>
  <c r="AB5517" i="8"/>
  <c r="AB5518" i="8"/>
  <c r="AB5519" i="8"/>
  <c r="AB5520" i="8"/>
  <c r="AB5521" i="8"/>
  <c r="AB5522" i="8"/>
  <c r="AB5523" i="8"/>
  <c r="AB5524" i="8"/>
  <c r="AB5525" i="8"/>
  <c r="AB5526" i="8"/>
  <c r="AB5527" i="8"/>
  <c r="AB5528" i="8"/>
  <c r="AB5529" i="8"/>
  <c r="AB5530" i="8"/>
  <c r="AB5531" i="8"/>
  <c r="AB5532" i="8"/>
  <c r="AB5533" i="8"/>
  <c r="AB5534" i="8"/>
  <c r="AB5535" i="8"/>
  <c r="AB5536" i="8"/>
  <c r="AB5537" i="8"/>
  <c r="AB5538" i="8"/>
  <c r="AB5539" i="8"/>
  <c r="AB5540" i="8"/>
  <c r="AB5541" i="8"/>
  <c r="AB5542" i="8"/>
  <c r="AB5543" i="8"/>
  <c r="AB5544" i="8"/>
  <c r="AB5545" i="8"/>
  <c r="AB5546" i="8"/>
  <c r="AB5547" i="8"/>
  <c r="AB5548" i="8"/>
  <c r="AB5549" i="8"/>
  <c r="AB5550" i="8"/>
  <c r="AB5551" i="8"/>
  <c r="AB5552" i="8"/>
  <c r="AB5553" i="8"/>
  <c r="AB5554" i="8"/>
  <c r="AB5555" i="8"/>
  <c r="AB5556" i="8"/>
  <c r="AB5557" i="8"/>
  <c r="AB5558" i="8"/>
  <c r="AB5559" i="8"/>
  <c r="AB5560" i="8"/>
  <c r="AB5561" i="8"/>
  <c r="AB5562" i="8"/>
  <c r="AB5563" i="8"/>
  <c r="AB5564" i="8"/>
  <c r="AB5565" i="8"/>
  <c r="AB5566" i="8"/>
  <c r="AB5567" i="8"/>
  <c r="AB5568" i="8"/>
  <c r="AB5569" i="8"/>
  <c r="AB5570" i="8"/>
  <c r="AB5571" i="8"/>
  <c r="AB5572" i="8"/>
  <c r="AB5573" i="8"/>
  <c r="AB5574" i="8"/>
  <c r="AB5575" i="8"/>
  <c r="AB5576" i="8"/>
  <c r="AB5577" i="8"/>
  <c r="AB5578" i="8"/>
  <c r="AB5579" i="8"/>
  <c r="AB5580" i="8"/>
  <c r="AB5581" i="8"/>
  <c r="AB5582" i="8"/>
  <c r="AB5583" i="8"/>
  <c r="AB5584" i="8"/>
  <c r="AB5585" i="8"/>
  <c r="AB5586" i="8"/>
  <c r="AB5587" i="8"/>
  <c r="AB5588" i="8"/>
  <c r="AB5589" i="8"/>
  <c r="AB5590" i="8"/>
  <c r="AB5591" i="8"/>
  <c r="AB5592" i="8"/>
  <c r="AB5593" i="8"/>
  <c r="AB5594" i="8"/>
  <c r="AB5595" i="8"/>
  <c r="AB5596" i="8"/>
  <c r="AB5597" i="8"/>
  <c r="AB5598" i="8"/>
  <c r="AB5599" i="8"/>
  <c r="AB5600" i="8"/>
  <c r="AB5601" i="8"/>
  <c r="AB5602" i="8"/>
  <c r="AB5603" i="8"/>
  <c r="AB5604" i="8"/>
  <c r="AB5605" i="8"/>
  <c r="AB5606" i="8"/>
  <c r="AB5607" i="8"/>
  <c r="AB5608" i="8"/>
  <c r="AB5609" i="8"/>
  <c r="AB5610" i="8"/>
  <c r="AB5611" i="8"/>
  <c r="AB5612" i="8"/>
  <c r="AB5613" i="8"/>
  <c r="AB5614" i="8"/>
  <c r="AB5615" i="8"/>
  <c r="AB5616" i="8"/>
  <c r="AB5617" i="8"/>
  <c r="AB5618" i="8"/>
  <c r="AB5619" i="8"/>
  <c r="AB5620" i="8"/>
  <c r="AB5621" i="8"/>
  <c r="AB5622" i="8"/>
  <c r="AB5623" i="8"/>
  <c r="AB5624" i="8"/>
  <c r="AB5625" i="8"/>
  <c r="AB5626" i="8"/>
  <c r="AB5627" i="8"/>
  <c r="AB5628" i="8"/>
  <c r="AB5629" i="8"/>
  <c r="AB5630" i="8"/>
  <c r="AB5631" i="8"/>
  <c r="AB5632" i="8"/>
  <c r="AB5633" i="8"/>
  <c r="AB5634" i="8"/>
  <c r="AB5635" i="8"/>
  <c r="AB5636" i="8"/>
  <c r="AB5637" i="8"/>
  <c r="AB5638" i="8"/>
  <c r="AB5639" i="8"/>
  <c r="AB5640" i="8"/>
  <c r="AB5641" i="8"/>
  <c r="AB5642" i="8"/>
  <c r="AB5643" i="8"/>
  <c r="AB5644" i="8"/>
  <c r="AB5645" i="8"/>
  <c r="AB5646" i="8"/>
  <c r="AB5647" i="8"/>
  <c r="AB5648" i="8"/>
  <c r="AB5649" i="8"/>
  <c r="AB5650" i="8"/>
  <c r="AB5651" i="8"/>
  <c r="AB5652" i="8"/>
  <c r="AB5653" i="8"/>
  <c r="AB5654" i="8"/>
  <c r="AB5655" i="8"/>
  <c r="AB5656" i="8"/>
  <c r="AB5657" i="8"/>
  <c r="AB5658" i="8"/>
  <c r="AB5659" i="8"/>
  <c r="AB5660" i="8"/>
  <c r="AB5661" i="8"/>
  <c r="AB5662" i="8"/>
  <c r="AB5663" i="8"/>
  <c r="AB5664" i="8"/>
  <c r="AB5665" i="8"/>
  <c r="AB5666" i="8"/>
  <c r="AB5667" i="8"/>
  <c r="AB5668" i="8"/>
  <c r="AB5669" i="8"/>
  <c r="AB5670" i="8"/>
  <c r="AB5671" i="8"/>
  <c r="AB5672" i="8"/>
  <c r="AB5673" i="8"/>
  <c r="AB5674" i="8"/>
  <c r="AB5675" i="8"/>
  <c r="AB5676" i="8"/>
  <c r="AB5677" i="8"/>
  <c r="AB5678" i="8"/>
  <c r="AB5679" i="8"/>
  <c r="AB5680" i="8"/>
  <c r="AB5681" i="8"/>
  <c r="AB5682" i="8"/>
  <c r="AB5683" i="8"/>
  <c r="AB5684" i="8"/>
  <c r="AB5685" i="8"/>
  <c r="AB5686" i="8"/>
  <c r="AB5687" i="8"/>
  <c r="AB5688" i="8"/>
  <c r="AB5689" i="8"/>
  <c r="AB5690" i="8"/>
  <c r="AB5691" i="8"/>
  <c r="AB5692" i="8"/>
  <c r="AB5693" i="8"/>
  <c r="AB5694" i="8"/>
  <c r="AB5695" i="8"/>
  <c r="AB5696" i="8"/>
  <c r="AB5697" i="8"/>
  <c r="AB5698" i="8"/>
  <c r="AB5699" i="8"/>
  <c r="AB5700" i="8"/>
  <c r="AB5701" i="8"/>
  <c r="AB5702" i="8"/>
  <c r="AB5703" i="8"/>
  <c r="AB5704" i="8"/>
  <c r="AB5705" i="8"/>
  <c r="AB5706" i="8"/>
  <c r="AB5707" i="8"/>
  <c r="AB5708" i="8"/>
  <c r="AB5709" i="8"/>
  <c r="AB5710" i="8"/>
  <c r="AB5711" i="8"/>
  <c r="AB5712" i="8"/>
  <c r="AB5713" i="8"/>
  <c r="AB5714" i="8"/>
  <c r="AB5715" i="8"/>
  <c r="AB5716" i="8"/>
  <c r="AB5717" i="8"/>
  <c r="AB5718" i="8"/>
  <c r="AB5719" i="8"/>
  <c r="AB5720" i="8"/>
  <c r="AB5721" i="8"/>
  <c r="AB5722" i="8"/>
  <c r="AB5723" i="8"/>
  <c r="AB5724" i="8"/>
  <c r="AB5725" i="8"/>
  <c r="AB5726" i="8"/>
  <c r="AB5727" i="8"/>
  <c r="AB5728" i="8"/>
  <c r="AB5729" i="8"/>
  <c r="AB5730" i="8"/>
  <c r="AB5731" i="8"/>
  <c r="AB5732" i="8"/>
  <c r="AB5733" i="8"/>
  <c r="AB5734" i="8"/>
  <c r="AB5735" i="8"/>
  <c r="AB5736" i="8"/>
  <c r="AB5737" i="8"/>
  <c r="AB5738" i="8"/>
  <c r="AB5739" i="8"/>
  <c r="AB5740" i="8"/>
  <c r="AB5741" i="8"/>
  <c r="AB5742" i="8"/>
  <c r="AB5743" i="8"/>
  <c r="AB5744" i="8"/>
  <c r="AB5745" i="8"/>
  <c r="AB5746" i="8"/>
  <c r="AB5747" i="8"/>
  <c r="AB5748" i="8"/>
  <c r="AB5749" i="8"/>
  <c r="AB5750" i="8"/>
  <c r="AB5751" i="8"/>
  <c r="AB5752" i="8"/>
  <c r="AB5753" i="8"/>
  <c r="AB5754" i="8"/>
  <c r="AB5755" i="8"/>
  <c r="AB5756" i="8"/>
  <c r="AB5757" i="8"/>
  <c r="AB5758" i="8"/>
  <c r="AB5759" i="8"/>
  <c r="AB5760" i="8"/>
  <c r="AB5761" i="8"/>
  <c r="AB5762" i="8"/>
  <c r="AB5763" i="8"/>
  <c r="AB5764" i="8"/>
  <c r="AB5765" i="8"/>
  <c r="AB5766" i="8"/>
  <c r="AB5767" i="8"/>
  <c r="AB5768" i="8"/>
  <c r="AB5769" i="8"/>
  <c r="AB5770" i="8"/>
  <c r="AB5771" i="8"/>
  <c r="AB5772" i="8"/>
  <c r="AB5773" i="8"/>
  <c r="AB5774" i="8"/>
  <c r="AB5775" i="8"/>
  <c r="AB5776" i="8"/>
  <c r="AB5777" i="8"/>
  <c r="AB5778" i="8"/>
  <c r="AB5779" i="8"/>
  <c r="AB5780" i="8"/>
  <c r="AB5781" i="8"/>
  <c r="AB5782" i="8"/>
  <c r="AB5783" i="8"/>
  <c r="AB5784" i="8"/>
  <c r="AB5785" i="8"/>
  <c r="AB5786" i="8"/>
  <c r="AB5787" i="8"/>
  <c r="AB5788" i="8"/>
  <c r="AB5789" i="8"/>
  <c r="AB5790" i="8"/>
  <c r="AB5791" i="8"/>
  <c r="AB5792" i="8"/>
  <c r="AB5793" i="8"/>
  <c r="AB5794" i="8"/>
  <c r="AB5795" i="8"/>
  <c r="AB5796" i="8"/>
  <c r="AB5797" i="8"/>
  <c r="AB5798" i="8"/>
  <c r="AB5799" i="8"/>
  <c r="AB5800" i="8"/>
  <c r="AB5801" i="8"/>
  <c r="AB5802" i="8"/>
  <c r="AB5803" i="8"/>
  <c r="AB5804" i="8"/>
  <c r="AB5805" i="8"/>
  <c r="AB5806" i="8"/>
  <c r="AB5807" i="8"/>
  <c r="AB5808" i="8"/>
  <c r="AB5809" i="8"/>
  <c r="AB5810" i="8"/>
  <c r="AB5811" i="8"/>
  <c r="AB5812" i="8"/>
  <c r="AB5813" i="8"/>
  <c r="AB5814" i="8"/>
  <c r="AB5815" i="8"/>
  <c r="AB5816" i="8"/>
  <c r="AB5817" i="8"/>
  <c r="AB5818" i="8"/>
  <c r="AB5819" i="8"/>
  <c r="AB5820" i="8"/>
  <c r="AB5821" i="8"/>
  <c r="AB5822" i="8"/>
  <c r="AB5823" i="8"/>
  <c r="AB5824" i="8"/>
  <c r="AB5825" i="8"/>
  <c r="AB5826" i="8"/>
  <c r="AB5827" i="8"/>
  <c r="AB5828" i="8"/>
  <c r="AB5829" i="8"/>
  <c r="AB5830" i="8"/>
  <c r="AB5831" i="8"/>
  <c r="AB5832" i="8"/>
  <c r="AB5833" i="8"/>
  <c r="AB5834" i="8"/>
  <c r="AB5835" i="8"/>
  <c r="AB5836" i="8"/>
  <c r="AB5837" i="8"/>
  <c r="AB5838" i="8"/>
  <c r="AB5839" i="8"/>
  <c r="AB5840" i="8"/>
  <c r="AB5841" i="8"/>
  <c r="AB5842" i="8"/>
  <c r="AB5843" i="8"/>
  <c r="AB5844" i="8"/>
  <c r="AB5845" i="8"/>
  <c r="AB5846" i="8"/>
  <c r="AB5847" i="8"/>
  <c r="AB5848" i="8"/>
  <c r="AB5849" i="8"/>
  <c r="AB5850" i="8"/>
  <c r="AB5851" i="8"/>
  <c r="AB5852" i="8"/>
  <c r="AB5853" i="8"/>
  <c r="AB5854" i="8"/>
  <c r="AB5855" i="8"/>
  <c r="AB5856" i="8"/>
  <c r="AB5857" i="8"/>
  <c r="AB5858" i="8"/>
  <c r="AB5859" i="8"/>
  <c r="AB5860" i="8"/>
  <c r="AB5861" i="8"/>
  <c r="AB5862" i="8"/>
  <c r="AB5863" i="8"/>
  <c r="AB5864" i="8"/>
  <c r="AB5865" i="8"/>
  <c r="AB5866" i="8"/>
  <c r="AB5867" i="8"/>
  <c r="AB5868" i="8"/>
  <c r="AB5869" i="8"/>
  <c r="AB5870" i="8"/>
  <c r="AB5871" i="8"/>
  <c r="AB5872" i="8"/>
  <c r="AB5873" i="8"/>
  <c r="AB5874" i="8"/>
  <c r="AB5875" i="8"/>
  <c r="AB5876" i="8"/>
  <c r="AB5877" i="8"/>
  <c r="AB5878" i="8"/>
  <c r="AB5879" i="8"/>
  <c r="AB5880" i="8"/>
  <c r="AB5881" i="8"/>
  <c r="AB5882" i="8"/>
  <c r="AB5883" i="8"/>
  <c r="AB5884" i="8"/>
  <c r="AB5885" i="8"/>
  <c r="AB5886" i="8"/>
  <c r="AB5887" i="8"/>
  <c r="AB5888" i="8"/>
  <c r="AB5889" i="8"/>
  <c r="AB5890" i="8"/>
  <c r="AB5891" i="8"/>
  <c r="AB5892" i="8"/>
  <c r="AB5893" i="8"/>
  <c r="AB5894" i="8"/>
  <c r="AB5895" i="8"/>
  <c r="AB5896" i="8"/>
  <c r="AB5897" i="8"/>
  <c r="AB5898" i="8"/>
  <c r="AB5899" i="8"/>
  <c r="AB5900" i="8"/>
  <c r="AB5901" i="8"/>
  <c r="AB5902" i="8"/>
  <c r="AB5903" i="8"/>
  <c r="AB5904" i="8"/>
  <c r="AB5905" i="8"/>
  <c r="AB5906" i="8"/>
  <c r="AB5907" i="8"/>
  <c r="AB5908" i="8"/>
  <c r="AB5909" i="8"/>
  <c r="AB5910" i="8"/>
  <c r="AB5911" i="8"/>
  <c r="AB5912" i="8"/>
  <c r="AB5913" i="8"/>
  <c r="AB5914" i="8"/>
  <c r="AB5915" i="8"/>
  <c r="AB5916" i="8"/>
  <c r="AB5917" i="8"/>
  <c r="AB5918" i="8"/>
  <c r="AB5919" i="8"/>
  <c r="AB5920" i="8"/>
  <c r="AB5921" i="8"/>
  <c r="AB5922" i="8"/>
  <c r="AB5923" i="8"/>
  <c r="AB5924" i="8"/>
  <c r="AB5925" i="8"/>
  <c r="AB5926" i="8"/>
  <c r="AB5927" i="8"/>
  <c r="AB5928" i="8"/>
  <c r="AB5929" i="8"/>
  <c r="AB5930" i="8"/>
  <c r="AB5931" i="8"/>
  <c r="AB5932" i="8"/>
  <c r="AB5933" i="8"/>
  <c r="AB5934" i="8"/>
  <c r="AB5935" i="8"/>
  <c r="AB5936" i="8"/>
  <c r="AB5937" i="8"/>
  <c r="AB5938" i="8"/>
  <c r="AB5939" i="8"/>
  <c r="AB5940" i="8"/>
  <c r="AB5941" i="8"/>
  <c r="AB5942" i="8"/>
  <c r="AB5943" i="8"/>
  <c r="AB5944" i="8"/>
  <c r="AB5945" i="8"/>
  <c r="AB5946" i="8"/>
  <c r="AB5947" i="8"/>
  <c r="AB5948" i="8"/>
  <c r="AB5949" i="8"/>
  <c r="AB5950" i="8"/>
  <c r="AB5951" i="8"/>
  <c r="AB5952" i="8"/>
  <c r="AB5953" i="8"/>
  <c r="AB5954" i="8"/>
  <c r="AB5955" i="8"/>
  <c r="AB5956" i="8"/>
  <c r="AB5957" i="8"/>
  <c r="AB5958" i="8"/>
  <c r="AB5959" i="8"/>
  <c r="AB5960" i="8"/>
  <c r="AB5961" i="8"/>
  <c r="AB5962" i="8"/>
  <c r="AB5963" i="8"/>
  <c r="AB5964" i="8"/>
  <c r="AB5965" i="8"/>
  <c r="AB5966" i="8"/>
  <c r="AB5967" i="8"/>
  <c r="AB5968" i="8"/>
  <c r="AB5969" i="8"/>
  <c r="AB5970" i="8"/>
  <c r="AB5971" i="8"/>
  <c r="AB5972" i="8"/>
  <c r="AB5973" i="8"/>
  <c r="AB5974" i="8"/>
  <c r="AB5975" i="8"/>
  <c r="AB5976" i="8"/>
  <c r="AB5977" i="8"/>
  <c r="AB5978" i="8"/>
  <c r="AB5979" i="8"/>
  <c r="AB5980" i="8"/>
  <c r="AB5981" i="8"/>
  <c r="AB5982" i="8"/>
  <c r="AB5983" i="8"/>
  <c r="AB5984" i="8"/>
  <c r="AB5985" i="8"/>
  <c r="AB5986" i="8"/>
  <c r="AB5987" i="8"/>
  <c r="AB5988" i="8"/>
  <c r="AB5989" i="8"/>
  <c r="AB5990" i="8"/>
  <c r="AB5991" i="8"/>
  <c r="AB5992" i="8"/>
  <c r="AB5993" i="8"/>
  <c r="AB5994" i="8"/>
  <c r="AB5995" i="8"/>
  <c r="AB5996" i="8"/>
  <c r="AB5997" i="8"/>
  <c r="AB5998" i="8"/>
  <c r="AB5999" i="8"/>
  <c r="AB6000" i="8"/>
  <c r="B3" i="8" l="1"/>
  <c r="B4" i="1" s="1"/>
  <c r="B4" i="8"/>
  <c r="B5" i="1" s="1"/>
  <c r="B5" i="8"/>
  <c r="B6" i="1" s="1"/>
  <c r="B6" i="8"/>
  <c r="B7" i="1" s="1"/>
  <c r="B7" i="8"/>
  <c r="B8" i="1" s="1"/>
  <c r="B8" i="8"/>
  <c r="B9" i="1" s="1"/>
  <c r="B9" i="8"/>
  <c r="B10" i="1" s="1"/>
  <c r="B10" i="8"/>
  <c r="B11" i="1" s="1"/>
  <c r="B11" i="8"/>
  <c r="B12" i="1" s="1"/>
  <c r="B12" i="8"/>
  <c r="B13" i="1" s="1"/>
  <c r="B13" i="8"/>
  <c r="B14" i="1" s="1"/>
  <c r="B14" i="8"/>
  <c r="B15" i="1" s="1"/>
  <c r="B15" i="8"/>
  <c r="B16" i="1" s="1"/>
  <c r="B16" i="8"/>
  <c r="B17" i="1" s="1"/>
  <c r="B17" i="8"/>
  <c r="B18" i="1" s="1"/>
  <c r="B18" i="8"/>
  <c r="B19" i="1" s="1"/>
  <c r="B19" i="8"/>
  <c r="B20" i="1" s="1"/>
  <c r="B20" i="8"/>
  <c r="B21" i="1" s="1"/>
  <c r="B21" i="8"/>
  <c r="B22" i="1" s="1"/>
  <c r="B22" i="8"/>
  <c r="B23" i="1" s="1"/>
  <c r="B23" i="8"/>
  <c r="B24" i="1" s="1"/>
  <c r="B24" i="8"/>
  <c r="B25" i="1" s="1"/>
  <c r="B25" i="8"/>
  <c r="B26" i="1" s="1"/>
  <c r="B26" i="8"/>
  <c r="B27" i="1" s="1"/>
  <c r="B27" i="8"/>
  <c r="B28" i="1" s="1"/>
  <c r="B28" i="8"/>
  <c r="B29" i="1" s="1"/>
  <c r="B29" i="8"/>
  <c r="B30" i="1" s="1"/>
  <c r="B30" i="8"/>
  <c r="B31" i="1" s="1"/>
  <c r="B31" i="8"/>
  <c r="B32" i="1" s="1"/>
  <c r="B32" i="8"/>
  <c r="B33" i="1" s="1"/>
  <c r="B33" i="8"/>
  <c r="B34" i="1" s="1"/>
  <c r="B34" i="8"/>
  <c r="B35" i="1" s="1"/>
  <c r="B35" i="8"/>
  <c r="B36" i="1" s="1"/>
  <c r="B36" i="8"/>
  <c r="B37" i="1" s="1"/>
  <c r="B37" i="8"/>
  <c r="B38" i="1" s="1"/>
  <c r="B38" i="8"/>
  <c r="B39" i="1" s="1"/>
  <c r="B39" i="8"/>
  <c r="B40" i="1" s="1"/>
  <c r="B40" i="8"/>
  <c r="B41" i="1" s="1"/>
  <c r="B41" i="8"/>
  <c r="B42" i="1" s="1"/>
  <c r="B42" i="8"/>
  <c r="B43" i="1" s="1"/>
  <c r="B43" i="8"/>
  <c r="B44" i="1" s="1"/>
  <c r="B44" i="8"/>
  <c r="B45" i="1" s="1"/>
  <c r="B45" i="8"/>
  <c r="B46" i="1" s="1"/>
  <c r="B46" i="8"/>
  <c r="B47" i="1" s="1"/>
  <c r="B47" i="8"/>
  <c r="B48" i="1" s="1"/>
  <c r="B48" i="8"/>
  <c r="B49" i="1" s="1"/>
  <c r="B49" i="8"/>
  <c r="B50" i="1" s="1"/>
  <c r="B50" i="8"/>
  <c r="B51" i="1" s="1"/>
  <c r="B51" i="8"/>
  <c r="B52" i="1" s="1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" i="1" s="1"/>
  <c r="AA3" i="8" l="1"/>
  <c r="AC3" i="8" s="1"/>
  <c r="AA4" i="8"/>
  <c r="AC4" i="8" s="1"/>
  <c r="AA5" i="8"/>
  <c r="AC5" i="8" s="1"/>
  <c r="AA6" i="8"/>
  <c r="AC6" i="8" s="1"/>
  <c r="AA7" i="8"/>
  <c r="AC7" i="8" s="1"/>
  <c r="AA8" i="8"/>
  <c r="AC8" i="8" s="1"/>
  <c r="AA9" i="8"/>
  <c r="AC9" i="8" s="1"/>
  <c r="AA10" i="8"/>
  <c r="AC10" i="8" s="1"/>
  <c r="AA11" i="8"/>
  <c r="AC11" i="8" s="1"/>
  <c r="AA12" i="8"/>
  <c r="AC12" i="8" s="1"/>
  <c r="AA13" i="8"/>
  <c r="AC13" i="8" s="1"/>
  <c r="AA14" i="8"/>
  <c r="AC14" i="8" s="1"/>
  <c r="AA15" i="8"/>
  <c r="AC15" i="8" s="1"/>
  <c r="AA16" i="8"/>
  <c r="AC16" i="8" s="1"/>
  <c r="AA17" i="8"/>
  <c r="AC17" i="8" s="1"/>
  <c r="AA18" i="8"/>
  <c r="AC18" i="8" s="1"/>
  <c r="AA19" i="8"/>
  <c r="AC19" i="8" s="1"/>
  <c r="AA20" i="8"/>
  <c r="AC20" i="8" s="1"/>
  <c r="AA21" i="8"/>
  <c r="AC21" i="8" s="1"/>
  <c r="AA22" i="8"/>
  <c r="AC22" i="8" s="1"/>
  <c r="AA23" i="8"/>
  <c r="AC23" i="8" s="1"/>
  <c r="AA24" i="8"/>
  <c r="AC24" i="8" s="1"/>
  <c r="AA25" i="8"/>
  <c r="AC25" i="8" s="1"/>
  <c r="AA26" i="8"/>
  <c r="AC26" i="8" s="1"/>
  <c r="AA27" i="8"/>
  <c r="AC27" i="8" s="1"/>
  <c r="AA28" i="8"/>
  <c r="AC28" i="8" s="1"/>
  <c r="AA29" i="8"/>
  <c r="AC29" i="8" s="1"/>
  <c r="AA30" i="8"/>
  <c r="AC30" i="8" s="1"/>
  <c r="AA31" i="8"/>
  <c r="AC31" i="8" s="1"/>
  <c r="AA32" i="8"/>
  <c r="AC32" i="8" s="1"/>
  <c r="AA33" i="8"/>
  <c r="AC33" i="8" s="1"/>
  <c r="AA34" i="8"/>
  <c r="AC34" i="8" s="1"/>
  <c r="AA35" i="8"/>
  <c r="AC35" i="8" s="1"/>
  <c r="AA36" i="8"/>
  <c r="AC36" i="8" s="1"/>
  <c r="AA37" i="8"/>
  <c r="AC37" i="8" s="1"/>
  <c r="AA38" i="8"/>
  <c r="AC38" i="8" s="1"/>
  <c r="AA39" i="8"/>
  <c r="AC39" i="8" s="1"/>
  <c r="AA40" i="8"/>
  <c r="AC40" i="8" s="1"/>
  <c r="AA41" i="8"/>
  <c r="AC41" i="8" s="1"/>
  <c r="AA42" i="8"/>
  <c r="AC42" i="8" s="1"/>
  <c r="AA43" i="8"/>
  <c r="AC43" i="8" s="1"/>
  <c r="AA44" i="8"/>
  <c r="AC44" i="8" s="1"/>
  <c r="AA45" i="8"/>
  <c r="AC45" i="8" s="1"/>
  <c r="AA46" i="8"/>
  <c r="AC46" i="8" s="1"/>
  <c r="AA47" i="8"/>
  <c r="AC47" i="8" s="1"/>
  <c r="AA48" i="8"/>
  <c r="AC48" i="8" s="1"/>
  <c r="AA49" i="8"/>
  <c r="AC49" i="8" s="1"/>
  <c r="AA50" i="8"/>
  <c r="AC50" i="8" s="1"/>
  <c r="AA51" i="8"/>
  <c r="AC51" i="8" s="1"/>
  <c r="AA52" i="8"/>
  <c r="AC52" i="8" s="1"/>
  <c r="AA53" i="8"/>
  <c r="AC53" i="8" s="1"/>
  <c r="AA54" i="8"/>
  <c r="AC54" i="8" s="1"/>
  <c r="AA55" i="8"/>
  <c r="AC55" i="8" s="1"/>
  <c r="AA56" i="8"/>
  <c r="AC56" i="8" s="1"/>
  <c r="AA57" i="8"/>
  <c r="AC57" i="8" s="1"/>
  <c r="AA58" i="8"/>
  <c r="AC58" i="8" s="1"/>
  <c r="AA59" i="8"/>
  <c r="AC59" i="8" s="1"/>
  <c r="AA60" i="8"/>
  <c r="AC60" i="8" s="1"/>
  <c r="AA61" i="8"/>
  <c r="AC61" i="8" s="1"/>
  <c r="AA62" i="8"/>
  <c r="AC62" i="8" s="1"/>
  <c r="AA63" i="8"/>
  <c r="AC63" i="8" s="1"/>
  <c r="AA64" i="8"/>
  <c r="AC64" i="8" s="1"/>
  <c r="AA65" i="8"/>
  <c r="AC65" i="8" s="1"/>
  <c r="AA66" i="8"/>
  <c r="AC66" i="8" s="1"/>
  <c r="AA67" i="8"/>
  <c r="AC67" i="8" s="1"/>
  <c r="AA68" i="8"/>
  <c r="AC68" i="8" s="1"/>
  <c r="AA69" i="8"/>
  <c r="AC69" i="8" s="1"/>
  <c r="AA70" i="8"/>
  <c r="AC70" i="8" s="1"/>
  <c r="AA71" i="8"/>
  <c r="AC71" i="8" s="1"/>
  <c r="AA72" i="8"/>
  <c r="AC72" i="8" s="1"/>
  <c r="AA73" i="8"/>
  <c r="AC73" i="8" s="1"/>
  <c r="AA74" i="8"/>
  <c r="AC74" i="8" s="1"/>
  <c r="AA75" i="8"/>
  <c r="AC75" i="8" s="1"/>
  <c r="AA76" i="8"/>
  <c r="AC76" i="8" s="1"/>
  <c r="AA77" i="8"/>
  <c r="AC77" i="8" s="1"/>
  <c r="AA78" i="8"/>
  <c r="AC78" i="8" s="1"/>
  <c r="AA79" i="8"/>
  <c r="AC79" i="8" s="1"/>
  <c r="AA80" i="8"/>
  <c r="AC80" i="8" s="1"/>
  <c r="AA81" i="8"/>
  <c r="AC81" i="8" s="1"/>
  <c r="AA82" i="8"/>
  <c r="AC82" i="8" s="1"/>
  <c r="AA83" i="8"/>
  <c r="AC83" i="8" s="1"/>
  <c r="AA84" i="8"/>
  <c r="AC84" i="8" s="1"/>
  <c r="AA85" i="8"/>
  <c r="AC85" i="8" s="1"/>
  <c r="AA86" i="8"/>
  <c r="AC86" i="8" s="1"/>
  <c r="AA87" i="8"/>
  <c r="AC87" i="8" s="1"/>
  <c r="AA88" i="8"/>
  <c r="AC88" i="8" s="1"/>
  <c r="AA89" i="8"/>
  <c r="AC89" i="8" s="1"/>
  <c r="AA90" i="8"/>
  <c r="AC90" i="8" s="1"/>
  <c r="AA91" i="8"/>
  <c r="AC91" i="8" s="1"/>
  <c r="AA92" i="8"/>
  <c r="AC92" i="8" s="1"/>
  <c r="AA93" i="8"/>
  <c r="AC93" i="8" s="1"/>
  <c r="AA94" i="8"/>
  <c r="AC94" i="8" s="1"/>
  <c r="AA95" i="8"/>
  <c r="AC95" i="8" s="1"/>
  <c r="AA96" i="8"/>
  <c r="AC96" i="8" s="1"/>
  <c r="AA97" i="8"/>
  <c r="AC97" i="8" s="1"/>
  <c r="AA98" i="8"/>
  <c r="AC98" i="8" s="1"/>
  <c r="AA99" i="8"/>
  <c r="AC99" i="8" s="1"/>
  <c r="AA100" i="8"/>
  <c r="AC100" i="8" s="1"/>
  <c r="AA101" i="8"/>
  <c r="AC101" i="8" s="1"/>
  <c r="AA102" i="8"/>
  <c r="AC102" i="8" s="1"/>
  <c r="AA103" i="8"/>
  <c r="AC103" i="8" s="1"/>
  <c r="AA104" i="8"/>
  <c r="AC104" i="8" s="1"/>
  <c r="AA105" i="8"/>
  <c r="AC105" i="8" s="1"/>
  <c r="AA106" i="8"/>
  <c r="AC106" i="8" s="1"/>
  <c r="AA107" i="8"/>
  <c r="AC107" i="8" s="1"/>
  <c r="AA108" i="8"/>
  <c r="AC108" i="8" s="1"/>
  <c r="AA109" i="8"/>
  <c r="AC109" i="8" s="1"/>
  <c r="AA110" i="8"/>
  <c r="AC110" i="8" s="1"/>
  <c r="AA111" i="8"/>
  <c r="AC111" i="8" s="1"/>
  <c r="AA112" i="8"/>
  <c r="AC112" i="8" s="1"/>
  <c r="AA113" i="8"/>
  <c r="AC113" i="8" s="1"/>
  <c r="AA114" i="8"/>
  <c r="AC114" i="8" s="1"/>
  <c r="AA115" i="8"/>
  <c r="AC115" i="8" s="1"/>
  <c r="AA116" i="8"/>
  <c r="AC116" i="8" s="1"/>
  <c r="AA117" i="8"/>
  <c r="AC117" i="8" s="1"/>
  <c r="AA118" i="8"/>
  <c r="AC118" i="8" s="1"/>
  <c r="AA119" i="8"/>
  <c r="AC119" i="8" s="1"/>
  <c r="AA120" i="8"/>
  <c r="AC120" i="8" s="1"/>
  <c r="AA121" i="8"/>
  <c r="AC121" i="8" s="1"/>
  <c r="AA122" i="8"/>
  <c r="AC122" i="8" s="1"/>
  <c r="AA123" i="8"/>
  <c r="AC123" i="8" s="1"/>
  <c r="AA124" i="8"/>
  <c r="AC124" i="8" s="1"/>
  <c r="AA125" i="8"/>
  <c r="AC125" i="8" s="1"/>
  <c r="AA126" i="8"/>
  <c r="AC126" i="8" s="1"/>
  <c r="AA127" i="8"/>
  <c r="AC127" i="8" s="1"/>
  <c r="AA128" i="8"/>
  <c r="AC128" i="8" s="1"/>
  <c r="AA129" i="8"/>
  <c r="AC129" i="8" s="1"/>
  <c r="AA130" i="8"/>
  <c r="AC130" i="8" s="1"/>
  <c r="AA131" i="8"/>
  <c r="AC131" i="8" s="1"/>
  <c r="AA132" i="8"/>
  <c r="AC132" i="8" s="1"/>
  <c r="AA133" i="8"/>
  <c r="AC133" i="8" s="1"/>
  <c r="AA134" i="8"/>
  <c r="AC134" i="8" s="1"/>
  <c r="AA135" i="8"/>
  <c r="AC135" i="8" s="1"/>
  <c r="AA136" i="8"/>
  <c r="AC136" i="8" s="1"/>
  <c r="AA137" i="8"/>
  <c r="AC137" i="8" s="1"/>
  <c r="AA138" i="8"/>
  <c r="AC138" i="8" s="1"/>
  <c r="AA139" i="8"/>
  <c r="AC139" i="8" s="1"/>
  <c r="AA140" i="8"/>
  <c r="AC140" i="8" s="1"/>
  <c r="AA141" i="8"/>
  <c r="AC141" i="8" s="1"/>
  <c r="AA142" i="8"/>
  <c r="AC142" i="8" s="1"/>
  <c r="AA143" i="8"/>
  <c r="AC143" i="8" s="1"/>
  <c r="AA144" i="8"/>
  <c r="AC144" i="8" s="1"/>
  <c r="AA145" i="8"/>
  <c r="AC145" i="8" s="1"/>
  <c r="AA146" i="8"/>
  <c r="AC146" i="8" s="1"/>
  <c r="AA147" i="8"/>
  <c r="AC147" i="8" s="1"/>
  <c r="AA148" i="8"/>
  <c r="AC148" i="8" s="1"/>
  <c r="AA149" i="8"/>
  <c r="AC149" i="8" s="1"/>
  <c r="AA150" i="8"/>
  <c r="AC150" i="8" s="1"/>
  <c r="AA151" i="8"/>
  <c r="AC151" i="8" s="1"/>
  <c r="AA152" i="8"/>
  <c r="AC152" i="8" s="1"/>
  <c r="AA153" i="8"/>
  <c r="AC153" i="8" s="1"/>
  <c r="AA154" i="8"/>
  <c r="AC154" i="8" s="1"/>
  <c r="AA155" i="8"/>
  <c r="AC155" i="8" s="1"/>
  <c r="AA156" i="8"/>
  <c r="AC156" i="8" s="1"/>
  <c r="AA157" i="8"/>
  <c r="AC157" i="8" s="1"/>
  <c r="AA158" i="8"/>
  <c r="AC158" i="8" s="1"/>
  <c r="AA159" i="8"/>
  <c r="AC159" i="8" s="1"/>
  <c r="AA160" i="8"/>
  <c r="AC160" i="8" s="1"/>
  <c r="AA161" i="8"/>
  <c r="AC161" i="8" s="1"/>
  <c r="AA162" i="8"/>
  <c r="AC162" i="8" s="1"/>
  <c r="AA163" i="8"/>
  <c r="AC163" i="8" s="1"/>
  <c r="AA164" i="8"/>
  <c r="AC164" i="8" s="1"/>
  <c r="AA165" i="8"/>
  <c r="AC165" i="8" s="1"/>
  <c r="AA166" i="8"/>
  <c r="AC166" i="8" s="1"/>
  <c r="AA167" i="8"/>
  <c r="AC167" i="8" s="1"/>
  <c r="AA168" i="8"/>
  <c r="AC168" i="8" s="1"/>
  <c r="AA169" i="8"/>
  <c r="AC169" i="8" s="1"/>
  <c r="AA170" i="8"/>
  <c r="AC170" i="8" s="1"/>
  <c r="AA171" i="8"/>
  <c r="AC171" i="8" s="1"/>
  <c r="AA172" i="8"/>
  <c r="AC172" i="8" s="1"/>
  <c r="AA173" i="8"/>
  <c r="AC173" i="8" s="1"/>
  <c r="AA174" i="8"/>
  <c r="AC174" i="8" s="1"/>
  <c r="AA175" i="8"/>
  <c r="AC175" i="8" s="1"/>
  <c r="AA176" i="8"/>
  <c r="AC176" i="8" s="1"/>
  <c r="AA177" i="8"/>
  <c r="AC177" i="8" s="1"/>
  <c r="AA178" i="8"/>
  <c r="AC178" i="8" s="1"/>
  <c r="AA179" i="8"/>
  <c r="AC179" i="8" s="1"/>
  <c r="AA180" i="8"/>
  <c r="AC180" i="8" s="1"/>
  <c r="AA181" i="8"/>
  <c r="AC181" i="8" s="1"/>
  <c r="AA182" i="8"/>
  <c r="AC182" i="8" s="1"/>
  <c r="AA183" i="8"/>
  <c r="AC183" i="8" s="1"/>
  <c r="AA184" i="8"/>
  <c r="AC184" i="8" s="1"/>
  <c r="AA185" i="8"/>
  <c r="AC185" i="8" s="1"/>
  <c r="AA186" i="8"/>
  <c r="AC186" i="8" s="1"/>
  <c r="AA187" i="8"/>
  <c r="AC187" i="8" s="1"/>
  <c r="AA188" i="8"/>
  <c r="AC188" i="8" s="1"/>
  <c r="AA189" i="8"/>
  <c r="AC189" i="8" s="1"/>
  <c r="AA190" i="8"/>
  <c r="AC190" i="8" s="1"/>
  <c r="AA191" i="8"/>
  <c r="AC191" i="8" s="1"/>
  <c r="AA192" i="8"/>
  <c r="AC192" i="8" s="1"/>
  <c r="AA193" i="8"/>
  <c r="AC193" i="8" s="1"/>
  <c r="AA194" i="8"/>
  <c r="AC194" i="8" s="1"/>
  <c r="AA195" i="8"/>
  <c r="AC195" i="8" s="1"/>
  <c r="AA196" i="8"/>
  <c r="AC196" i="8" s="1"/>
  <c r="AA197" i="8"/>
  <c r="AC197" i="8" s="1"/>
  <c r="AA198" i="8"/>
  <c r="AC198" i="8" s="1"/>
  <c r="AA199" i="8"/>
  <c r="AC199" i="8" s="1"/>
  <c r="AA200" i="8"/>
  <c r="AC200" i="8" s="1"/>
  <c r="AA201" i="8"/>
  <c r="AC201" i="8" s="1"/>
  <c r="AA202" i="8"/>
  <c r="AC202" i="8" s="1"/>
  <c r="AA203" i="8"/>
  <c r="AC203" i="8" s="1"/>
  <c r="AA204" i="8"/>
  <c r="AC204" i="8" s="1"/>
  <c r="AA205" i="8"/>
  <c r="AC205" i="8" s="1"/>
  <c r="AA206" i="8"/>
  <c r="AC206" i="8" s="1"/>
  <c r="AA207" i="8"/>
  <c r="AC207" i="8" s="1"/>
  <c r="AA208" i="8"/>
  <c r="AC208" i="8" s="1"/>
  <c r="AA209" i="8"/>
  <c r="AC209" i="8" s="1"/>
  <c r="AA210" i="8"/>
  <c r="AC210" i="8" s="1"/>
  <c r="AA211" i="8"/>
  <c r="AC211" i="8" s="1"/>
  <c r="AA212" i="8"/>
  <c r="AC212" i="8" s="1"/>
  <c r="AA213" i="8"/>
  <c r="AC213" i="8" s="1"/>
  <c r="AA214" i="8"/>
  <c r="AC214" i="8" s="1"/>
  <c r="AA215" i="8"/>
  <c r="AC215" i="8" s="1"/>
  <c r="AA216" i="8"/>
  <c r="AC216" i="8" s="1"/>
  <c r="AA217" i="8"/>
  <c r="AC217" i="8" s="1"/>
  <c r="AA218" i="8"/>
  <c r="AC218" i="8" s="1"/>
  <c r="AA219" i="8"/>
  <c r="AC219" i="8" s="1"/>
  <c r="AA220" i="8"/>
  <c r="AC220" i="8" s="1"/>
  <c r="AA221" i="8"/>
  <c r="AC221" i="8" s="1"/>
  <c r="AA222" i="8"/>
  <c r="AC222" i="8" s="1"/>
  <c r="AA223" i="8"/>
  <c r="AC223" i="8" s="1"/>
  <c r="AA224" i="8"/>
  <c r="AC224" i="8" s="1"/>
  <c r="AA225" i="8"/>
  <c r="AC225" i="8" s="1"/>
  <c r="AA226" i="8"/>
  <c r="AC226" i="8" s="1"/>
  <c r="AA227" i="8"/>
  <c r="AC227" i="8" s="1"/>
  <c r="AA228" i="8"/>
  <c r="AC228" i="8" s="1"/>
  <c r="AA229" i="8"/>
  <c r="AC229" i="8" s="1"/>
  <c r="AA230" i="8"/>
  <c r="AC230" i="8" s="1"/>
  <c r="AA231" i="8"/>
  <c r="AC231" i="8" s="1"/>
  <c r="AA232" i="8"/>
  <c r="AC232" i="8" s="1"/>
  <c r="AA233" i="8"/>
  <c r="AC233" i="8" s="1"/>
  <c r="AA234" i="8"/>
  <c r="AC234" i="8" s="1"/>
  <c r="AA235" i="8"/>
  <c r="AC235" i="8" s="1"/>
  <c r="AA236" i="8"/>
  <c r="AC236" i="8" s="1"/>
  <c r="AA237" i="8"/>
  <c r="AC237" i="8" s="1"/>
  <c r="AA238" i="8"/>
  <c r="AC238" i="8" s="1"/>
  <c r="AA239" i="8"/>
  <c r="AC239" i="8" s="1"/>
  <c r="AA240" i="8"/>
  <c r="AC240" i="8" s="1"/>
  <c r="AA241" i="8"/>
  <c r="AC241" i="8" s="1"/>
  <c r="AA242" i="8"/>
  <c r="AC242" i="8" s="1"/>
  <c r="AA243" i="8"/>
  <c r="AC243" i="8" s="1"/>
  <c r="AA244" i="8"/>
  <c r="AC244" i="8" s="1"/>
  <c r="AA245" i="8"/>
  <c r="AC245" i="8" s="1"/>
  <c r="AA246" i="8"/>
  <c r="AC246" i="8" s="1"/>
  <c r="AA247" i="8"/>
  <c r="AC247" i="8" s="1"/>
  <c r="AA248" i="8"/>
  <c r="AC248" i="8" s="1"/>
  <c r="AA249" i="8"/>
  <c r="AC249" i="8" s="1"/>
  <c r="AA250" i="8"/>
  <c r="AC250" i="8" s="1"/>
  <c r="AA251" i="8"/>
  <c r="AC251" i="8" s="1"/>
  <c r="AA252" i="8"/>
  <c r="AC252" i="8" s="1"/>
  <c r="AA253" i="8"/>
  <c r="AC253" i="8" s="1"/>
  <c r="AA254" i="8"/>
  <c r="AC254" i="8" s="1"/>
  <c r="AA255" i="8"/>
  <c r="AC255" i="8" s="1"/>
  <c r="AA256" i="8"/>
  <c r="AC256" i="8" s="1"/>
  <c r="AA257" i="8"/>
  <c r="AC257" i="8" s="1"/>
  <c r="AA258" i="8"/>
  <c r="AC258" i="8" s="1"/>
  <c r="AA259" i="8"/>
  <c r="AC259" i="8" s="1"/>
  <c r="AA260" i="8"/>
  <c r="AC260" i="8" s="1"/>
  <c r="AA261" i="8"/>
  <c r="AC261" i="8" s="1"/>
  <c r="AA262" i="8"/>
  <c r="AC262" i="8" s="1"/>
  <c r="AA263" i="8"/>
  <c r="AC263" i="8" s="1"/>
  <c r="AA264" i="8"/>
  <c r="AC264" i="8" s="1"/>
  <c r="AA265" i="8"/>
  <c r="AC265" i="8" s="1"/>
  <c r="AA266" i="8"/>
  <c r="AC266" i="8" s="1"/>
  <c r="AA267" i="8"/>
  <c r="AC267" i="8" s="1"/>
  <c r="AA268" i="8"/>
  <c r="AC268" i="8" s="1"/>
  <c r="AA269" i="8"/>
  <c r="AC269" i="8" s="1"/>
  <c r="AA270" i="8"/>
  <c r="AC270" i="8" s="1"/>
  <c r="AA271" i="8"/>
  <c r="AC271" i="8" s="1"/>
  <c r="AA272" i="8"/>
  <c r="AC272" i="8" s="1"/>
  <c r="AA273" i="8"/>
  <c r="AC273" i="8" s="1"/>
  <c r="AA274" i="8"/>
  <c r="AC274" i="8" s="1"/>
  <c r="AA275" i="8"/>
  <c r="AC275" i="8" s="1"/>
  <c r="AA276" i="8"/>
  <c r="AC276" i="8" s="1"/>
  <c r="AA277" i="8"/>
  <c r="AC277" i="8" s="1"/>
  <c r="AA278" i="8"/>
  <c r="AC278" i="8" s="1"/>
  <c r="AA279" i="8"/>
  <c r="AC279" i="8" s="1"/>
  <c r="AA280" i="8"/>
  <c r="AC280" i="8" s="1"/>
  <c r="AA281" i="8"/>
  <c r="AC281" i="8" s="1"/>
  <c r="AA282" i="8"/>
  <c r="AC282" i="8" s="1"/>
  <c r="AA283" i="8"/>
  <c r="AC283" i="8" s="1"/>
  <c r="AA284" i="8"/>
  <c r="AC284" i="8" s="1"/>
  <c r="AA285" i="8"/>
  <c r="AC285" i="8" s="1"/>
  <c r="AA286" i="8"/>
  <c r="AC286" i="8" s="1"/>
  <c r="AA287" i="8"/>
  <c r="AC287" i="8" s="1"/>
  <c r="AA288" i="8"/>
  <c r="AC288" i="8" s="1"/>
  <c r="AA289" i="8"/>
  <c r="AC289" i="8" s="1"/>
  <c r="AA290" i="8"/>
  <c r="AC290" i="8" s="1"/>
  <c r="AA291" i="8"/>
  <c r="AC291" i="8" s="1"/>
  <c r="AA292" i="8"/>
  <c r="AC292" i="8" s="1"/>
  <c r="AA293" i="8"/>
  <c r="AC293" i="8" s="1"/>
  <c r="AA294" i="8"/>
  <c r="AC294" i="8" s="1"/>
  <c r="AA295" i="8"/>
  <c r="AC295" i="8" s="1"/>
  <c r="AA296" i="8"/>
  <c r="AC296" i="8" s="1"/>
  <c r="AA297" i="8"/>
  <c r="AC297" i="8" s="1"/>
  <c r="AA298" i="8"/>
  <c r="AC298" i="8" s="1"/>
  <c r="AA299" i="8"/>
  <c r="AC299" i="8" s="1"/>
  <c r="AA300" i="8"/>
  <c r="AC300" i="8" s="1"/>
  <c r="AA301" i="8"/>
  <c r="AC301" i="8" s="1"/>
  <c r="AA302" i="8"/>
  <c r="AC302" i="8" s="1"/>
  <c r="AA303" i="8"/>
  <c r="AC303" i="8" s="1"/>
  <c r="AA304" i="8"/>
  <c r="AC304" i="8" s="1"/>
  <c r="AA305" i="8"/>
  <c r="AC305" i="8" s="1"/>
  <c r="AA306" i="8"/>
  <c r="AC306" i="8" s="1"/>
  <c r="AA307" i="8"/>
  <c r="AC307" i="8" s="1"/>
  <c r="AA308" i="8"/>
  <c r="AC308" i="8" s="1"/>
  <c r="AA309" i="8"/>
  <c r="AC309" i="8" s="1"/>
  <c r="AA310" i="8"/>
  <c r="AC310" i="8" s="1"/>
  <c r="AA311" i="8"/>
  <c r="AC311" i="8" s="1"/>
  <c r="AA312" i="8"/>
  <c r="AC312" i="8" s="1"/>
  <c r="AA313" i="8"/>
  <c r="AC313" i="8" s="1"/>
  <c r="AA314" i="8"/>
  <c r="AC314" i="8" s="1"/>
  <c r="AA315" i="8"/>
  <c r="AC315" i="8" s="1"/>
  <c r="AA316" i="8"/>
  <c r="AC316" i="8" s="1"/>
  <c r="AA317" i="8"/>
  <c r="AC317" i="8" s="1"/>
  <c r="AA318" i="8"/>
  <c r="AC318" i="8" s="1"/>
  <c r="AA319" i="8"/>
  <c r="AC319" i="8" s="1"/>
  <c r="AA320" i="8"/>
  <c r="AC320" i="8" s="1"/>
  <c r="AA321" i="8"/>
  <c r="AC321" i="8" s="1"/>
  <c r="AA322" i="8"/>
  <c r="AC322" i="8" s="1"/>
  <c r="AA323" i="8"/>
  <c r="AC323" i="8" s="1"/>
  <c r="AA324" i="8"/>
  <c r="AC324" i="8" s="1"/>
  <c r="AA325" i="8"/>
  <c r="AC325" i="8" s="1"/>
  <c r="AA326" i="8"/>
  <c r="AC326" i="8" s="1"/>
  <c r="AA327" i="8"/>
  <c r="AC327" i="8" s="1"/>
  <c r="AA328" i="8"/>
  <c r="AC328" i="8" s="1"/>
  <c r="AA329" i="8"/>
  <c r="AC329" i="8" s="1"/>
  <c r="AA330" i="8"/>
  <c r="AC330" i="8" s="1"/>
  <c r="AA331" i="8"/>
  <c r="AC331" i="8" s="1"/>
  <c r="AA332" i="8"/>
  <c r="AC332" i="8" s="1"/>
  <c r="AA333" i="8"/>
  <c r="AC333" i="8" s="1"/>
  <c r="AA334" i="8"/>
  <c r="AC334" i="8" s="1"/>
  <c r="AA335" i="8"/>
  <c r="AC335" i="8" s="1"/>
  <c r="AA336" i="8"/>
  <c r="AC336" i="8" s="1"/>
  <c r="AA337" i="8"/>
  <c r="AC337" i="8" s="1"/>
  <c r="AA338" i="8"/>
  <c r="AC338" i="8" s="1"/>
  <c r="AA339" i="8"/>
  <c r="AC339" i="8" s="1"/>
  <c r="AA340" i="8"/>
  <c r="AC340" i="8" s="1"/>
  <c r="AA341" i="8"/>
  <c r="AC341" i="8" s="1"/>
  <c r="AA342" i="8"/>
  <c r="AC342" i="8" s="1"/>
  <c r="AA343" i="8"/>
  <c r="AC343" i="8" s="1"/>
  <c r="AA344" i="8"/>
  <c r="AC344" i="8" s="1"/>
  <c r="AA345" i="8"/>
  <c r="AC345" i="8" s="1"/>
  <c r="AA346" i="8"/>
  <c r="AC346" i="8" s="1"/>
  <c r="AA347" i="8"/>
  <c r="AC347" i="8" s="1"/>
  <c r="AA348" i="8"/>
  <c r="AC348" i="8" s="1"/>
  <c r="AA349" i="8"/>
  <c r="AC349" i="8" s="1"/>
  <c r="AA350" i="8"/>
  <c r="AC350" i="8" s="1"/>
  <c r="AA351" i="8"/>
  <c r="AC351" i="8" s="1"/>
  <c r="AA352" i="8"/>
  <c r="AC352" i="8" s="1"/>
  <c r="AA353" i="8"/>
  <c r="AC353" i="8" s="1"/>
  <c r="AA354" i="8"/>
  <c r="AC354" i="8" s="1"/>
  <c r="AA355" i="8"/>
  <c r="AC355" i="8" s="1"/>
  <c r="AA356" i="8"/>
  <c r="AC356" i="8" s="1"/>
  <c r="AA357" i="8"/>
  <c r="AC357" i="8" s="1"/>
  <c r="AA358" i="8"/>
  <c r="AC358" i="8" s="1"/>
  <c r="AA359" i="8"/>
  <c r="AC359" i="8" s="1"/>
  <c r="AA360" i="8"/>
  <c r="AC360" i="8" s="1"/>
  <c r="AA361" i="8"/>
  <c r="AC361" i="8" s="1"/>
  <c r="AA362" i="8"/>
  <c r="AC362" i="8" s="1"/>
  <c r="AA363" i="8"/>
  <c r="AC363" i="8" s="1"/>
  <c r="AA364" i="8"/>
  <c r="AC364" i="8" s="1"/>
  <c r="AA365" i="8"/>
  <c r="AC365" i="8" s="1"/>
  <c r="AA366" i="8"/>
  <c r="AC366" i="8" s="1"/>
  <c r="AA367" i="8"/>
  <c r="AC367" i="8" s="1"/>
  <c r="AA368" i="8"/>
  <c r="AC368" i="8" s="1"/>
  <c r="AA369" i="8"/>
  <c r="AC369" i="8" s="1"/>
  <c r="AA370" i="8"/>
  <c r="AC370" i="8" s="1"/>
  <c r="AA371" i="8"/>
  <c r="AC371" i="8" s="1"/>
  <c r="AA372" i="8"/>
  <c r="AC372" i="8" s="1"/>
  <c r="AA373" i="8"/>
  <c r="AC373" i="8" s="1"/>
  <c r="AA374" i="8"/>
  <c r="AC374" i="8" s="1"/>
  <c r="AA375" i="8"/>
  <c r="AC375" i="8" s="1"/>
  <c r="AA376" i="8"/>
  <c r="AC376" i="8" s="1"/>
  <c r="AA377" i="8"/>
  <c r="AC377" i="8" s="1"/>
  <c r="AA378" i="8"/>
  <c r="AC378" i="8" s="1"/>
  <c r="AA379" i="8"/>
  <c r="AC379" i="8" s="1"/>
  <c r="AA380" i="8"/>
  <c r="AC380" i="8" s="1"/>
  <c r="AA381" i="8"/>
  <c r="AC381" i="8" s="1"/>
  <c r="AA382" i="8"/>
  <c r="AC382" i="8" s="1"/>
  <c r="AA383" i="8"/>
  <c r="AC383" i="8" s="1"/>
  <c r="AA384" i="8"/>
  <c r="AC384" i="8" s="1"/>
  <c r="AA385" i="8"/>
  <c r="AC385" i="8" s="1"/>
  <c r="AA386" i="8"/>
  <c r="AC386" i="8" s="1"/>
  <c r="AA387" i="8"/>
  <c r="AC387" i="8" s="1"/>
  <c r="AA388" i="8"/>
  <c r="AC388" i="8" s="1"/>
  <c r="AA389" i="8"/>
  <c r="AC389" i="8" s="1"/>
  <c r="AA390" i="8"/>
  <c r="AC390" i="8" s="1"/>
  <c r="AA391" i="8"/>
  <c r="AC391" i="8" s="1"/>
  <c r="AA392" i="8"/>
  <c r="AC392" i="8" s="1"/>
  <c r="AA393" i="8"/>
  <c r="AC393" i="8" s="1"/>
  <c r="AA394" i="8"/>
  <c r="AC394" i="8" s="1"/>
  <c r="AA395" i="8"/>
  <c r="AC395" i="8" s="1"/>
  <c r="AA396" i="8"/>
  <c r="AC396" i="8" s="1"/>
  <c r="AA397" i="8"/>
  <c r="AC397" i="8" s="1"/>
  <c r="AA398" i="8"/>
  <c r="AC398" i="8" s="1"/>
  <c r="AA399" i="8"/>
  <c r="AC399" i="8" s="1"/>
  <c r="AA400" i="8"/>
  <c r="AC400" i="8" s="1"/>
  <c r="AA401" i="8"/>
  <c r="AC401" i="8" s="1"/>
  <c r="AA402" i="8"/>
  <c r="AC402" i="8" s="1"/>
  <c r="AA403" i="8"/>
  <c r="AC403" i="8" s="1"/>
  <c r="AA404" i="8"/>
  <c r="AC404" i="8" s="1"/>
  <c r="AA405" i="8"/>
  <c r="AC405" i="8" s="1"/>
  <c r="AA406" i="8"/>
  <c r="AC406" i="8" s="1"/>
  <c r="AA407" i="8"/>
  <c r="AC407" i="8" s="1"/>
  <c r="AA408" i="8"/>
  <c r="AC408" i="8" s="1"/>
  <c r="AA409" i="8"/>
  <c r="AC409" i="8" s="1"/>
  <c r="AA410" i="8"/>
  <c r="AC410" i="8" s="1"/>
  <c r="AA411" i="8"/>
  <c r="AC411" i="8" s="1"/>
  <c r="AA412" i="8"/>
  <c r="AC412" i="8" s="1"/>
  <c r="AA413" i="8"/>
  <c r="AC413" i="8" s="1"/>
  <c r="AA414" i="8"/>
  <c r="AC414" i="8" s="1"/>
  <c r="AA415" i="8"/>
  <c r="AC415" i="8" s="1"/>
  <c r="AA416" i="8"/>
  <c r="AC416" i="8" s="1"/>
  <c r="AA417" i="8"/>
  <c r="AC417" i="8" s="1"/>
  <c r="AA418" i="8"/>
  <c r="AC418" i="8" s="1"/>
  <c r="AA419" i="8"/>
  <c r="AC419" i="8" s="1"/>
  <c r="AA420" i="8"/>
  <c r="AC420" i="8" s="1"/>
  <c r="AA421" i="8"/>
  <c r="AC421" i="8" s="1"/>
  <c r="AA422" i="8"/>
  <c r="AC422" i="8" s="1"/>
  <c r="AA423" i="8"/>
  <c r="AC423" i="8" s="1"/>
  <c r="AA424" i="8"/>
  <c r="AC424" i="8" s="1"/>
  <c r="AA425" i="8"/>
  <c r="AC425" i="8" s="1"/>
  <c r="AA426" i="8"/>
  <c r="AC426" i="8" s="1"/>
  <c r="AA427" i="8"/>
  <c r="AC427" i="8" s="1"/>
  <c r="AA428" i="8"/>
  <c r="AC428" i="8" s="1"/>
  <c r="AA429" i="8"/>
  <c r="AC429" i="8" s="1"/>
  <c r="AA430" i="8"/>
  <c r="AC430" i="8" s="1"/>
  <c r="AA431" i="8"/>
  <c r="AC431" i="8" s="1"/>
  <c r="AA432" i="8"/>
  <c r="AC432" i="8" s="1"/>
  <c r="AA433" i="8"/>
  <c r="AC433" i="8" s="1"/>
  <c r="AA434" i="8"/>
  <c r="AC434" i="8" s="1"/>
  <c r="AA435" i="8"/>
  <c r="AC435" i="8" s="1"/>
  <c r="AA436" i="8"/>
  <c r="AC436" i="8" s="1"/>
  <c r="AA437" i="8"/>
  <c r="AC437" i="8" s="1"/>
  <c r="AA438" i="8"/>
  <c r="AC438" i="8" s="1"/>
  <c r="AA439" i="8"/>
  <c r="AC439" i="8" s="1"/>
  <c r="AA440" i="8"/>
  <c r="AC440" i="8" s="1"/>
  <c r="AA441" i="8"/>
  <c r="AC441" i="8" s="1"/>
  <c r="AA442" i="8"/>
  <c r="AC442" i="8" s="1"/>
  <c r="AA443" i="8"/>
  <c r="AC443" i="8" s="1"/>
  <c r="AA444" i="8"/>
  <c r="AC444" i="8" s="1"/>
  <c r="AA445" i="8"/>
  <c r="AC445" i="8" s="1"/>
  <c r="AA446" i="8"/>
  <c r="AC446" i="8" s="1"/>
  <c r="AA447" i="8"/>
  <c r="AC447" i="8" s="1"/>
  <c r="AA448" i="8"/>
  <c r="AC448" i="8" s="1"/>
  <c r="AA449" i="8"/>
  <c r="AC449" i="8" s="1"/>
  <c r="AA450" i="8"/>
  <c r="AC450" i="8" s="1"/>
  <c r="AA451" i="8"/>
  <c r="AC451" i="8" s="1"/>
  <c r="AA452" i="8"/>
  <c r="AC452" i="8" s="1"/>
  <c r="AA453" i="8"/>
  <c r="AC453" i="8" s="1"/>
  <c r="AA454" i="8"/>
  <c r="AC454" i="8" s="1"/>
  <c r="AA455" i="8"/>
  <c r="AC455" i="8" s="1"/>
  <c r="AA456" i="8"/>
  <c r="AC456" i="8" s="1"/>
  <c r="AA457" i="8"/>
  <c r="AC457" i="8" s="1"/>
  <c r="AA458" i="8"/>
  <c r="AC458" i="8" s="1"/>
  <c r="AA459" i="8"/>
  <c r="AC459" i="8" s="1"/>
  <c r="AA460" i="8"/>
  <c r="AC460" i="8" s="1"/>
  <c r="AA461" i="8"/>
  <c r="AC461" i="8" s="1"/>
  <c r="AA462" i="8"/>
  <c r="AC462" i="8" s="1"/>
  <c r="AA463" i="8"/>
  <c r="AC463" i="8" s="1"/>
  <c r="AA464" i="8"/>
  <c r="AC464" i="8" s="1"/>
  <c r="AA465" i="8"/>
  <c r="AC465" i="8" s="1"/>
  <c r="AA466" i="8"/>
  <c r="AC466" i="8" s="1"/>
  <c r="AA467" i="8"/>
  <c r="AC467" i="8" s="1"/>
  <c r="AA468" i="8"/>
  <c r="AC468" i="8" s="1"/>
  <c r="AA469" i="8"/>
  <c r="AC469" i="8" s="1"/>
  <c r="AA470" i="8"/>
  <c r="AC470" i="8" s="1"/>
  <c r="AA471" i="8"/>
  <c r="AC471" i="8" s="1"/>
  <c r="AA472" i="8"/>
  <c r="AC472" i="8" s="1"/>
  <c r="AA473" i="8"/>
  <c r="AC473" i="8" s="1"/>
  <c r="AA474" i="8"/>
  <c r="AC474" i="8" s="1"/>
  <c r="AA475" i="8"/>
  <c r="AC475" i="8" s="1"/>
  <c r="AA476" i="8"/>
  <c r="AC476" i="8" s="1"/>
  <c r="AA477" i="8"/>
  <c r="AC477" i="8" s="1"/>
  <c r="AA478" i="8"/>
  <c r="AC478" i="8" s="1"/>
  <c r="AA479" i="8"/>
  <c r="AC479" i="8" s="1"/>
  <c r="AA480" i="8"/>
  <c r="AC480" i="8" s="1"/>
  <c r="AA481" i="8"/>
  <c r="AC481" i="8" s="1"/>
  <c r="AA482" i="8"/>
  <c r="AC482" i="8" s="1"/>
  <c r="AA483" i="8"/>
  <c r="AC483" i="8" s="1"/>
  <c r="AA484" i="8"/>
  <c r="AC484" i="8" s="1"/>
  <c r="AA485" i="8"/>
  <c r="AC485" i="8" s="1"/>
  <c r="AA486" i="8"/>
  <c r="AC486" i="8" s="1"/>
  <c r="AA487" i="8"/>
  <c r="AC487" i="8" s="1"/>
  <c r="AA488" i="8"/>
  <c r="AC488" i="8" s="1"/>
  <c r="AA489" i="8"/>
  <c r="AC489" i="8" s="1"/>
  <c r="AA490" i="8"/>
  <c r="AC490" i="8" s="1"/>
  <c r="AA491" i="8"/>
  <c r="AC491" i="8" s="1"/>
  <c r="AA492" i="8"/>
  <c r="AC492" i="8" s="1"/>
  <c r="AA493" i="8"/>
  <c r="AC493" i="8" s="1"/>
  <c r="AA494" i="8"/>
  <c r="AC494" i="8" s="1"/>
  <c r="AA495" i="8"/>
  <c r="AC495" i="8" s="1"/>
  <c r="AA496" i="8"/>
  <c r="AC496" i="8" s="1"/>
  <c r="AA497" i="8"/>
  <c r="AC497" i="8" s="1"/>
  <c r="AA498" i="8"/>
  <c r="AC498" i="8" s="1"/>
  <c r="AA499" i="8"/>
  <c r="AC499" i="8" s="1"/>
  <c r="AA500" i="8"/>
  <c r="AC500" i="8" s="1"/>
  <c r="AA501" i="8"/>
  <c r="AC501" i="8" s="1"/>
  <c r="AA502" i="8"/>
  <c r="AC502" i="8" s="1"/>
  <c r="AA503" i="8"/>
  <c r="AC503" i="8" s="1"/>
  <c r="AA504" i="8"/>
  <c r="AC504" i="8" s="1"/>
  <c r="AA505" i="8"/>
  <c r="AC505" i="8" s="1"/>
  <c r="AA506" i="8"/>
  <c r="AC506" i="8" s="1"/>
  <c r="AA507" i="8"/>
  <c r="AC507" i="8" s="1"/>
  <c r="AA508" i="8"/>
  <c r="AC508" i="8" s="1"/>
  <c r="AA509" i="8"/>
  <c r="AC509" i="8" s="1"/>
  <c r="AA510" i="8"/>
  <c r="AC510" i="8" s="1"/>
  <c r="AA511" i="8"/>
  <c r="AC511" i="8" s="1"/>
  <c r="AA512" i="8"/>
  <c r="AC512" i="8" s="1"/>
  <c r="AA513" i="8"/>
  <c r="AC513" i="8" s="1"/>
  <c r="AA514" i="8"/>
  <c r="AC514" i="8" s="1"/>
  <c r="AA515" i="8"/>
  <c r="AC515" i="8" s="1"/>
  <c r="AA516" i="8"/>
  <c r="AC516" i="8" s="1"/>
  <c r="AA517" i="8"/>
  <c r="AC517" i="8" s="1"/>
  <c r="AA518" i="8"/>
  <c r="AC518" i="8" s="1"/>
  <c r="AA519" i="8"/>
  <c r="AC519" i="8" s="1"/>
  <c r="AA520" i="8"/>
  <c r="AC520" i="8" s="1"/>
  <c r="AA521" i="8"/>
  <c r="AC521" i="8" s="1"/>
  <c r="AA522" i="8"/>
  <c r="AC522" i="8" s="1"/>
  <c r="AA523" i="8"/>
  <c r="AC523" i="8" s="1"/>
  <c r="AA524" i="8"/>
  <c r="AC524" i="8" s="1"/>
  <c r="AA525" i="8"/>
  <c r="AC525" i="8" s="1"/>
  <c r="AA526" i="8"/>
  <c r="AC526" i="8" s="1"/>
  <c r="AA527" i="8"/>
  <c r="AC527" i="8" s="1"/>
  <c r="AA528" i="8"/>
  <c r="AC528" i="8" s="1"/>
  <c r="AA529" i="8"/>
  <c r="AC529" i="8" s="1"/>
  <c r="AA530" i="8"/>
  <c r="AC530" i="8" s="1"/>
  <c r="AA531" i="8"/>
  <c r="AC531" i="8" s="1"/>
  <c r="AA532" i="8"/>
  <c r="AC532" i="8" s="1"/>
  <c r="AA533" i="8"/>
  <c r="AC533" i="8" s="1"/>
  <c r="AA534" i="8"/>
  <c r="AC534" i="8" s="1"/>
  <c r="AA535" i="8"/>
  <c r="AC535" i="8" s="1"/>
  <c r="AA536" i="8"/>
  <c r="AC536" i="8" s="1"/>
  <c r="AA537" i="8"/>
  <c r="AC537" i="8" s="1"/>
  <c r="AA538" i="8"/>
  <c r="AC538" i="8" s="1"/>
  <c r="AA539" i="8"/>
  <c r="AC539" i="8" s="1"/>
  <c r="AA540" i="8"/>
  <c r="AC540" i="8" s="1"/>
  <c r="AA541" i="8"/>
  <c r="AC541" i="8" s="1"/>
  <c r="AA542" i="8"/>
  <c r="AC542" i="8" s="1"/>
  <c r="AA543" i="8"/>
  <c r="AC543" i="8" s="1"/>
  <c r="AA544" i="8"/>
  <c r="AC544" i="8" s="1"/>
  <c r="AA545" i="8"/>
  <c r="AC545" i="8" s="1"/>
  <c r="AA546" i="8"/>
  <c r="AC546" i="8" s="1"/>
  <c r="AA547" i="8"/>
  <c r="AC547" i="8" s="1"/>
  <c r="AA548" i="8"/>
  <c r="AC548" i="8" s="1"/>
  <c r="AA549" i="8"/>
  <c r="AC549" i="8" s="1"/>
  <c r="AA550" i="8"/>
  <c r="AC550" i="8" s="1"/>
  <c r="AA551" i="8"/>
  <c r="AC551" i="8" s="1"/>
  <c r="AA552" i="8"/>
  <c r="AC552" i="8" s="1"/>
  <c r="AA553" i="8"/>
  <c r="AC553" i="8" s="1"/>
  <c r="AA554" i="8"/>
  <c r="AC554" i="8" s="1"/>
  <c r="AA555" i="8"/>
  <c r="AC555" i="8" s="1"/>
  <c r="AA556" i="8"/>
  <c r="AC556" i="8" s="1"/>
  <c r="AA557" i="8"/>
  <c r="AC557" i="8" s="1"/>
  <c r="AA558" i="8"/>
  <c r="AC558" i="8" s="1"/>
  <c r="AA559" i="8"/>
  <c r="AC559" i="8" s="1"/>
  <c r="AA560" i="8"/>
  <c r="AC560" i="8" s="1"/>
  <c r="AA561" i="8"/>
  <c r="AC561" i="8" s="1"/>
  <c r="AA562" i="8"/>
  <c r="AC562" i="8" s="1"/>
  <c r="AA563" i="8"/>
  <c r="AC563" i="8" s="1"/>
  <c r="AA564" i="8"/>
  <c r="AC564" i="8" s="1"/>
  <c r="AA565" i="8"/>
  <c r="AC565" i="8" s="1"/>
  <c r="AA566" i="8"/>
  <c r="AC566" i="8" s="1"/>
  <c r="AA567" i="8"/>
  <c r="AC567" i="8" s="1"/>
  <c r="AA568" i="8"/>
  <c r="AC568" i="8" s="1"/>
  <c r="AA569" i="8"/>
  <c r="AC569" i="8" s="1"/>
  <c r="AA570" i="8"/>
  <c r="AC570" i="8" s="1"/>
  <c r="AA571" i="8"/>
  <c r="AC571" i="8" s="1"/>
  <c r="AA572" i="8"/>
  <c r="AC572" i="8" s="1"/>
  <c r="AA573" i="8"/>
  <c r="AC573" i="8" s="1"/>
  <c r="AA574" i="8"/>
  <c r="AC574" i="8" s="1"/>
  <c r="AA575" i="8"/>
  <c r="AC575" i="8" s="1"/>
  <c r="AA576" i="8"/>
  <c r="AC576" i="8" s="1"/>
  <c r="AA577" i="8"/>
  <c r="AC577" i="8" s="1"/>
  <c r="AA578" i="8"/>
  <c r="AC578" i="8" s="1"/>
  <c r="AA579" i="8"/>
  <c r="AC579" i="8" s="1"/>
  <c r="AA580" i="8"/>
  <c r="AC580" i="8" s="1"/>
  <c r="AA581" i="8"/>
  <c r="AC581" i="8" s="1"/>
  <c r="AA582" i="8"/>
  <c r="AC582" i="8" s="1"/>
  <c r="AA583" i="8"/>
  <c r="AC583" i="8" s="1"/>
  <c r="AA584" i="8"/>
  <c r="AC584" i="8" s="1"/>
  <c r="AA585" i="8"/>
  <c r="AC585" i="8" s="1"/>
  <c r="AA586" i="8"/>
  <c r="AC586" i="8" s="1"/>
  <c r="AA587" i="8"/>
  <c r="AC587" i="8" s="1"/>
  <c r="AA588" i="8"/>
  <c r="AC588" i="8" s="1"/>
  <c r="AA589" i="8"/>
  <c r="AC589" i="8" s="1"/>
  <c r="AA590" i="8"/>
  <c r="AC590" i="8" s="1"/>
  <c r="AA591" i="8"/>
  <c r="AC591" i="8" s="1"/>
  <c r="AA592" i="8"/>
  <c r="AC592" i="8" s="1"/>
  <c r="AA593" i="8"/>
  <c r="AC593" i="8" s="1"/>
  <c r="AA594" i="8"/>
  <c r="AC594" i="8" s="1"/>
  <c r="AA595" i="8"/>
  <c r="AC595" i="8" s="1"/>
  <c r="AA596" i="8"/>
  <c r="AC596" i="8" s="1"/>
  <c r="AA597" i="8"/>
  <c r="AC597" i="8" s="1"/>
  <c r="AA598" i="8"/>
  <c r="AC598" i="8" s="1"/>
  <c r="AA599" i="8"/>
  <c r="AC599" i="8" s="1"/>
  <c r="AA600" i="8"/>
  <c r="AC600" i="8" s="1"/>
  <c r="AA601" i="8"/>
  <c r="AC601" i="8" s="1"/>
  <c r="AA602" i="8"/>
  <c r="AC602" i="8" s="1"/>
  <c r="AA603" i="8"/>
  <c r="AC603" i="8" s="1"/>
  <c r="AA604" i="8"/>
  <c r="AC604" i="8" s="1"/>
  <c r="AA605" i="8"/>
  <c r="AC605" i="8" s="1"/>
  <c r="AA606" i="8"/>
  <c r="AC606" i="8" s="1"/>
  <c r="AA607" i="8"/>
  <c r="AC607" i="8" s="1"/>
  <c r="AA608" i="8"/>
  <c r="AC608" i="8" s="1"/>
  <c r="AA609" i="8"/>
  <c r="AC609" i="8" s="1"/>
  <c r="AA610" i="8"/>
  <c r="AC610" i="8" s="1"/>
  <c r="AA611" i="8"/>
  <c r="AC611" i="8" s="1"/>
  <c r="AA612" i="8"/>
  <c r="AC612" i="8" s="1"/>
  <c r="AA613" i="8"/>
  <c r="AC613" i="8" s="1"/>
  <c r="AA614" i="8"/>
  <c r="AC614" i="8" s="1"/>
  <c r="AA615" i="8"/>
  <c r="AC615" i="8" s="1"/>
  <c r="AA616" i="8"/>
  <c r="AC616" i="8" s="1"/>
  <c r="AA617" i="8"/>
  <c r="AC617" i="8" s="1"/>
  <c r="AA618" i="8"/>
  <c r="AC618" i="8" s="1"/>
  <c r="AA619" i="8"/>
  <c r="AC619" i="8" s="1"/>
  <c r="AA620" i="8"/>
  <c r="AC620" i="8" s="1"/>
  <c r="AA621" i="8"/>
  <c r="AC621" i="8" s="1"/>
  <c r="AA622" i="8"/>
  <c r="AC622" i="8" s="1"/>
  <c r="AA623" i="8"/>
  <c r="AC623" i="8" s="1"/>
  <c r="AA624" i="8"/>
  <c r="AC624" i="8" s="1"/>
  <c r="AA625" i="8"/>
  <c r="AC625" i="8" s="1"/>
  <c r="AA626" i="8"/>
  <c r="AC626" i="8" s="1"/>
  <c r="AA627" i="8"/>
  <c r="AC627" i="8" s="1"/>
  <c r="AA628" i="8"/>
  <c r="AC628" i="8" s="1"/>
  <c r="AA629" i="8"/>
  <c r="AC629" i="8" s="1"/>
  <c r="AA630" i="8"/>
  <c r="AC630" i="8" s="1"/>
  <c r="AA631" i="8"/>
  <c r="AC631" i="8" s="1"/>
  <c r="AA632" i="8"/>
  <c r="AC632" i="8" s="1"/>
  <c r="AA633" i="8"/>
  <c r="AC633" i="8" s="1"/>
  <c r="AA634" i="8"/>
  <c r="AC634" i="8" s="1"/>
  <c r="AA635" i="8"/>
  <c r="AC635" i="8" s="1"/>
  <c r="AA636" i="8"/>
  <c r="AC636" i="8" s="1"/>
  <c r="AA637" i="8"/>
  <c r="AC637" i="8" s="1"/>
  <c r="AA638" i="8"/>
  <c r="AC638" i="8" s="1"/>
  <c r="AA639" i="8"/>
  <c r="AC639" i="8" s="1"/>
  <c r="AA640" i="8"/>
  <c r="AC640" i="8" s="1"/>
  <c r="AA641" i="8"/>
  <c r="AC641" i="8" s="1"/>
  <c r="AA642" i="8"/>
  <c r="AC642" i="8" s="1"/>
  <c r="AA643" i="8"/>
  <c r="AC643" i="8" s="1"/>
  <c r="AA644" i="8"/>
  <c r="AC644" i="8" s="1"/>
  <c r="AA645" i="8"/>
  <c r="AC645" i="8" s="1"/>
  <c r="AA646" i="8"/>
  <c r="AC646" i="8" s="1"/>
  <c r="AA647" i="8"/>
  <c r="AC647" i="8" s="1"/>
  <c r="AA648" i="8"/>
  <c r="AC648" i="8" s="1"/>
  <c r="AA649" i="8"/>
  <c r="AC649" i="8" s="1"/>
  <c r="AA650" i="8"/>
  <c r="AC650" i="8" s="1"/>
  <c r="AA651" i="8"/>
  <c r="AC651" i="8" s="1"/>
  <c r="AA652" i="8"/>
  <c r="AC652" i="8" s="1"/>
  <c r="AA653" i="8"/>
  <c r="AC653" i="8" s="1"/>
  <c r="AA654" i="8"/>
  <c r="AC654" i="8" s="1"/>
  <c r="AA655" i="8"/>
  <c r="AC655" i="8" s="1"/>
  <c r="AA656" i="8"/>
  <c r="AC656" i="8" s="1"/>
  <c r="AA657" i="8"/>
  <c r="AC657" i="8" s="1"/>
  <c r="AA658" i="8"/>
  <c r="AC658" i="8" s="1"/>
  <c r="AA659" i="8"/>
  <c r="AC659" i="8" s="1"/>
  <c r="AA660" i="8"/>
  <c r="AC660" i="8" s="1"/>
  <c r="AA661" i="8"/>
  <c r="AC661" i="8" s="1"/>
  <c r="AA662" i="8"/>
  <c r="AC662" i="8" s="1"/>
  <c r="AA663" i="8"/>
  <c r="AC663" i="8" s="1"/>
  <c r="AA664" i="8"/>
  <c r="AC664" i="8" s="1"/>
  <c r="AA665" i="8"/>
  <c r="AC665" i="8" s="1"/>
  <c r="AA666" i="8"/>
  <c r="AC666" i="8" s="1"/>
  <c r="AA667" i="8"/>
  <c r="AC667" i="8" s="1"/>
  <c r="AA668" i="8"/>
  <c r="AC668" i="8" s="1"/>
  <c r="AA669" i="8"/>
  <c r="AC669" i="8" s="1"/>
  <c r="AA670" i="8"/>
  <c r="AC670" i="8" s="1"/>
  <c r="AA671" i="8"/>
  <c r="AC671" i="8" s="1"/>
  <c r="AA672" i="8"/>
  <c r="AC672" i="8" s="1"/>
  <c r="AA673" i="8"/>
  <c r="AC673" i="8" s="1"/>
  <c r="AA674" i="8"/>
  <c r="AC674" i="8" s="1"/>
  <c r="AA675" i="8"/>
  <c r="AC675" i="8" s="1"/>
  <c r="AA676" i="8"/>
  <c r="AC676" i="8" s="1"/>
  <c r="AA677" i="8"/>
  <c r="AC677" i="8" s="1"/>
  <c r="AA678" i="8"/>
  <c r="AC678" i="8" s="1"/>
  <c r="AA679" i="8"/>
  <c r="AC679" i="8" s="1"/>
  <c r="AA680" i="8"/>
  <c r="AC680" i="8" s="1"/>
  <c r="AA681" i="8"/>
  <c r="AC681" i="8" s="1"/>
  <c r="AA682" i="8"/>
  <c r="AC682" i="8" s="1"/>
  <c r="AA683" i="8"/>
  <c r="AC683" i="8" s="1"/>
  <c r="AA684" i="8"/>
  <c r="AC684" i="8" s="1"/>
  <c r="AA685" i="8"/>
  <c r="AC685" i="8" s="1"/>
  <c r="AA686" i="8"/>
  <c r="AC686" i="8" s="1"/>
  <c r="AA687" i="8"/>
  <c r="AC687" i="8" s="1"/>
  <c r="AA688" i="8"/>
  <c r="AC688" i="8" s="1"/>
  <c r="AA689" i="8"/>
  <c r="AC689" i="8" s="1"/>
  <c r="AA690" i="8"/>
  <c r="AC690" i="8" s="1"/>
  <c r="AA691" i="8"/>
  <c r="AC691" i="8" s="1"/>
  <c r="AA692" i="8"/>
  <c r="AC692" i="8" s="1"/>
  <c r="AA693" i="8"/>
  <c r="AC693" i="8" s="1"/>
  <c r="AA694" i="8"/>
  <c r="AC694" i="8" s="1"/>
  <c r="AA695" i="8"/>
  <c r="AC695" i="8" s="1"/>
  <c r="AA696" i="8"/>
  <c r="AC696" i="8" s="1"/>
  <c r="AA697" i="8"/>
  <c r="AC697" i="8" s="1"/>
  <c r="AA698" i="8"/>
  <c r="AC698" i="8" s="1"/>
  <c r="AA699" i="8"/>
  <c r="AC699" i="8" s="1"/>
  <c r="AA700" i="8"/>
  <c r="AC700" i="8" s="1"/>
  <c r="AA701" i="8"/>
  <c r="AC701" i="8" s="1"/>
  <c r="AA702" i="8"/>
  <c r="AC702" i="8" s="1"/>
  <c r="AA703" i="8"/>
  <c r="AC703" i="8" s="1"/>
  <c r="AA704" i="8"/>
  <c r="AC704" i="8" s="1"/>
  <c r="AA705" i="8"/>
  <c r="AC705" i="8" s="1"/>
  <c r="AA706" i="8"/>
  <c r="AC706" i="8" s="1"/>
  <c r="AA707" i="8"/>
  <c r="AC707" i="8" s="1"/>
  <c r="AA708" i="8"/>
  <c r="AC708" i="8" s="1"/>
  <c r="AA709" i="8"/>
  <c r="AC709" i="8" s="1"/>
  <c r="AA710" i="8"/>
  <c r="AC710" i="8" s="1"/>
  <c r="AA711" i="8"/>
  <c r="AC711" i="8" s="1"/>
  <c r="AA712" i="8"/>
  <c r="AC712" i="8" s="1"/>
  <c r="AA713" i="8"/>
  <c r="AC713" i="8" s="1"/>
  <c r="AA714" i="8"/>
  <c r="AC714" i="8" s="1"/>
  <c r="AA715" i="8"/>
  <c r="AC715" i="8" s="1"/>
  <c r="AA716" i="8"/>
  <c r="AC716" i="8" s="1"/>
  <c r="AA717" i="8"/>
  <c r="AC717" i="8" s="1"/>
  <c r="AA718" i="8"/>
  <c r="AC718" i="8" s="1"/>
  <c r="AA719" i="8"/>
  <c r="AC719" i="8" s="1"/>
  <c r="AA720" i="8"/>
  <c r="AC720" i="8" s="1"/>
  <c r="AA721" i="8"/>
  <c r="AC721" i="8" s="1"/>
  <c r="AA722" i="8"/>
  <c r="AC722" i="8" s="1"/>
  <c r="AA723" i="8"/>
  <c r="AC723" i="8" s="1"/>
  <c r="AA724" i="8"/>
  <c r="AC724" i="8" s="1"/>
  <c r="AA725" i="8"/>
  <c r="AC725" i="8" s="1"/>
  <c r="AA726" i="8"/>
  <c r="AC726" i="8" s="1"/>
  <c r="AA727" i="8"/>
  <c r="AC727" i="8" s="1"/>
  <c r="AA728" i="8"/>
  <c r="AC728" i="8" s="1"/>
  <c r="AA729" i="8"/>
  <c r="AC729" i="8" s="1"/>
  <c r="AA730" i="8"/>
  <c r="AC730" i="8" s="1"/>
  <c r="AA731" i="8"/>
  <c r="AC731" i="8" s="1"/>
  <c r="AA732" i="8"/>
  <c r="AC732" i="8" s="1"/>
  <c r="AA733" i="8"/>
  <c r="AC733" i="8" s="1"/>
  <c r="AA734" i="8"/>
  <c r="AC734" i="8" s="1"/>
  <c r="AA735" i="8"/>
  <c r="AC735" i="8" s="1"/>
  <c r="AA736" i="8"/>
  <c r="AC736" i="8" s="1"/>
  <c r="AA737" i="8"/>
  <c r="AC737" i="8" s="1"/>
  <c r="AA738" i="8"/>
  <c r="AC738" i="8" s="1"/>
  <c r="AA739" i="8"/>
  <c r="AC739" i="8" s="1"/>
  <c r="AA740" i="8"/>
  <c r="AC740" i="8" s="1"/>
  <c r="AA741" i="8"/>
  <c r="AC741" i="8" s="1"/>
  <c r="AA742" i="8"/>
  <c r="AC742" i="8" s="1"/>
  <c r="AA743" i="8"/>
  <c r="AC743" i="8" s="1"/>
  <c r="AA744" i="8"/>
  <c r="AC744" i="8" s="1"/>
  <c r="AA745" i="8"/>
  <c r="AC745" i="8" s="1"/>
  <c r="AA746" i="8"/>
  <c r="AC746" i="8" s="1"/>
  <c r="AA747" i="8"/>
  <c r="AC747" i="8" s="1"/>
  <c r="AA748" i="8"/>
  <c r="AC748" i="8" s="1"/>
  <c r="AA749" i="8"/>
  <c r="AC749" i="8" s="1"/>
  <c r="AA750" i="8"/>
  <c r="AC750" i="8" s="1"/>
  <c r="AA751" i="8"/>
  <c r="AC751" i="8" s="1"/>
  <c r="AA752" i="8"/>
  <c r="AC752" i="8" s="1"/>
  <c r="AA753" i="8"/>
  <c r="AC753" i="8" s="1"/>
  <c r="AA754" i="8"/>
  <c r="AC754" i="8" s="1"/>
  <c r="AA755" i="8"/>
  <c r="AC755" i="8" s="1"/>
  <c r="AA756" i="8"/>
  <c r="AC756" i="8" s="1"/>
  <c r="AA757" i="8"/>
  <c r="AC757" i="8" s="1"/>
  <c r="AA758" i="8"/>
  <c r="AC758" i="8" s="1"/>
  <c r="AA759" i="8"/>
  <c r="AC759" i="8" s="1"/>
  <c r="AA760" i="8"/>
  <c r="AC760" i="8" s="1"/>
  <c r="AA761" i="8"/>
  <c r="AC761" i="8" s="1"/>
  <c r="AA762" i="8"/>
  <c r="AC762" i="8" s="1"/>
  <c r="AA763" i="8"/>
  <c r="AC763" i="8" s="1"/>
  <c r="AA764" i="8"/>
  <c r="AC764" i="8" s="1"/>
  <c r="AA765" i="8"/>
  <c r="AC765" i="8" s="1"/>
  <c r="AA766" i="8"/>
  <c r="AC766" i="8" s="1"/>
  <c r="AA767" i="8"/>
  <c r="AC767" i="8" s="1"/>
  <c r="AA768" i="8"/>
  <c r="AC768" i="8" s="1"/>
  <c r="AA769" i="8"/>
  <c r="AC769" i="8" s="1"/>
  <c r="AA770" i="8"/>
  <c r="AC770" i="8" s="1"/>
  <c r="AA771" i="8"/>
  <c r="AC771" i="8" s="1"/>
  <c r="AA772" i="8"/>
  <c r="AC772" i="8" s="1"/>
  <c r="AA773" i="8"/>
  <c r="AC773" i="8" s="1"/>
  <c r="AA774" i="8"/>
  <c r="AC774" i="8" s="1"/>
  <c r="AA775" i="8"/>
  <c r="AC775" i="8" s="1"/>
  <c r="AA776" i="8"/>
  <c r="AC776" i="8" s="1"/>
  <c r="AA777" i="8"/>
  <c r="AC777" i="8" s="1"/>
  <c r="AA778" i="8"/>
  <c r="AC778" i="8" s="1"/>
  <c r="AA779" i="8"/>
  <c r="AC779" i="8" s="1"/>
  <c r="AA780" i="8"/>
  <c r="AC780" i="8" s="1"/>
  <c r="AA781" i="8"/>
  <c r="AC781" i="8" s="1"/>
  <c r="AA782" i="8"/>
  <c r="AC782" i="8" s="1"/>
  <c r="AA783" i="8"/>
  <c r="AC783" i="8" s="1"/>
  <c r="AA784" i="8"/>
  <c r="AC784" i="8" s="1"/>
  <c r="AA785" i="8"/>
  <c r="AC785" i="8" s="1"/>
  <c r="AA786" i="8"/>
  <c r="AC786" i="8" s="1"/>
  <c r="AA787" i="8"/>
  <c r="AC787" i="8" s="1"/>
  <c r="AA788" i="8"/>
  <c r="AC788" i="8" s="1"/>
  <c r="AA789" i="8"/>
  <c r="AC789" i="8" s="1"/>
  <c r="AA790" i="8"/>
  <c r="AC790" i="8" s="1"/>
  <c r="AA791" i="8"/>
  <c r="AC791" i="8" s="1"/>
  <c r="AA792" i="8"/>
  <c r="AC792" i="8" s="1"/>
  <c r="AA793" i="8"/>
  <c r="AC793" i="8" s="1"/>
  <c r="AA794" i="8"/>
  <c r="AC794" i="8" s="1"/>
  <c r="AA795" i="8"/>
  <c r="AC795" i="8" s="1"/>
  <c r="AA796" i="8"/>
  <c r="AC796" i="8" s="1"/>
  <c r="AA797" i="8"/>
  <c r="AC797" i="8" s="1"/>
  <c r="AA798" i="8"/>
  <c r="AC798" i="8" s="1"/>
  <c r="AA799" i="8"/>
  <c r="AC799" i="8" s="1"/>
  <c r="AA800" i="8"/>
  <c r="AC800" i="8" s="1"/>
  <c r="AA801" i="8"/>
  <c r="AC801" i="8" s="1"/>
  <c r="AA802" i="8"/>
  <c r="AC802" i="8" s="1"/>
  <c r="AA803" i="8"/>
  <c r="AC803" i="8" s="1"/>
  <c r="AA804" i="8"/>
  <c r="AC804" i="8" s="1"/>
  <c r="AA805" i="8"/>
  <c r="AC805" i="8" s="1"/>
  <c r="AA806" i="8"/>
  <c r="AC806" i="8" s="1"/>
  <c r="AA807" i="8"/>
  <c r="AC807" i="8" s="1"/>
  <c r="AA808" i="8"/>
  <c r="AC808" i="8" s="1"/>
  <c r="AA809" i="8"/>
  <c r="AC809" i="8" s="1"/>
  <c r="AA810" i="8"/>
  <c r="AC810" i="8" s="1"/>
  <c r="AA811" i="8"/>
  <c r="AC811" i="8" s="1"/>
  <c r="AA812" i="8"/>
  <c r="AC812" i="8" s="1"/>
  <c r="AA813" i="8"/>
  <c r="AC813" i="8" s="1"/>
  <c r="AA814" i="8"/>
  <c r="AC814" i="8" s="1"/>
  <c r="AA815" i="8"/>
  <c r="AC815" i="8" s="1"/>
  <c r="AA816" i="8"/>
  <c r="AC816" i="8" s="1"/>
  <c r="AA817" i="8"/>
  <c r="AC817" i="8" s="1"/>
  <c r="AA818" i="8"/>
  <c r="AC818" i="8" s="1"/>
  <c r="AA819" i="8"/>
  <c r="AC819" i="8" s="1"/>
  <c r="AA820" i="8"/>
  <c r="AC820" i="8" s="1"/>
  <c r="AA821" i="8"/>
  <c r="AC821" i="8" s="1"/>
  <c r="AA822" i="8"/>
  <c r="AC822" i="8" s="1"/>
  <c r="AA823" i="8"/>
  <c r="AC823" i="8" s="1"/>
  <c r="AA824" i="8"/>
  <c r="AC824" i="8" s="1"/>
  <c r="AA825" i="8"/>
  <c r="AC825" i="8" s="1"/>
  <c r="AA826" i="8"/>
  <c r="AC826" i="8" s="1"/>
  <c r="AA827" i="8"/>
  <c r="AC827" i="8" s="1"/>
  <c r="AA828" i="8"/>
  <c r="AC828" i="8" s="1"/>
  <c r="AA829" i="8"/>
  <c r="AC829" i="8" s="1"/>
  <c r="AA830" i="8"/>
  <c r="AC830" i="8" s="1"/>
  <c r="AA831" i="8"/>
  <c r="AC831" i="8" s="1"/>
  <c r="AA832" i="8"/>
  <c r="AC832" i="8" s="1"/>
  <c r="AA833" i="8"/>
  <c r="AC833" i="8" s="1"/>
  <c r="AA834" i="8"/>
  <c r="AC834" i="8" s="1"/>
  <c r="AA835" i="8"/>
  <c r="AC835" i="8" s="1"/>
  <c r="AA836" i="8"/>
  <c r="AC836" i="8" s="1"/>
  <c r="AA837" i="8"/>
  <c r="AC837" i="8" s="1"/>
  <c r="AA838" i="8"/>
  <c r="AC838" i="8" s="1"/>
  <c r="AA839" i="8"/>
  <c r="AC839" i="8" s="1"/>
  <c r="AA840" i="8"/>
  <c r="AC840" i="8" s="1"/>
  <c r="AA841" i="8"/>
  <c r="AC841" i="8" s="1"/>
  <c r="AA842" i="8"/>
  <c r="AC842" i="8" s="1"/>
  <c r="AA843" i="8"/>
  <c r="AC843" i="8" s="1"/>
  <c r="AA844" i="8"/>
  <c r="AC844" i="8" s="1"/>
  <c r="AA845" i="8"/>
  <c r="AC845" i="8" s="1"/>
  <c r="AA846" i="8"/>
  <c r="AC846" i="8" s="1"/>
  <c r="AA847" i="8"/>
  <c r="AC847" i="8" s="1"/>
  <c r="AA848" i="8"/>
  <c r="AC848" i="8" s="1"/>
  <c r="AA849" i="8"/>
  <c r="AC849" i="8" s="1"/>
  <c r="AA850" i="8"/>
  <c r="AC850" i="8" s="1"/>
  <c r="AA851" i="8"/>
  <c r="AC851" i="8" s="1"/>
  <c r="AA852" i="8"/>
  <c r="AC852" i="8" s="1"/>
  <c r="AA853" i="8"/>
  <c r="AC853" i="8" s="1"/>
  <c r="AA854" i="8"/>
  <c r="AC854" i="8" s="1"/>
  <c r="AA855" i="8"/>
  <c r="AC855" i="8" s="1"/>
  <c r="AA856" i="8"/>
  <c r="AC856" i="8" s="1"/>
  <c r="AA857" i="8"/>
  <c r="AC857" i="8" s="1"/>
  <c r="AA858" i="8"/>
  <c r="AC858" i="8" s="1"/>
  <c r="AA859" i="8"/>
  <c r="AC859" i="8" s="1"/>
  <c r="AA860" i="8"/>
  <c r="AC860" i="8" s="1"/>
  <c r="AA861" i="8"/>
  <c r="AC861" i="8" s="1"/>
  <c r="AA862" i="8"/>
  <c r="AC862" i="8" s="1"/>
  <c r="AA863" i="8"/>
  <c r="AC863" i="8" s="1"/>
  <c r="AA864" i="8"/>
  <c r="AC864" i="8" s="1"/>
  <c r="AA865" i="8"/>
  <c r="AC865" i="8" s="1"/>
  <c r="AA866" i="8"/>
  <c r="AC866" i="8" s="1"/>
  <c r="AA867" i="8"/>
  <c r="AC867" i="8" s="1"/>
  <c r="AA868" i="8"/>
  <c r="AC868" i="8" s="1"/>
  <c r="AA869" i="8"/>
  <c r="AC869" i="8" s="1"/>
  <c r="AA870" i="8"/>
  <c r="AC870" i="8" s="1"/>
  <c r="AA871" i="8"/>
  <c r="AC871" i="8" s="1"/>
  <c r="AA872" i="8"/>
  <c r="AC872" i="8" s="1"/>
  <c r="AA873" i="8"/>
  <c r="AC873" i="8" s="1"/>
  <c r="AA874" i="8"/>
  <c r="AC874" i="8" s="1"/>
  <c r="AA875" i="8"/>
  <c r="AC875" i="8" s="1"/>
  <c r="AA876" i="8"/>
  <c r="AC876" i="8" s="1"/>
  <c r="AA877" i="8"/>
  <c r="AC877" i="8" s="1"/>
  <c r="AA878" i="8"/>
  <c r="AC878" i="8" s="1"/>
  <c r="AA879" i="8"/>
  <c r="AC879" i="8" s="1"/>
  <c r="AA880" i="8"/>
  <c r="AC880" i="8" s="1"/>
  <c r="AA881" i="8"/>
  <c r="AC881" i="8" s="1"/>
  <c r="AA882" i="8"/>
  <c r="AC882" i="8" s="1"/>
  <c r="AA883" i="8"/>
  <c r="AC883" i="8" s="1"/>
  <c r="AA884" i="8"/>
  <c r="AC884" i="8" s="1"/>
  <c r="AA885" i="8"/>
  <c r="AC885" i="8" s="1"/>
  <c r="AA886" i="8"/>
  <c r="AC886" i="8" s="1"/>
  <c r="AA887" i="8"/>
  <c r="AC887" i="8" s="1"/>
  <c r="AA888" i="8"/>
  <c r="AC888" i="8" s="1"/>
  <c r="AA889" i="8"/>
  <c r="AC889" i="8" s="1"/>
  <c r="AA890" i="8"/>
  <c r="AC890" i="8" s="1"/>
  <c r="AA891" i="8"/>
  <c r="AC891" i="8" s="1"/>
  <c r="AA892" i="8"/>
  <c r="AC892" i="8" s="1"/>
  <c r="AA893" i="8"/>
  <c r="AC893" i="8" s="1"/>
  <c r="AA894" i="8"/>
  <c r="AC894" i="8" s="1"/>
  <c r="AA895" i="8"/>
  <c r="AC895" i="8" s="1"/>
  <c r="AA896" i="8"/>
  <c r="AC896" i="8" s="1"/>
  <c r="AA897" i="8"/>
  <c r="AC897" i="8" s="1"/>
  <c r="AA898" i="8"/>
  <c r="AC898" i="8" s="1"/>
  <c r="AA899" i="8"/>
  <c r="AC899" i="8" s="1"/>
  <c r="AA900" i="8"/>
  <c r="AC900" i="8" s="1"/>
  <c r="AA901" i="8"/>
  <c r="AC901" i="8" s="1"/>
  <c r="AA902" i="8"/>
  <c r="AC902" i="8" s="1"/>
  <c r="AA903" i="8"/>
  <c r="AC903" i="8" s="1"/>
  <c r="AA904" i="8"/>
  <c r="AC904" i="8" s="1"/>
  <c r="AA905" i="8"/>
  <c r="AC905" i="8" s="1"/>
  <c r="AA906" i="8"/>
  <c r="AC906" i="8" s="1"/>
  <c r="AA907" i="8"/>
  <c r="AC907" i="8" s="1"/>
  <c r="AA908" i="8"/>
  <c r="AC908" i="8" s="1"/>
  <c r="AA909" i="8"/>
  <c r="AC909" i="8" s="1"/>
  <c r="AA910" i="8"/>
  <c r="AC910" i="8" s="1"/>
  <c r="AA911" i="8"/>
  <c r="AC911" i="8" s="1"/>
  <c r="AA912" i="8"/>
  <c r="AC912" i="8" s="1"/>
  <c r="AA913" i="8"/>
  <c r="AC913" i="8" s="1"/>
  <c r="AA914" i="8"/>
  <c r="AC914" i="8" s="1"/>
  <c r="AA915" i="8"/>
  <c r="AC915" i="8" s="1"/>
  <c r="AA916" i="8"/>
  <c r="AC916" i="8" s="1"/>
  <c r="AA917" i="8"/>
  <c r="AC917" i="8" s="1"/>
  <c r="AA918" i="8"/>
  <c r="AC918" i="8" s="1"/>
  <c r="AA919" i="8"/>
  <c r="AC919" i="8" s="1"/>
  <c r="AA920" i="8"/>
  <c r="AC920" i="8" s="1"/>
  <c r="AA921" i="8"/>
  <c r="AC921" i="8" s="1"/>
  <c r="AA922" i="8"/>
  <c r="AC922" i="8" s="1"/>
  <c r="AA923" i="8"/>
  <c r="AC923" i="8" s="1"/>
  <c r="AA924" i="8"/>
  <c r="AC924" i="8" s="1"/>
  <c r="AA925" i="8"/>
  <c r="AC925" i="8" s="1"/>
  <c r="AA926" i="8"/>
  <c r="AC926" i="8" s="1"/>
  <c r="AA927" i="8"/>
  <c r="AC927" i="8" s="1"/>
  <c r="AA928" i="8"/>
  <c r="AC928" i="8" s="1"/>
  <c r="AA929" i="8"/>
  <c r="AC929" i="8" s="1"/>
  <c r="AA930" i="8"/>
  <c r="AC930" i="8" s="1"/>
  <c r="AA931" i="8"/>
  <c r="AC931" i="8" s="1"/>
  <c r="AA932" i="8"/>
  <c r="AC932" i="8" s="1"/>
  <c r="AA933" i="8"/>
  <c r="AC933" i="8" s="1"/>
  <c r="AA934" i="8"/>
  <c r="AC934" i="8" s="1"/>
  <c r="AA935" i="8"/>
  <c r="AC935" i="8" s="1"/>
  <c r="AA936" i="8"/>
  <c r="AC936" i="8" s="1"/>
  <c r="AA937" i="8"/>
  <c r="AC937" i="8" s="1"/>
  <c r="AA938" i="8"/>
  <c r="AC938" i="8" s="1"/>
  <c r="AA939" i="8"/>
  <c r="AC939" i="8" s="1"/>
  <c r="AA940" i="8"/>
  <c r="AC940" i="8" s="1"/>
  <c r="AA941" i="8"/>
  <c r="AC941" i="8" s="1"/>
  <c r="AA942" i="8"/>
  <c r="AC942" i="8" s="1"/>
  <c r="AA943" i="8"/>
  <c r="AC943" i="8" s="1"/>
  <c r="AA944" i="8"/>
  <c r="AC944" i="8" s="1"/>
  <c r="AA945" i="8"/>
  <c r="AC945" i="8" s="1"/>
  <c r="AA946" i="8"/>
  <c r="AC946" i="8" s="1"/>
  <c r="AA947" i="8"/>
  <c r="AC947" i="8" s="1"/>
  <c r="AA948" i="8"/>
  <c r="AC948" i="8" s="1"/>
  <c r="AA949" i="8"/>
  <c r="AC949" i="8" s="1"/>
  <c r="AA950" i="8"/>
  <c r="AC950" i="8" s="1"/>
  <c r="AA951" i="8"/>
  <c r="AC951" i="8" s="1"/>
  <c r="AA952" i="8"/>
  <c r="AC952" i="8" s="1"/>
  <c r="AA953" i="8"/>
  <c r="AC953" i="8" s="1"/>
  <c r="AA954" i="8"/>
  <c r="AC954" i="8" s="1"/>
  <c r="AA955" i="8"/>
  <c r="AC955" i="8" s="1"/>
  <c r="AA956" i="8"/>
  <c r="AC956" i="8" s="1"/>
  <c r="AA957" i="8"/>
  <c r="AC957" i="8" s="1"/>
  <c r="AA958" i="8"/>
  <c r="AC958" i="8" s="1"/>
  <c r="AA959" i="8"/>
  <c r="AC959" i="8" s="1"/>
  <c r="AA960" i="8"/>
  <c r="AC960" i="8" s="1"/>
  <c r="AA961" i="8"/>
  <c r="AC961" i="8" s="1"/>
  <c r="AA962" i="8"/>
  <c r="AC962" i="8" s="1"/>
  <c r="AA963" i="8"/>
  <c r="AC963" i="8" s="1"/>
  <c r="AA964" i="8"/>
  <c r="AC964" i="8" s="1"/>
  <c r="AA965" i="8"/>
  <c r="AC965" i="8" s="1"/>
  <c r="AA966" i="8"/>
  <c r="AC966" i="8" s="1"/>
  <c r="AA967" i="8"/>
  <c r="AC967" i="8" s="1"/>
  <c r="AA968" i="8"/>
  <c r="AC968" i="8" s="1"/>
  <c r="AA969" i="8"/>
  <c r="AC969" i="8" s="1"/>
  <c r="AA970" i="8"/>
  <c r="AC970" i="8" s="1"/>
  <c r="AA971" i="8"/>
  <c r="AC971" i="8" s="1"/>
  <c r="AA972" i="8"/>
  <c r="AC972" i="8" s="1"/>
  <c r="AA973" i="8"/>
  <c r="AC973" i="8" s="1"/>
  <c r="AA974" i="8"/>
  <c r="AC974" i="8" s="1"/>
  <c r="AA975" i="8"/>
  <c r="AC975" i="8" s="1"/>
  <c r="AA976" i="8"/>
  <c r="AC976" i="8" s="1"/>
  <c r="AA977" i="8"/>
  <c r="AC977" i="8" s="1"/>
  <c r="AA978" i="8"/>
  <c r="AC978" i="8" s="1"/>
  <c r="AA979" i="8"/>
  <c r="AC979" i="8" s="1"/>
  <c r="AA980" i="8"/>
  <c r="AC980" i="8" s="1"/>
  <c r="AA981" i="8"/>
  <c r="AC981" i="8" s="1"/>
  <c r="AA982" i="8"/>
  <c r="AC982" i="8" s="1"/>
  <c r="AA983" i="8"/>
  <c r="AC983" i="8" s="1"/>
  <c r="AA984" i="8"/>
  <c r="AC984" i="8" s="1"/>
  <c r="AA985" i="8"/>
  <c r="AC985" i="8" s="1"/>
  <c r="AA986" i="8"/>
  <c r="AC986" i="8" s="1"/>
  <c r="AA987" i="8"/>
  <c r="AC987" i="8" s="1"/>
  <c r="AA988" i="8"/>
  <c r="AC988" i="8" s="1"/>
  <c r="AA989" i="8"/>
  <c r="AC989" i="8" s="1"/>
  <c r="AA990" i="8"/>
  <c r="AC990" i="8" s="1"/>
  <c r="AA991" i="8"/>
  <c r="AC991" i="8" s="1"/>
  <c r="AA992" i="8"/>
  <c r="AC992" i="8" s="1"/>
  <c r="AA993" i="8"/>
  <c r="AC993" i="8" s="1"/>
  <c r="AA994" i="8"/>
  <c r="AC994" i="8" s="1"/>
  <c r="AA995" i="8"/>
  <c r="AC995" i="8" s="1"/>
  <c r="AA996" i="8"/>
  <c r="AC996" i="8" s="1"/>
  <c r="AA997" i="8"/>
  <c r="AC997" i="8" s="1"/>
  <c r="AA998" i="8"/>
  <c r="AC998" i="8" s="1"/>
  <c r="AA999" i="8"/>
  <c r="AC999" i="8" s="1"/>
  <c r="AA1000" i="8"/>
  <c r="AC1000" i="8" s="1"/>
  <c r="AA1001" i="8"/>
  <c r="AC1001" i="8" s="1"/>
  <c r="AA1002" i="8"/>
  <c r="AC1002" i="8" s="1"/>
  <c r="AA1003" i="8"/>
  <c r="AC1003" i="8" s="1"/>
  <c r="AA1004" i="8"/>
  <c r="AC1004" i="8" s="1"/>
  <c r="AA1005" i="8"/>
  <c r="AC1005" i="8" s="1"/>
  <c r="AA1006" i="8"/>
  <c r="AC1006" i="8" s="1"/>
  <c r="AA1007" i="8"/>
  <c r="AC1007" i="8" s="1"/>
  <c r="AA1008" i="8"/>
  <c r="AC1008" i="8" s="1"/>
  <c r="AA1009" i="8"/>
  <c r="AC1009" i="8" s="1"/>
  <c r="AA1010" i="8"/>
  <c r="AC1010" i="8" s="1"/>
  <c r="AA1011" i="8"/>
  <c r="AC1011" i="8" s="1"/>
  <c r="AA1012" i="8"/>
  <c r="AC1012" i="8" s="1"/>
  <c r="AA1013" i="8"/>
  <c r="AC1013" i="8" s="1"/>
  <c r="AA1014" i="8"/>
  <c r="AC1014" i="8" s="1"/>
  <c r="AA1015" i="8"/>
  <c r="AC1015" i="8" s="1"/>
  <c r="AA1016" i="8"/>
  <c r="AC1016" i="8" s="1"/>
  <c r="AA1017" i="8"/>
  <c r="AC1017" i="8" s="1"/>
  <c r="AA1018" i="8"/>
  <c r="AC1018" i="8" s="1"/>
  <c r="AA1019" i="8"/>
  <c r="AC1019" i="8" s="1"/>
  <c r="AA1020" i="8"/>
  <c r="AC1020" i="8" s="1"/>
  <c r="AA1021" i="8"/>
  <c r="AC1021" i="8" s="1"/>
  <c r="AA1022" i="8"/>
  <c r="AC1022" i="8" s="1"/>
  <c r="AA1023" i="8"/>
  <c r="AC1023" i="8" s="1"/>
  <c r="AA1024" i="8"/>
  <c r="AC1024" i="8" s="1"/>
  <c r="AA1025" i="8"/>
  <c r="AC1025" i="8" s="1"/>
  <c r="AA1026" i="8"/>
  <c r="AC1026" i="8" s="1"/>
  <c r="AA1027" i="8"/>
  <c r="AC1027" i="8" s="1"/>
  <c r="AA1028" i="8"/>
  <c r="AC1028" i="8" s="1"/>
  <c r="AA1029" i="8"/>
  <c r="AC1029" i="8" s="1"/>
  <c r="AA1030" i="8"/>
  <c r="AC1030" i="8" s="1"/>
  <c r="AA1031" i="8"/>
  <c r="AC1031" i="8" s="1"/>
  <c r="AA1032" i="8"/>
  <c r="AC1032" i="8" s="1"/>
  <c r="AA1033" i="8"/>
  <c r="AC1033" i="8" s="1"/>
  <c r="AA1034" i="8"/>
  <c r="AC1034" i="8" s="1"/>
  <c r="AA1035" i="8"/>
  <c r="AC1035" i="8" s="1"/>
  <c r="AA1036" i="8"/>
  <c r="AC1036" i="8" s="1"/>
  <c r="AA1037" i="8"/>
  <c r="AC1037" i="8" s="1"/>
  <c r="AA1038" i="8"/>
  <c r="AC1038" i="8" s="1"/>
  <c r="AA1039" i="8"/>
  <c r="AC1039" i="8" s="1"/>
  <c r="AA1040" i="8"/>
  <c r="AC1040" i="8" s="1"/>
  <c r="AA1041" i="8"/>
  <c r="AC1041" i="8" s="1"/>
  <c r="AA1042" i="8"/>
  <c r="AC1042" i="8" s="1"/>
  <c r="AA1043" i="8"/>
  <c r="AC1043" i="8" s="1"/>
  <c r="AA1044" i="8"/>
  <c r="AC1044" i="8" s="1"/>
  <c r="AA1045" i="8"/>
  <c r="AC1045" i="8" s="1"/>
  <c r="AA1046" i="8"/>
  <c r="AC1046" i="8" s="1"/>
  <c r="AA1047" i="8"/>
  <c r="AC1047" i="8" s="1"/>
  <c r="AA1048" i="8"/>
  <c r="AC1048" i="8" s="1"/>
  <c r="AA1049" i="8"/>
  <c r="AC1049" i="8" s="1"/>
  <c r="AA1050" i="8"/>
  <c r="AC1050" i="8" s="1"/>
  <c r="AA1051" i="8"/>
  <c r="AC1051" i="8" s="1"/>
  <c r="AA1052" i="8"/>
  <c r="AC1052" i="8" s="1"/>
  <c r="AA1053" i="8"/>
  <c r="AC1053" i="8" s="1"/>
  <c r="AA1054" i="8"/>
  <c r="AC1054" i="8" s="1"/>
  <c r="AA1055" i="8"/>
  <c r="AC1055" i="8" s="1"/>
  <c r="AA1056" i="8"/>
  <c r="AC1056" i="8" s="1"/>
  <c r="AA1057" i="8"/>
  <c r="AC1057" i="8" s="1"/>
  <c r="AA1058" i="8"/>
  <c r="AC1058" i="8" s="1"/>
  <c r="AA1059" i="8"/>
  <c r="AC1059" i="8" s="1"/>
  <c r="AA1060" i="8"/>
  <c r="AC1060" i="8" s="1"/>
  <c r="AA1061" i="8"/>
  <c r="AC1061" i="8" s="1"/>
  <c r="AA1062" i="8"/>
  <c r="AC1062" i="8" s="1"/>
  <c r="AA1063" i="8"/>
  <c r="AC1063" i="8" s="1"/>
  <c r="AA1064" i="8"/>
  <c r="AC1064" i="8" s="1"/>
  <c r="AA1065" i="8"/>
  <c r="AC1065" i="8" s="1"/>
  <c r="AA1066" i="8"/>
  <c r="AC1066" i="8" s="1"/>
  <c r="AA1067" i="8"/>
  <c r="AC1067" i="8" s="1"/>
  <c r="AA1068" i="8"/>
  <c r="AC1068" i="8" s="1"/>
  <c r="AA1069" i="8"/>
  <c r="AC1069" i="8" s="1"/>
  <c r="AA1070" i="8"/>
  <c r="AC1070" i="8" s="1"/>
  <c r="AA1071" i="8"/>
  <c r="AC1071" i="8" s="1"/>
  <c r="AA1072" i="8"/>
  <c r="AC1072" i="8" s="1"/>
  <c r="AA1073" i="8"/>
  <c r="AC1073" i="8" s="1"/>
  <c r="AA1074" i="8"/>
  <c r="AC1074" i="8" s="1"/>
  <c r="AA1075" i="8"/>
  <c r="AC1075" i="8" s="1"/>
  <c r="AA1076" i="8"/>
  <c r="AC1076" i="8" s="1"/>
  <c r="AA1077" i="8"/>
  <c r="AC1077" i="8" s="1"/>
  <c r="AA1078" i="8"/>
  <c r="AC1078" i="8" s="1"/>
  <c r="AA1079" i="8"/>
  <c r="AC1079" i="8" s="1"/>
  <c r="AA1080" i="8"/>
  <c r="AC1080" i="8" s="1"/>
  <c r="AA1081" i="8"/>
  <c r="AC1081" i="8" s="1"/>
  <c r="AA1082" i="8"/>
  <c r="AC1082" i="8" s="1"/>
  <c r="AA1083" i="8"/>
  <c r="AC1083" i="8" s="1"/>
  <c r="AA1084" i="8"/>
  <c r="AC1084" i="8" s="1"/>
  <c r="AA1085" i="8"/>
  <c r="AC1085" i="8" s="1"/>
  <c r="AA1086" i="8"/>
  <c r="AC1086" i="8" s="1"/>
  <c r="AA1087" i="8"/>
  <c r="AC1087" i="8" s="1"/>
  <c r="AA1088" i="8"/>
  <c r="AC1088" i="8" s="1"/>
  <c r="AA1089" i="8"/>
  <c r="AC1089" i="8" s="1"/>
  <c r="AA1090" i="8"/>
  <c r="AC1090" i="8" s="1"/>
  <c r="AA1091" i="8"/>
  <c r="AC1091" i="8" s="1"/>
  <c r="AA1092" i="8"/>
  <c r="AC1092" i="8" s="1"/>
  <c r="AA1093" i="8"/>
  <c r="AC1093" i="8" s="1"/>
  <c r="AA1094" i="8"/>
  <c r="AC1094" i="8" s="1"/>
  <c r="AA1095" i="8"/>
  <c r="AC1095" i="8" s="1"/>
  <c r="AA1096" i="8"/>
  <c r="AC1096" i="8" s="1"/>
  <c r="AA1097" i="8"/>
  <c r="AC1097" i="8" s="1"/>
  <c r="AA1098" i="8"/>
  <c r="AC1098" i="8" s="1"/>
  <c r="AA1099" i="8"/>
  <c r="AC1099" i="8" s="1"/>
  <c r="AA1100" i="8"/>
  <c r="AC1100" i="8" s="1"/>
  <c r="AA1101" i="8"/>
  <c r="AC1101" i="8" s="1"/>
  <c r="AA1102" i="8"/>
  <c r="AC1102" i="8" s="1"/>
  <c r="AA1103" i="8"/>
  <c r="AC1103" i="8" s="1"/>
  <c r="AA1104" i="8"/>
  <c r="AC1104" i="8" s="1"/>
  <c r="AA1105" i="8"/>
  <c r="AC1105" i="8" s="1"/>
  <c r="AA1106" i="8"/>
  <c r="AC1106" i="8" s="1"/>
  <c r="AA1107" i="8"/>
  <c r="AC1107" i="8" s="1"/>
  <c r="AA1108" i="8"/>
  <c r="AC1108" i="8" s="1"/>
  <c r="AA1109" i="8"/>
  <c r="AC1109" i="8" s="1"/>
  <c r="AA1110" i="8"/>
  <c r="AC1110" i="8" s="1"/>
  <c r="AA1111" i="8"/>
  <c r="AC1111" i="8" s="1"/>
  <c r="AA1112" i="8"/>
  <c r="AC1112" i="8" s="1"/>
  <c r="AA1113" i="8"/>
  <c r="AC1113" i="8" s="1"/>
  <c r="AA1114" i="8"/>
  <c r="AC1114" i="8" s="1"/>
  <c r="AA1115" i="8"/>
  <c r="AC1115" i="8" s="1"/>
  <c r="AA1116" i="8"/>
  <c r="AC1116" i="8" s="1"/>
  <c r="AA1117" i="8"/>
  <c r="AC1117" i="8" s="1"/>
  <c r="AA1118" i="8"/>
  <c r="AC1118" i="8" s="1"/>
  <c r="AA1119" i="8"/>
  <c r="AC1119" i="8" s="1"/>
  <c r="AA1120" i="8"/>
  <c r="AC1120" i="8" s="1"/>
  <c r="AA1121" i="8"/>
  <c r="AC1121" i="8" s="1"/>
  <c r="AA1122" i="8"/>
  <c r="AC1122" i="8" s="1"/>
  <c r="AA1123" i="8"/>
  <c r="AC1123" i="8" s="1"/>
  <c r="AA1124" i="8"/>
  <c r="AC1124" i="8" s="1"/>
  <c r="AA1125" i="8"/>
  <c r="AC1125" i="8" s="1"/>
  <c r="AA1126" i="8"/>
  <c r="AC1126" i="8" s="1"/>
  <c r="AA1127" i="8"/>
  <c r="AC1127" i="8" s="1"/>
  <c r="AA1128" i="8"/>
  <c r="AC1128" i="8" s="1"/>
  <c r="AA1129" i="8"/>
  <c r="AC1129" i="8" s="1"/>
  <c r="AA1130" i="8"/>
  <c r="AC1130" i="8" s="1"/>
  <c r="AA1131" i="8"/>
  <c r="AC1131" i="8" s="1"/>
  <c r="AA1132" i="8"/>
  <c r="AC1132" i="8" s="1"/>
  <c r="AA1133" i="8"/>
  <c r="AC1133" i="8" s="1"/>
  <c r="AA1134" i="8"/>
  <c r="AC1134" i="8" s="1"/>
  <c r="AA1135" i="8"/>
  <c r="AC1135" i="8" s="1"/>
  <c r="AA1136" i="8"/>
  <c r="AC1136" i="8" s="1"/>
  <c r="AA1137" i="8"/>
  <c r="AC1137" i="8" s="1"/>
  <c r="AA1138" i="8"/>
  <c r="AC1138" i="8" s="1"/>
  <c r="AA1139" i="8"/>
  <c r="AC1139" i="8" s="1"/>
  <c r="AA1140" i="8"/>
  <c r="AC1140" i="8" s="1"/>
  <c r="AA1141" i="8"/>
  <c r="AC1141" i="8" s="1"/>
  <c r="AA1142" i="8"/>
  <c r="AC1142" i="8" s="1"/>
  <c r="AA1143" i="8"/>
  <c r="AC1143" i="8" s="1"/>
  <c r="AA1144" i="8"/>
  <c r="AC1144" i="8" s="1"/>
  <c r="AA1145" i="8"/>
  <c r="AC1145" i="8" s="1"/>
  <c r="AA1146" i="8"/>
  <c r="AC1146" i="8" s="1"/>
  <c r="AA1147" i="8"/>
  <c r="AC1147" i="8" s="1"/>
  <c r="AA1148" i="8"/>
  <c r="AC1148" i="8" s="1"/>
  <c r="AA1149" i="8"/>
  <c r="AC1149" i="8" s="1"/>
  <c r="AA1150" i="8"/>
  <c r="AC1150" i="8" s="1"/>
  <c r="AA1151" i="8"/>
  <c r="AC1151" i="8" s="1"/>
  <c r="AA1152" i="8"/>
  <c r="AC1152" i="8" s="1"/>
  <c r="AA1153" i="8"/>
  <c r="AC1153" i="8" s="1"/>
  <c r="AA1154" i="8"/>
  <c r="AC1154" i="8" s="1"/>
  <c r="AA1155" i="8"/>
  <c r="AC1155" i="8" s="1"/>
  <c r="AA1156" i="8"/>
  <c r="AC1156" i="8" s="1"/>
  <c r="AA1157" i="8"/>
  <c r="AC1157" i="8" s="1"/>
  <c r="AA1158" i="8"/>
  <c r="AC1158" i="8" s="1"/>
  <c r="AA1159" i="8"/>
  <c r="AC1159" i="8" s="1"/>
  <c r="AA1160" i="8"/>
  <c r="AC1160" i="8" s="1"/>
  <c r="AA1161" i="8"/>
  <c r="AC1161" i="8" s="1"/>
  <c r="AA1162" i="8"/>
  <c r="AC1162" i="8" s="1"/>
  <c r="AA1163" i="8"/>
  <c r="AC1163" i="8" s="1"/>
  <c r="AA1164" i="8"/>
  <c r="AC1164" i="8" s="1"/>
  <c r="AA1165" i="8"/>
  <c r="AC1165" i="8" s="1"/>
  <c r="AA1166" i="8"/>
  <c r="AC1166" i="8" s="1"/>
  <c r="AA1167" i="8"/>
  <c r="AC1167" i="8" s="1"/>
  <c r="AA1168" i="8"/>
  <c r="AC1168" i="8" s="1"/>
  <c r="AA1169" i="8"/>
  <c r="AC1169" i="8" s="1"/>
  <c r="AA1170" i="8"/>
  <c r="AC1170" i="8" s="1"/>
  <c r="AA1171" i="8"/>
  <c r="AC1171" i="8" s="1"/>
  <c r="AA1172" i="8"/>
  <c r="AC1172" i="8" s="1"/>
  <c r="AA1173" i="8"/>
  <c r="AC1173" i="8" s="1"/>
  <c r="AA1174" i="8"/>
  <c r="AC1174" i="8" s="1"/>
  <c r="AA1175" i="8"/>
  <c r="AC1175" i="8" s="1"/>
  <c r="AA1176" i="8"/>
  <c r="AC1176" i="8" s="1"/>
  <c r="AA1177" i="8"/>
  <c r="AC1177" i="8" s="1"/>
  <c r="AA1178" i="8"/>
  <c r="AC1178" i="8" s="1"/>
  <c r="AA1179" i="8"/>
  <c r="AC1179" i="8" s="1"/>
  <c r="AA1180" i="8"/>
  <c r="AC1180" i="8" s="1"/>
  <c r="AA1181" i="8"/>
  <c r="AC1181" i="8" s="1"/>
  <c r="AA1182" i="8"/>
  <c r="AC1182" i="8" s="1"/>
  <c r="AA1183" i="8"/>
  <c r="AC1183" i="8" s="1"/>
  <c r="AA1184" i="8"/>
  <c r="AC1184" i="8" s="1"/>
  <c r="AA1185" i="8"/>
  <c r="AC1185" i="8" s="1"/>
  <c r="AA1186" i="8"/>
  <c r="AC1186" i="8" s="1"/>
  <c r="AA1187" i="8"/>
  <c r="AC1187" i="8" s="1"/>
  <c r="AA1188" i="8"/>
  <c r="AC1188" i="8" s="1"/>
  <c r="AA1189" i="8"/>
  <c r="AC1189" i="8" s="1"/>
  <c r="AA1190" i="8"/>
  <c r="AC1190" i="8" s="1"/>
  <c r="AA1191" i="8"/>
  <c r="AC1191" i="8" s="1"/>
  <c r="AA1192" i="8"/>
  <c r="AC1192" i="8" s="1"/>
  <c r="AA1193" i="8"/>
  <c r="AC1193" i="8" s="1"/>
  <c r="AA1194" i="8"/>
  <c r="AC1194" i="8" s="1"/>
  <c r="AA1195" i="8"/>
  <c r="AC1195" i="8" s="1"/>
  <c r="AA1196" i="8"/>
  <c r="AC1196" i="8" s="1"/>
  <c r="AA1197" i="8"/>
  <c r="AC1197" i="8" s="1"/>
  <c r="AA1198" i="8"/>
  <c r="AC1198" i="8" s="1"/>
  <c r="AA1199" i="8"/>
  <c r="AC1199" i="8" s="1"/>
  <c r="AA1200" i="8"/>
  <c r="AC1200" i="8" s="1"/>
  <c r="AA1201" i="8"/>
  <c r="AC1201" i="8" s="1"/>
  <c r="AA1202" i="8"/>
  <c r="AC1202" i="8" s="1"/>
  <c r="AA1203" i="8"/>
  <c r="AC1203" i="8" s="1"/>
  <c r="AA1204" i="8"/>
  <c r="AC1204" i="8" s="1"/>
  <c r="AA1205" i="8"/>
  <c r="AC1205" i="8" s="1"/>
  <c r="AA1206" i="8"/>
  <c r="AC1206" i="8" s="1"/>
  <c r="AA1207" i="8"/>
  <c r="AC1207" i="8" s="1"/>
  <c r="AA1208" i="8"/>
  <c r="AC1208" i="8" s="1"/>
  <c r="AA1209" i="8"/>
  <c r="AC1209" i="8" s="1"/>
  <c r="AA1210" i="8"/>
  <c r="AC1210" i="8" s="1"/>
  <c r="AA1211" i="8"/>
  <c r="AC1211" i="8" s="1"/>
  <c r="AA1212" i="8"/>
  <c r="AC1212" i="8" s="1"/>
  <c r="AA1213" i="8"/>
  <c r="AC1213" i="8" s="1"/>
  <c r="AA1214" i="8"/>
  <c r="AC1214" i="8" s="1"/>
  <c r="AA1215" i="8"/>
  <c r="AC1215" i="8" s="1"/>
  <c r="AA1216" i="8"/>
  <c r="AC1216" i="8" s="1"/>
  <c r="AA1217" i="8"/>
  <c r="AC1217" i="8" s="1"/>
  <c r="AA1218" i="8"/>
  <c r="AC1218" i="8" s="1"/>
  <c r="AA1219" i="8"/>
  <c r="AC1219" i="8" s="1"/>
  <c r="AA1220" i="8"/>
  <c r="AC1220" i="8" s="1"/>
  <c r="AA1221" i="8"/>
  <c r="AC1221" i="8" s="1"/>
  <c r="AA1222" i="8"/>
  <c r="AC1222" i="8" s="1"/>
  <c r="AA1223" i="8"/>
  <c r="AC1223" i="8" s="1"/>
  <c r="AA1224" i="8"/>
  <c r="AC1224" i="8" s="1"/>
  <c r="AA1225" i="8"/>
  <c r="AC1225" i="8" s="1"/>
  <c r="AA1226" i="8"/>
  <c r="AC1226" i="8" s="1"/>
  <c r="AA1227" i="8"/>
  <c r="AC1227" i="8" s="1"/>
  <c r="AA1228" i="8"/>
  <c r="AC1228" i="8" s="1"/>
  <c r="AA1229" i="8"/>
  <c r="AC1229" i="8" s="1"/>
  <c r="AA1230" i="8"/>
  <c r="AC1230" i="8" s="1"/>
  <c r="AA1231" i="8"/>
  <c r="AC1231" i="8" s="1"/>
  <c r="AA1232" i="8"/>
  <c r="AC1232" i="8" s="1"/>
  <c r="AA1233" i="8"/>
  <c r="AC1233" i="8" s="1"/>
  <c r="AA1234" i="8"/>
  <c r="AC1234" i="8" s="1"/>
  <c r="AA1235" i="8"/>
  <c r="AC1235" i="8" s="1"/>
  <c r="AA1236" i="8"/>
  <c r="AC1236" i="8" s="1"/>
  <c r="AA1237" i="8"/>
  <c r="AC1237" i="8" s="1"/>
  <c r="AA1238" i="8"/>
  <c r="AC1238" i="8" s="1"/>
  <c r="AA1239" i="8"/>
  <c r="AC1239" i="8" s="1"/>
  <c r="AA1240" i="8"/>
  <c r="AC1240" i="8" s="1"/>
  <c r="AA1241" i="8"/>
  <c r="AC1241" i="8" s="1"/>
  <c r="AA1242" i="8"/>
  <c r="AC1242" i="8" s="1"/>
  <c r="AA1243" i="8"/>
  <c r="AC1243" i="8" s="1"/>
  <c r="AA1244" i="8"/>
  <c r="AC1244" i="8" s="1"/>
  <c r="AA1245" i="8"/>
  <c r="AC1245" i="8" s="1"/>
  <c r="AA1246" i="8"/>
  <c r="AC1246" i="8" s="1"/>
  <c r="AA1247" i="8"/>
  <c r="AC1247" i="8" s="1"/>
  <c r="AA1248" i="8"/>
  <c r="AC1248" i="8" s="1"/>
  <c r="AA1249" i="8"/>
  <c r="AC1249" i="8" s="1"/>
  <c r="AA1250" i="8"/>
  <c r="AC1250" i="8" s="1"/>
  <c r="AA1251" i="8"/>
  <c r="AC1251" i="8" s="1"/>
  <c r="AA1252" i="8"/>
  <c r="AC1252" i="8" s="1"/>
  <c r="AA1253" i="8"/>
  <c r="AC1253" i="8" s="1"/>
  <c r="AA1254" i="8"/>
  <c r="AC1254" i="8" s="1"/>
  <c r="AA1255" i="8"/>
  <c r="AC1255" i="8" s="1"/>
  <c r="AA1256" i="8"/>
  <c r="AC1256" i="8" s="1"/>
  <c r="AA1257" i="8"/>
  <c r="AC1257" i="8" s="1"/>
  <c r="AA1258" i="8"/>
  <c r="AC1258" i="8" s="1"/>
  <c r="AA1259" i="8"/>
  <c r="AC1259" i="8" s="1"/>
  <c r="AA1260" i="8"/>
  <c r="AC1260" i="8" s="1"/>
  <c r="AA1261" i="8"/>
  <c r="AC1261" i="8" s="1"/>
  <c r="AA1262" i="8"/>
  <c r="AC1262" i="8" s="1"/>
  <c r="AA1263" i="8"/>
  <c r="AC1263" i="8" s="1"/>
  <c r="AA1264" i="8"/>
  <c r="AC1264" i="8" s="1"/>
  <c r="AA1265" i="8"/>
  <c r="AC1265" i="8" s="1"/>
  <c r="AA1266" i="8"/>
  <c r="AC1266" i="8" s="1"/>
  <c r="AA1267" i="8"/>
  <c r="AC1267" i="8" s="1"/>
  <c r="AA1268" i="8"/>
  <c r="AC1268" i="8" s="1"/>
  <c r="AA1269" i="8"/>
  <c r="AC1269" i="8" s="1"/>
  <c r="AA1270" i="8"/>
  <c r="AC1270" i="8" s="1"/>
  <c r="AA1271" i="8"/>
  <c r="AC1271" i="8" s="1"/>
  <c r="AA1272" i="8"/>
  <c r="AC1272" i="8" s="1"/>
  <c r="AA1273" i="8"/>
  <c r="AC1273" i="8" s="1"/>
  <c r="AA1274" i="8"/>
  <c r="AC1274" i="8" s="1"/>
  <c r="AA1275" i="8"/>
  <c r="AC1275" i="8" s="1"/>
  <c r="AA1276" i="8"/>
  <c r="AC1276" i="8" s="1"/>
  <c r="AA1277" i="8"/>
  <c r="AC1277" i="8" s="1"/>
  <c r="AA1278" i="8"/>
  <c r="AC1278" i="8" s="1"/>
  <c r="AA1279" i="8"/>
  <c r="AC1279" i="8" s="1"/>
  <c r="AA1280" i="8"/>
  <c r="AC1280" i="8" s="1"/>
  <c r="AA1281" i="8"/>
  <c r="AC1281" i="8" s="1"/>
  <c r="AA1282" i="8"/>
  <c r="AC1282" i="8" s="1"/>
  <c r="AA1283" i="8"/>
  <c r="AC1283" i="8" s="1"/>
  <c r="AA1284" i="8"/>
  <c r="AC1284" i="8" s="1"/>
  <c r="AA1285" i="8"/>
  <c r="AC1285" i="8" s="1"/>
  <c r="AA1286" i="8"/>
  <c r="AC1286" i="8" s="1"/>
  <c r="AA1287" i="8"/>
  <c r="AC1287" i="8" s="1"/>
  <c r="AA1288" i="8"/>
  <c r="AC1288" i="8" s="1"/>
  <c r="AA1289" i="8"/>
  <c r="AC1289" i="8" s="1"/>
  <c r="AA1290" i="8"/>
  <c r="AC1290" i="8" s="1"/>
  <c r="AA1291" i="8"/>
  <c r="AC1291" i="8" s="1"/>
  <c r="AA1292" i="8"/>
  <c r="AC1292" i="8" s="1"/>
  <c r="AA1293" i="8"/>
  <c r="AC1293" i="8" s="1"/>
  <c r="AA1294" i="8"/>
  <c r="AC1294" i="8" s="1"/>
  <c r="AA1295" i="8"/>
  <c r="AC1295" i="8" s="1"/>
  <c r="AA1296" i="8"/>
  <c r="AC1296" i="8" s="1"/>
  <c r="AA1297" i="8"/>
  <c r="AC1297" i="8" s="1"/>
  <c r="AA1298" i="8"/>
  <c r="AC1298" i="8" s="1"/>
  <c r="AA1299" i="8"/>
  <c r="AC1299" i="8" s="1"/>
  <c r="AA1300" i="8"/>
  <c r="AC1300" i="8" s="1"/>
  <c r="AA1301" i="8"/>
  <c r="AC1301" i="8" s="1"/>
  <c r="AA1302" i="8"/>
  <c r="AC1302" i="8" s="1"/>
  <c r="AA1303" i="8"/>
  <c r="AC1303" i="8" s="1"/>
  <c r="AA1304" i="8"/>
  <c r="AC1304" i="8" s="1"/>
  <c r="AA1305" i="8"/>
  <c r="AC1305" i="8" s="1"/>
  <c r="AA1306" i="8"/>
  <c r="AC1306" i="8" s="1"/>
  <c r="AA1307" i="8"/>
  <c r="AC1307" i="8" s="1"/>
  <c r="AA1308" i="8"/>
  <c r="AC1308" i="8" s="1"/>
  <c r="AA1309" i="8"/>
  <c r="AC1309" i="8" s="1"/>
  <c r="AA1310" i="8"/>
  <c r="AC1310" i="8" s="1"/>
  <c r="AA1311" i="8"/>
  <c r="AC1311" i="8" s="1"/>
  <c r="AA1312" i="8"/>
  <c r="AC1312" i="8" s="1"/>
  <c r="AA1313" i="8"/>
  <c r="AC1313" i="8" s="1"/>
  <c r="AA1314" i="8"/>
  <c r="AC1314" i="8" s="1"/>
  <c r="AA1315" i="8"/>
  <c r="AC1315" i="8" s="1"/>
  <c r="AA1316" i="8"/>
  <c r="AC1316" i="8" s="1"/>
  <c r="AA1317" i="8"/>
  <c r="AC1317" i="8" s="1"/>
  <c r="AA1318" i="8"/>
  <c r="AC1318" i="8" s="1"/>
  <c r="AA1319" i="8"/>
  <c r="AC1319" i="8" s="1"/>
  <c r="AA1320" i="8"/>
  <c r="AC1320" i="8" s="1"/>
  <c r="AA1321" i="8"/>
  <c r="AC1321" i="8" s="1"/>
  <c r="AA1322" i="8"/>
  <c r="AC1322" i="8" s="1"/>
  <c r="AA1323" i="8"/>
  <c r="AC1323" i="8" s="1"/>
  <c r="AA1324" i="8"/>
  <c r="AC1324" i="8" s="1"/>
  <c r="AA1325" i="8"/>
  <c r="AC1325" i="8" s="1"/>
  <c r="AA1326" i="8"/>
  <c r="AC1326" i="8" s="1"/>
  <c r="AA1327" i="8"/>
  <c r="AC1327" i="8" s="1"/>
  <c r="AA1328" i="8"/>
  <c r="AC1328" i="8" s="1"/>
  <c r="AA1329" i="8"/>
  <c r="AC1329" i="8" s="1"/>
  <c r="AA1330" i="8"/>
  <c r="AC1330" i="8" s="1"/>
  <c r="AA1331" i="8"/>
  <c r="AC1331" i="8" s="1"/>
  <c r="AA1332" i="8"/>
  <c r="AC1332" i="8" s="1"/>
  <c r="AA1333" i="8"/>
  <c r="AC1333" i="8" s="1"/>
  <c r="AA1334" i="8"/>
  <c r="AC1334" i="8" s="1"/>
  <c r="AA1335" i="8"/>
  <c r="AC1335" i="8" s="1"/>
  <c r="AA1336" i="8"/>
  <c r="AC1336" i="8" s="1"/>
  <c r="AA1337" i="8"/>
  <c r="AC1337" i="8" s="1"/>
  <c r="AA1338" i="8"/>
  <c r="AC1338" i="8" s="1"/>
  <c r="AA1339" i="8"/>
  <c r="AC1339" i="8" s="1"/>
  <c r="AA1340" i="8"/>
  <c r="AC1340" i="8" s="1"/>
  <c r="AA1341" i="8"/>
  <c r="AC1341" i="8" s="1"/>
  <c r="AA1342" i="8"/>
  <c r="AC1342" i="8" s="1"/>
  <c r="AA1343" i="8"/>
  <c r="AC1343" i="8" s="1"/>
  <c r="AA1344" i="8"/>
  <c r="AC1344" i="8" s="1"/>
  <c r="AA1345" i="8"/>
  <c r="AC1345" i="8" s="1"/>
  <c r="AA1346" i="8"/>
  <c r="AC1346" i="8" s="1"/>
  <c r="AA1347" i="8"/>
  <c r="AC1347" i="8" s="1"/>
  <c r="AA1348" i="8"/>
  <c r="AC1348" i="8" s="1"/>
  <c r="AA1349" i="8"/>
  <c r="AC1349" i="8" s="1"/>
  <c r="AA1350" i="8"/>
  <c r="AC1350" i="8" s="1"/>
  <c r="AA1351" i="8"/>
  <c r="AC1351" i="8" s="1"/>
  <c r="AA1352" i="8"/>
  <c r="AC1352" i="8" s="1"/>
  <c r="AA1353" i="8"/>
  <c r="AC1353" i="8" s="1"/>
  <c r="AA1354" i="8"/>
  <c r="AC1354" i="8" s="1"/>
  <c r="AA1355" i="8"/>
  <c r="AC1355" i="8" s="1"/>
  <c r="AA1356" i="8"/>
  <c r="AC1356" i="8" s="1"/>
  <c r="AA1357" i="8"/>
  <c r="AC1357" i="8" s="1"/>
  <c r="AA1358" i="8"/>
  <c r="AC1358" i="8" s="1"/>
  <c r="AA1359" i="8"/>
  <c r="AC1359" i="8" s="1"/>
  <c r="AA1360" i="8"/>
  <c r="AC1360" i="8" s="1"/>
  <c r="AA1361" i="8"/>
  <c r="AC1361" i="8" s="1"/>
  <c r="AA1362" i="8"/>
  <c r="AC1362" i="8" s="1"/>
  <c r="AA1363" i="8"/>
  <c r="AC1363" i="8" s="1"/>
  <c r="AA1364" i="8"/>
  <c r="AC1364" i="8" s="1"/>
  <c r="AA1365" i="8"/>
  <c r="AC1365" i="8" s="1"/>
  <c r="AA1366" i="8"/>
  <c r="AC1366" i="8" s="1"/>
  <c r="AA1367" i="8"/>
  <c r="AC1367" i="8" s="1"/>
  <c r="AA1368" i="8"/>
  <c r="AC1368" i="8" s="1"/>
  <c r="AA1369" i="8"/>
  <c r="AC1369" i="8" s="1"/>
  <c r="AA1370" i="8"/>
  <c r="AC1370" i="8" s="1"/>
  <c r="AA1371" i="8"/>
  <c r="AC1371" i="8" s="1"/>
  <c r="AA1372" i="8"/>
  <c r="AC1372" i="8" s="1"/>
  <c r="AA1373" i="8"/>
  <c r="AC1373" i="8" s="1"/>
  <c r="AA1374" i="8"/>
  <c r="AC1374" i="8" s="1"/>
  <c r="AA1375" i="8"/>
  <c r="AC1375" i="8" s="1"/>
  <c r="AA1376" i="8"/>
  <c r="AC1376" i="8" s="1"/>
  <c r="AA1377" i="8"/>
  <c r="AC1377" i="8" s="1"/>
  <c r="AA1378" i="8"/>
  <c r="AC1378" i="8" s="1"/>
  <c r="AA1379" i="8"/>
  <c r="AC1379" i="8" s="1"/>
  <c r="AA1380" i="8"/>
  <c r="AC1380" i="8" s="1"/>
  <c r="AA1381" i="8"/>
  <c r="AC1381" i="8" s="1"/>
  <c r="AA1382" i="8"/>
  <c r="AC1382" i="8" s="1"/>
  <c r="AA1383" i="8"/>
  <c r="AC1383" i="8" s="1"/>
  <c r="AA1384" i="8"/>
  <c r="AC1384" i="8" s="1"/>
  <c r="AA1385" i="8"/>
  <c r="AC1385" i="8" s="1"/>
  <c r="AA1386" i="8"/>
  <c r="AC1386" i="8" s="1"/>
  <c r="AA1387" i="8"/>
  <c r="AC1387" i="8" s="1"/>
  <c r="AA1388" i="8"/>
  <c r="AC1388" i="8" s="1"/>
  <c r="AA1389" i="8"/>
  <c r="AC1389" i="8" s="1"/>
  <c r="AA1390" i="8"/>
  <c r="AC1390" i="8" s="1"/>
  <c r="AA1391" i="8"/>
  <c r="AC1391" i="8" s="1"/>
  <c r="AA1392" i="8"/>
  <c r="AC1392" i="8" s="1"/>
  <c r="AA1393" i="8"/>
  <c r="AC1393" i="8" s="1"/>
  <c r="AA1394" i="8"/>
  <c r="AC1394" i="8" s="1"/>
  <c r="AA1395" i="8"/>
  <c r="AC1395" i="8" s="1"/>
  <c r="AA1396" i="8"/>
  <c r="AC1396" i="8" s="1"/>
  <c r="AA1397" i="8"/>
  <c r="AC1397" i="8" s="1"/>
  <c r="AA1398" i="8"/>
  <c r="AC1398" i="8" s="1"/>
  <c r="AA1399" i="8"/>
  <c r="AC1399" i="8" s="1"/>
  <c r="AA1400" i="8"/>
  <c r="AC1400" i="8" s="1"/>
  <c r="AA1401" i="8"/>
  <c r="AC1401" i="8" s="1"/>
  <c r="AA1402" i="8"/>
  <c r="AC1402" i="8" s="1"/>
  <c r="AA1403" i="8"/>
  <c r="AC1403" i="8" s="1"/>
  <c r="AA1404" i="8"/>
  <c r="AC1404" i="8" s="1"/>
  <c r="AA1405" i="8"/>
  <c r="AC1405" i="8" s="1"/>
  <c r="AA1406" i="8"/>
  <c r="AC1406" i="8" s="1"/>
  <c r="AA1407" i="8"/>
  <c r="AC1407" i="8" s="1"/>
  <c r="AA1408" i="8"/>
  <c r="AC1408" i="8" s="1"/>
  <c r="AA1409" i="8"/>
  <c r="AC1409" i="8" s="1"/>
  <c r="AA1410" i="8"/>
  <c r="AC1410" i="8" s="1"/>
  <c r="AA1411" i="8"/>
  <c r="AC1411" i="8" s="1"/>
  <c r="AA1412" i="8"/>
  <c r="AC1412" i="8" s="1"/>
  <c r="AA1413" i="8"/>
  <c r="AC1413" i="8" s="1"/>
  <c r="AA1414" i="8"/>
  <c r="AC1414" i="8" s="1"/>
  <c r="AA1415" i="8"/>
  <c r="AC1415" i="8" s="1"/>
  <c r="AA1416" i="8"/>
  <c r="AC1416" i="8" s="1"/>
  <c r="AA1417" i="8"/>
  <c r="AC1417" i="8" s="1"/>
  <c r="AA1418" i="8"/>
  <c r="AC1418" i="8" s="1"/>
  <c r="AA1419" i="8"/>
  <c r="AC1419" i="8" s="1"/>
  <c r="AA1420" i="8"/>
  <c r="AC1420" i="8" s="1"/>
  <c r="AA1421" i="8"/>
  <c r="AC1421" i="8" s="1"/>
  <c r="AA1422" i="8"/>
  <c r="AC1422" i="8" s="1"/>
  <c r="AA1423" i="8"/>
  <c r="AC1423" i="8" s="1"/>
  <c r="AA1424" i="8"/>
  <c r="AC1424" i="8" s="1"/>
  <c r="AA1425" i="8"/>
  <c r="AC1425" i="8" s="1"/>
  <c r="AA1426" i="8"/>
  <c r="AC1426" i="8" s="1"/>
  <c r="AA1427" i="8"/>
  <c r="AC1427" i="8" s="1"/>
  <c r="AA1428" i="8"/>
  <c r="AC1428" i="8" s="1"/>
  <c r="AA1429" i="8"/>
  <c r="AC1429" i="8" s="1"/>
  <c r="AA1430" i="8"/>
  <c r="AC1430" i="8" s="1"/>
  <c r="AA1431" i="8"/>
  <c r="AC1431" i="8" s="1"/>
  <c r="AA1432" i="8"/>
  <c r="AC1432" i="8" s="1"/>
  <c r="AA1433" i="8"/>
  <c r="AC1433" i="8" s="1"/>
  <c r="AA1434" i="8"/>
  <c r="AC1434" i="8" s="1"/>
  <c r="AA1435" i="8"/>
  <c r="AC1435" i="8" s="1"/>
  <c r="AA1436" i="8"/>
  <c r="AC1436" i="8" s="1"/>
  <c r="AA1437" i="8"/>
  <c r="AC1437" i="8" s="1"/>
  <c r="AA1438" i="8"/>
  <c r="AC1438" i="8" s="1"/>
  <c r="AA1439" i="8"/>
  <c r="AC1439" i="8" s="1"/>
  <c r="AA1440" i="8"/>
  <c r="AC1440" i="8" s="1"/>
  <c r="AA1441" i="8"/>
  <c r="AC1441" i="8" s="1"/>
  <c r="AA1442" i="8"/>
  <c r="AC1442" i="8" s="1"/>
  <c r="AA1443" i="8"/>
  <c r="AC1443" i="8" s="1"/>
  <c r="AA1444" i="8"/>
  <c r="AC1444" i="8" s="1"/>
  <c r="AA1445" i="8"/>
  <c r="AC1445" i="8" s="1"/>
  <c r="AA1446" i="8"/>
  <c r="AC1446" i="8" s="1"/>
  <c r="AA1447" i="8"/>
  <c r="AC1447" i="8" s="1"/>
  <c r="AA1448" i="8"/>
  <c r="AC1448" i="8" s="1"/>
  <c r="AA1449" i="8"/>
  <c r="AC1449" i="8" s="1"/>
  <c r="AA1450" i="8"/>
  <c r="AC1450" i="8" s="1"/>
  <c r="AA1451" i="8"/>
  <c r="AC1451" i="8" s="1"/>
  <c r="AA1452" i="8"/>
  <c r="AC1452" i="8" s="1"/>
  <c r="AA1453" i="8"/>
  <c r="AC1453" i="8" s="1"/>
  <c r="AA1454" i="8"/>
  <c r="AC1454" i="8" s="1"/>
  <c r="AA1455" i="8"/>
  <c r="AC1455" i="8" s="1"/>
  <c r="AA1456" i="8"/>
  <c r="AC1456" i="8" s="1"/>
  <c r="AA1457" i="8"/>
  <c r="AC1457" i="8" s="1"/>
  <c r="AA1458" i="8"/>
  <c r="AC1458" i="8" s="1"/>
  <c r="AA1459" i="8"/>
  <c r="AC1459" i="8" s="1"/>
  <c r="AA1460" i="8"/>
  <c r="AC1460" i="8" s="1"/>
  <c r="AA1461" i="8"/>
  <c r="AC1461" i="8" s="1"/>
  <c r="AA1462" i="8"/>
  <c r="AC1462" i="8" s="1"/>
  <c r="AA1463" i="8"/>
  <c r="AC1463" i="8" s="1"/>
  <c r="AA1464" i="8"/>
  <c r="AC1464" i="8" s="1"/>
  <c r="AA1465" i="8"/>
  <c r="AC1465" i="8" s="1"/>
  <c r="AA1466" i="8"/>
  <c r="AC1466" i="8" s="1"/>
  <c r="AA1467" i="8"/>
  <c r="AC1467" i="8" s="1"/>
  <c r="AA1468" i="8"/>
  <c r="AC1468" i="8" s="1"/>
  <c r="AA1469" i="8"/>
  <c r="AC1469" i="8" s="1"/>
  <c r="AA1470" i="8"/>
  <c r="AC1470" i="8" s="1"/>
  <c r="AA1471" i="8"/>
  <c r="AC1471" i="8" s="1"/>
  <c r="AA1472" i="8"/>
  <c r="AC1472" i="8" s="1"/>
  <c r="AA1473" i="8"/>
  <c r="AC1473" i="8" s="1"/>
  <c r="AA1474" i="8"/>
  <c r="AC1474" i="8" s="1"/>
  <c r="AA1475" i="8"/>
  <c r="AC1475" i="8" s="1"/>
  <c r="AA1476" i="8"/>
  <c r="AC1476" i="8" s="1"/>
  <c r="AA1477" i="8"/>
  <c r="AC1477" i="8" s="1"/>
  <c r="AA1478" i="8"/>
  <c r="AC1478" i="8" s="1"/>
  <c r="AA1479" i="8"/>
  <c r="AC1479" i="8" s="1"/>
  <c r="AA1480" i="8"/>
  <c r="AC1480" i="8" s="1"/>
  <c r="AA1481" i="8"/>
  <c r="AC1481" i="8" s="1"/>
  <c r="AA1482" i="8"/>
  <c r="AC1482" i="8" s="1"/>
  <c r="AA1483" i="8"/>
  <c r="AC1483" i="8" s="1"/>
  <c r="AA1484" i="8"/>
  <c r="AC1484" i="8" s="1"/>
  <c r="AA1485" i="8"/>
  <c r="AC1485" i="8" s="1"/>
  <c r="AA1486" i="8"/>
  <c r="AC1486" i="8" s="1"/>
  <c r="AA1487" i="8"/>
  <c r="AC1487" i="8" s="1"/>
  <c r="AA1488" i="8"/>
  <c r="AC1488" i="8" s="1"/>
  <c r="AA1489" i="8"/>
  <c r="AC1489" i="8" s="1"/>
  <c r="AA1490" i="8"/>
  <c r="AC1490" i="8" s="1"/>
  <c r="AA1491" i="8"/>
  <c r="AC1491" i="8" s="1"/>
  <c r="AA1492" i="8"/>
  <c r="AC1492" i="8" s="1"/>
  <c r="AA1493" i="8"/>
  <c r="AC1493" i="8" s="1"/>
  <c r="AA1494" i="8"/>
  <c r="AC1494" i="8" s="1"/>
  <c r="AA1495" i="8"/>
  <c r="AC1495" i="8" s="1"/>
  <c r="AA1496" i="8"/>
  <c r="AC1496" i="8" s="1"/>
  <c r="AA1497" i="8"/>
  <c r="AC1497" i="8" s="1"/>
  <c r="AA1498" i="8"/>
  <c r="AC1498" i="8" s="1"/>
  <c r="AA1499" i="8"/>
  <c r="AC1499" i="8" s="1"/>
  <c r="AA1500" i="8"/>
  <c r="AC1500" i="8" s="1"/>
  <c r="AA1501" i="8"/>
  <c r="AC1501" i="8" s="1"/>
  <c r="AA1502" i="8"/>
  <c r="AC1502" i="8" s="1"/>
  <c r="AA1503" i="8"/>
  <c r="AC1503" i="8" s="1"/>
  <c r="AA1504" i="8"/>
  <c r="AC1504" i="8" s="1"/>
  <c r="AA1505" i="8"/>
  <c r="AC1505" i="8" s="1"/>
  <c r="AA1506" i="8"/>
  <c r="AC1506" i="8" s="1"/>
  <c r="AA1507" i="8"/>
  <c r="AC1507" i="8" s="1"/>
  <c r="AA1508" i="8"/>
  <c r="AC1508" i="8" s="1"/>
  <c r="AA1509" i="8"/>
  <c r="AC1509" i="8" s="1"/>
  <c r="AA1510" i="8"/>
  <c r="AC1510" i="8" s="1"/>
  <c r="AA1511" i="8"/>
  <c r="AC1511" i="8" s="1"/>
  <c r="AA1512" i="8"/>
  <c r="AC1512" i="8" s="1"/>
  <c r="AA1513" i="8"/>
  <c r="AC1513" i="8" s="1"/>
  <c r="AA1514" i="8"/>
  <c r="AC1514" i="8" s="1"/>
  <c r="AA1515" i="8"/>
  <c r="AC1515" i="8" s="1"/>
  <c r="AA1516" i="8"/>
  <c r="AC1516" i="8" s="1"/>
  <c r="AA1517" i="8"/>
  <c r="AC1517" i="8" s="1"/>
  <c r="AA1518" i="8"/>
  <c r="AC1518" i="8" s="1"/>
  <c r="AA1519" i="8"/>
  <c r="AC1519" i="8" s="1"/>
  <c r="AA1520" i="8"/>
  <c r="AC1520" i="8" s="1"/>
  <c r="AA1521" i="8"/>
  <c r="AC1521" i="8" s="1"/>
  <c r="AA1522" i="8"/>
  <c r="AC1522" i="8" s="1"/>
  <c r="AA1523" i="8"/>
  <c r="AC1523" i="8" s="1"/>
  <c r="AA1524" i="8"/>
  <c r="AC1524" i="8" s="1"/>
  <c r="AA1525" i="8"/>
  <c r="AC1525" i="8" s="1"/>
  <c r="AA1526" i="8"/>
  <c r="AC1526" i="8" s="1"/>
  <c r="AA1527" i="8"/>
  <c r="AC1527" i="8" s="1"/>
  <c r="AA1528" i="8"/>
  <c r="AC1528" i="8" s="1"/>
  <c r="AA1529" i="8"/>
  <c r="AC1529" i="8" s="1"/>
  <c r="AA1530" i="8"/>
  <c r="AC1530" i="8" s="1"/>
  <c r="AA1531" i="8"/>
  <c r="AC1531" i="8" s="1"/>
  <c r="AA1532" i="8"/>
  <c r="AC1532" i="8" s="1"/>
  <c r="AA1533" i="8"/>
  <c r="AC1533" i="8" s="1"/>
  <c r="AA1534" i="8"/>
  <c r="AC1534" i="8" s="1"/>
  <c r="AA1535" i="8"/>
  <c r="AC1535" i="8" s="1"/>
  <c r="AA1536" i="8"/>
  <c r="AC1536" i="8" s="1"/>
  <c r="AA1537" i="8"/>
  <c r="AC1537" i="8" s="1"/>
  <c r="AA1538" i="8"/>
  <c r="AC1538" i="8" s="1"/>
  <c r="AA1539" i="8"/>
  <c r="AC1539" i="8" s="1"/>
  <c r="AA1540" i="8"/>
  <c r="AC1540" i="8" s="1"/>
  <c r="AA1541" i="8"/>
  <c r="AC1541" i="8" s="1"/>
  <c r="AA1542" i="8"/>
  <c r="AC1542" i="8" s="1"/>
  <c r="AA1543" i="8"/>
  <c r="AC1543" i="8" s="1"/>
  <c r="AA1544" i="8"/>
  <c r="AC1544" i="8" s="1"/>
  <c r="AA1545" i="8"/>
  <c r="AC1545" i="8" s="1"/>
  <c r="AA1546" i="8"/>
  <c r="AC1546" i="8" s="1"/>
  <c r="AA1547" i="8"/>
  <c r="AC1547" i="8" s="1"/>
  <c r="AA1548" i="8"/>
  <c r="AC1548" i="8" s="1"/>
  <c r="AA1549" i="8"/>
  <c r="AC1549" i="8" s="1"/>
  <c r="AA1550" i="8"/>
  <c r="AC1550" i="8" s="1"/>
  <c r="AA1551" i="8"/>
  <c r="AC1551" i="8" s="1"/>
  <c r="AA1552" i="8"/>
  <c r="AC1552" i="8" s="1"/>
  <c r="AA1553" i="8"/>
  <c r="AC1553" i="8" s="1"/>
  <c r="AA1554" i="8"/>
  <c r="AC1554" i="8" s="1"/>
  <c r="AA1555" i="8"/>
  <c r="AC1555" i="8" s="1"/>
  <c r="AA1556" i="8"/>
  <c r="AC1556" i="8" s="1"/>
  <c r="AA1557" i="8"/>
  <c r="AC1557" i="8" s="1"/>
  <c r="AA1558" i="8"/>
  <c r="AC1558" i="8" s="1"/>
  <c r="AA1559" i="8"/>
  <c r="AC1559" i="8" s="1"/>
  <c r="AA1560" i="8"/>
  <c r="AC1560" i="8" s="1"/>
  <c r="AA1561" i="8"/>
  <c r="AC1561" i="8" s="1"/>
  <c r="AA1562" i="8"/>
  <c r="AC1562" i="8" s="1"/>
  <c r="AA1563" i="8"/>
  <c r="AC1563" i="8" s="1"/>
  <c r="AA1564" i="8"/>
  <c r="AC1564" i="8" s="1"/>
  <c r="AA1565" i="8"/>
  <c r="AC1565" i="8" s="1"/>
  <c r="AA1566" i="8"/>
  <c r="AC1566" i="8" s="1"/>
  <c r="AA1567" i="8"/>
  <c r="AC1567" i="8" s="1"/>
  <c r="AA1568" i="8"/>
  <c r="AC1568" i="8" s="1"/>
  <c r="AA1569" i="8"/>
  <c r="AC1569" i="8" s="1"/>
  <c r="AA1570" i="8"/>
  <c r="AC1570" i="8" s="1"/>
  <c r="AA1571" i="8"/>
  <c r="AC1571" i="8" s="1"/>
  <c r="AA1572" i="8"/>
  <c r="AC1572" i="8" s="1"/>
  <c r="AA1573" i="8"/>
  <c r="AC1573" i="8" s="1"/>
  <c r="AA1574" i="8"/>
  <c r="AC1574" i="8" s="1"/>
  <c r="AA1575" i="8"/>
  <c r="AC1575" i="8" s="1"/>
  <c r="AA1576" i="8"/>
  <c r="AC1576" i="8" s="1"/>
  <c r="AA1577" i="8"/>
  <c r="AC1577" i="8" s="1"/>
  <c r="AA1578" i="8"/>
  <c r="AC1578" i="8" s="1"/>
  <c r="AA1579" i="8"/>
  <c r="AC1579" i="8" s="1"/>
  <c r="AA1580" i="8"/>
  <c r="AC1580" i="8" s="1"/>
  <c r="AA1581" i="8"/>
  <c r="AC1581" i="8" s="1"/>
  <c r="AA1582" i="8"/>
  <c r="AC1582" i="8" s="1"/>
  <c r="AA1583" i="8"/>
  <c r="AC1583" i="8" s="1"/>
  <c r="AA1584" i="8"/>
  <c r="AC1584" i="8" s="1"/>
  <c r="AA1585" i="8"/>
  <c r="AC1585" i="8" s="1"/>
  <c r="AA1586" i="8"/>
  <c r="AC1586" i="8" s="1"/>
  <c r="AA1587" i="8"/>
  <c r="AC1587" i="8" s="1"/>
  <c r="AA1588" i="8"/>
  <c r="AC1588" i="8" s="1"/>
  <c r="AA1589" i="8"/>
  <c r="AC1589" i="8" s="1"/>
  <c r="AA1590" i="8"/>
  <c r="AC1590" i="8" s="1"/>
  <c r="AA1591" i="8"/>
  <c r="AC1591" i="8" s="1"/>
  <c r="AA1592" i="8"/>
  <c r="AC1592" i="8" s="1"/>
  <c r="AA1593" i="8"/>
  <c r="AC1593" i="8" s="1"/>
  <c r="AA1594" i="8"/>
  <c r="AC1594" i="8" s="1"/>
  <c r="AA1595" i="8"/>
  <c r="AC1595" i="8" s="1"/>
  <c r="AA1596" i="8"/>
  <c r="AC1596" i="8" s="1"/>
  <c r="AA1597" i="8"/>
  <c r="AC1597" i="8" s="1"/>
  <c r="AA1598" i="8"/>
  <c r="AC1598" i="8" s="1"/>
  <c r="AA1599" i="8"/>
  <c r="AC1599" i="8" s="1"/>
  <c r="AA1600" i="8"/>
  <c r="AC1600" i="8" s="1"/>
  <c r="AA1601" i="8"/>
  <c r="AC1601" i="8" s="1"/>
  <c r="AA1602" i="8"/>
  <c r="AC1602" i="8" s="1"/>
  <c r="AA1603" i="8"/>
  <c r="AC1603" i="8" s="1"/>
  <c r="AA1604" i="8"/>
  <c r="AC1604" i="8" s="1"/>
  <c r="AA1605" i="8"/>
  <c r="AC1605" i="8" s="1"/>
  <c r="AA1606" i="8"/>
  <c r="AC1606" i="8" s="1"/>
  <c r="AA1607" i="8"/>
  <c r="AC1607" i="8" s="1"/>
  <c r="AA1608" i="8"/>
  <c r="AC1608" i="8" s="1"/>
  <c r="AA1609" i="8"/>
  <c r="AC1609" i="8" s="1"/>
  <c r="AA1610" i="8"/>
  <c r="AC1610" i="8" s="1"/>
  <c r="AA1611" i="8"/>
  <c r="AC1611" i="8" s="1"/>
  <c r="AA1612" i="8"/>
  <c r="AC1612" i="8" s="1"/>
  <c r="AA1613" i="8"/>
  <c r="AC1613" i="8" s="1"/>
  <c r="AA1614" i="8"/>
  <c r="AC1614" i="8" s="1"/>
  <c r="AA1615" i="8"/>
  <c r="AC1615" i="8" s="1"/>
  <c r="AA1616" i="8"/>
  <c r="AC1616" i="8" s="1"/>
  <c r="AA1617" i="8"/>
  <c r="AC1617" i="8" s="1"/>
  <c r="AA1618" i="8"/>
  <c r="AC1618" i="8" s="1"/>
  <c r="AA1619" i="8"/>
  <c r="AC1619" i="8" s="1"/>
  <c r="AA1620" i="8"/>
  <c r="AC1620" i="8" s="1"/>
  <c r="AA1621" i="8"/>
  <c r="AC1621" i="8" s="1"/>
  <c r="AA1622" i="8"/>
  <c r="AC1622" i="8" s="1"/>
  <c r="AA1623" i="8"/>
  <c r="AC1623" i="8" s="1"/>
  <c r="AA1624" i="8"/>
  <c r="AC1624" i="8" s="1"/>
  <c r="AA1625" i="8"/>
  <c r="AC1625" i="8" s="1"/>
  <c r="AA1626" i="8"/>
  <c r="AC1626" i="8" s="1"/>
  <c r="AA1627" i="8"/>
  <c r="AC1627" i="8" s="1"/>
  <c r="AA1628" i="8"/>
  <c r="AC1628" i="8" s="1"/>
  <c r="AA1629" i="8"/>
  <c r="AC1629" i="8" s="1"/>
  <c r="AA1630" i="8"/>
  <c r="AC1630" i="8" s="1"/>
  <c r="AA1631" i="8"/>
  <c r="AC1631" i="8" s="1"/>
  <c r="AA1632" i="8"/>
  <c r="AC1632" i="8" s="1"/>
  <c r="AA1633" i="8"/>
  <c r="AC1633" i="8" s="1"/>
  <c r="AA1634" i="8"/>
  <c r="AC1634" i="8" s="1"/>
  <c r="AA1635" i="8"/>
  <c r="AC1635" i="8" s="1"/>
  <c r="AA1636" i="8"/>
  <c r="AC1636" i="8" s="1"/>
  <c r="AA1637" i="8"/>
  <c r="AC1637" i="8" s="1"/>
  <c r="AA1638" i="8"/>
  <c r="AC1638" i="8" s="1"/>
  <c r="AA1639" i="8"/>
  <c r="AC1639" i="8" s="1"/>
  <c r="AA1640" i="8"/>
  <c r="AC1640" i="8" s="1"/>
  <c r="AA1641" i="8"/>
  <c r="AC1641" i="8" s="1"/>
  <c r="AA1642" i="8"/>
  <c r="AC1642" i="8" s="1"/>
  <c r="AA1643" i="8"/>
  <c r="AC1643" i="8" s="1"/>
  <c r="AA1644" i="8"/>
  <c r="AC1644" i="8" s="1"/>
  <c r="AA1645" i="8"/>
  <c r="AC1645" i="8" s="1"/>
  <c r="AA1646" i="8"/>
  <c r="AC1646" i="8" s="1"/>
  <c r="AA1647" i="8"/>
  <c r="AC1647" i="8" s="1"/>
  <c r="AA1648" i="8"/>
  <c r="AC1648" i="8" s="1"/>
  <c r="AA1649" i="8"/>
  <c r="AC1649" i="8" s="1"/>
  <c r="AA1650" i="8"/>
  <c r="AC1650" i="8" s="1"/>
  <c r="AA1651" i="8"/>
  <c r="AC1651" i="8" s="1"/>
  <c r="AA1652" i="8"/>
  <c r="AC1652" i="8" s="1"/>
  <c r="AA1653" i="8"/>
  <c r="AC1653" i="8" s="1"/>
  <c r="AA1654" i="8"/>
  <c r="AC1654" i="8" s="1"/>
  <c r="AA1655" i="8"/>
  <c r="AC1655" i="8" s="1"/>
  <c r="AA1656" i="8"/>
  <c r="AC1656" i="8" s="1"/>
  <c r="AA1657" i="8"/>
  <c r="AC1657" i="8" s="1"/>
  <c r="AA1658" i="8"/>
  <c r="AC1658" i="8" s="1"/>
  <c r="AA1659" i="8"/>
  <c r="AC1659" i="8" s="1"/>
  <c r="AA1660" i="8"/>
  <c r="AC1660" i="8" s="1"/>
  <c r="AA1661" i="8"/>
  <c r="AC1661" i="8" s="1"/>
  <c r="AA1662" i="8"/>
  <c r="AC1662" i="8" s="1"/>
  <c r="AA1663" i="8"/>
  <c r="AC1663" i="8" s="1"/>
  <c r="AA1664" i="8"/>
  <c r="AC1664" i="8" s="1"/>
  <c r="AA1665" i="8"/>
  <c r="AC1665" i="8" s="1"/>
  <c r="AA1666" i="8"/>
  <c r="AC1666" i="8" s="1"/>
  <c r="AA1667" i="8"/>
  <c r="AC1667" i="8" s="1"/>
  <c r="AA1668" i="8"/>
  <c r="AC1668" i="8" s="1"/>
  <c r="AA1669" i="8"/>
  <c r="AC1669" i="8" s="1"/>
  <c r="AA1670" i="8"/>
  <c r="AC1670" i="8" s="1"/>
  <c r="AA1671" i="8"/>
  <c r="AC1671" i="8" s="1"/>
  <c r="AA1672" i="8"/>
  <c r="AC1672" i="8" s="1"/>
  <c r="AA1673" i="8"/>
  <c r="AC1673" i="8" s="1"/>
  <c r="AA1674" i="8"/>
  <c r="AC1674" i="8" s="1"/>
  <c r="AA1675" i="8"/>
  <c r="AC1675" i="8" s="1"/>
  <c r="AA1676" i="8"/>
  <c r="AC1676" i="8" s="1"/>
  <c r="AA1677" i="8"/>
  <c r="AC1677" i="8" s="1"/>
  <c r="AA1678" i="8"/>
  <c r="AC1678" i="8" s="1"/>
  <c r="AA1679" i="8"/>
  <c r="AC1679" i="8" s="1"/>
  <c r="AA1680" i="8"/>
  <c r="AC1680" i="8" s="1"/>
  <c r="AA1681" i="8"/>
  <c r="AC1681" i="8" s="1"/>
  <c r="AA1682" i="8"/>
  <c r="AC1682" i="8" s="1"/>
  <c r="AA1683" i="8"/>
  <c r="AC1683" i="8" s="1"/>
  <c r="AA1684" i="8"/>
  <c r="AC1684" i="8" s="1"/>
  <c r="AA1685" i="8"/>
  <c r="AC1685" i="8" s="1"/>
  <c r="AA1686" i="8"/>
  <c r="AC1686" i="8" s="1"/>
  <c r="AA1687" i="8"/>
  <c r="AC1687" i="8" s="1"/>
  <c r="AA1688" i="8"/>
  <c r="AC1688" i="8" s="1"/>
  <c r="AA1689" i="8"/>
  <c r="AC1689" i="8" s="1"/>
  <c r="AA1690" i="8"/>
  <c r="AC1690" i="8" s="1"/>
  <c r="AA1691" i="8"/>
  <c r="AC1691" i="8" s="1"/>
  <c r="AA1692" i="8"/>
  <c r="AC1692" i="8" s="1"/>
  <c r="AA1693" i="8"/>
  <c r="AC1693" i="8" s="1"/>
  <c r="AA1694" i="8"/>
  <c r="AC1694" i="8" s="1"/>
  <c r="AA1695" i="8"/>
  <c r="AC1695" i="8" s="1"/>
  <c r="AA1696" i="8"/>
  <c r="AC1696" i="8" s="1"/>
  <c r="AA1697" i="8"/>
  <c r="AC1697" i="8" s="1"/>
  <c r="AA1698" i="8"/>
  <c r="AC1698" i="8" s="1"/>
  <c r="AA1699" i="8"/>
  <c r="AC1699" i="8" s="1"/>
  <c r="AA1700" i="8"/>
  <c r="AC1700" i="8" s="1"/>
  <c r="AA1701" i="8"/>
  <c r="AC1701" i="8" s="1"/>
  <c r="AA1702" i="8"/>
  <c r="AC1702" i="8" s="1"/>
  <c r="AA1703" i="8"/>
  <c r="AC1703" i="8" s="1"/>
  <c r="AA1704" i="8"/>
  <c r="AC1704" i="8" s="1"/>
  <c r="AA1705" i="8"/>
  <c r="AC1705" i="8" s="1"/>
  <c r="AA1706" i="8"/>
  <c r="AC1706" i="8" s="1"/>
  <c r="AA1707" i="8"/>
  <c r="AC1707" i="8" s="1"/>
  <c r="AA1708" i="8"/>
  <c r="AC1708" i="8" s="1"/>
  <c r="AA1709" i="8"/>
  <c r="AC1709" i="8" s="1"/>
  <c r="AA1710" i="8"/>
  <c r="AC1710" i="8" s="1"/>
  <c r="AA1711" i="8"/>
  <c r="AC1711" i="8" s="1"/>
  <c r="AA1712" i="8"/>
  <c r="AC1712" i="8" s="1"/>
  <c r="AA1713" i="8"/>
  <c r="AC1713" i="8" s="1"/>
  <c r="AA1714" i="8"/>
  <c r="AC1714" i="8" s="1"/>
  <c r="AA1715" i="8"/>
  <c r="AC1715" i="8" s="1"/>
  <c r="AA1716" i="8"/>
  <c r="AC1716" i="8" s="1"/>
  <c r="AA1717" i="8"/>
  <c r="AC1717" i="8" s="1"/>
  <c r="AA1718" i="8"/>
  <c r="AC1718" i="8" s="1"/>
  <c r="AA1719" i="8"/>
  <c r="AC1719" i="8" s="1"/>
  <c r="AA1720" i="8"/>
  <c r="AC1720" i="8" s="1"/>
  <c r="AA1721" i="8"/>
  <c r="AC1721" i="8" s="1"/>
  <c r="AA1722" i="8"/>
  <c r="AC1722" i="8" s="1"/>
  <c r="AA1723" i="8"/>
  <c r="AC1723" i="8" s="1"/>
  <c r="AA1724" i="8"/>
  <c r="AC1724" i="8" s="1"/>
  <c r="AA1725" i="8"/>
  <c r="AC1725" i="8" s="1"/>
  <c r="AA1726" i="8"/>
  <c r="AC1726" i="8" s="1"/>
  <c r="AA1727" i="8"/>
  <c r="AC1727" i="8" s="1"/>
  <c r="AA1728" i="8"/>
  <c r="AC1728" i="8" s="1"/>
  <c r="AA1729" i="8"/>
  <c r="AC1729" i="8" s="1"/>
  <c r="AA1730" i="8"/>
  <c r="AC1730" i="8" s="1"/>
  <c r="AA1731" i="8"/>
  <c r="AC1731" i="8" s="1"/>
  <c r="AA1732" i="8"/>
  <c r="AC1732" i="8" s="1"/>
  <c r="AA1733" i="8"/>
  <c r="AC1733" i="8" s="1"/>
  <c r="AA1734" i="8"/>
  <c r="AC1734" i="8" s="1"/>
  <c r="AA1735" i="8"/>
  <c r="AC1735" i="8" s="1"/>
  <c r="AA1736" i="8"/>
  <c r="AC1736" i="8" s="1"/>
  <c r="AA1737" i="8"/>
  <c r="AC1737" i="8" s="1"/>
  <c r="AA1738" i="8"/>
  <c r="AC1738" i="8" s="1"/>
  <c r="AA1739" i="8"/>
  <c r="AC1739" i="8" s="1"/>
  <c r="AA1740" i="8"/>
  <c r="AC1740" i="8" s="1"/>
  <c r="AA1741" i="8"/>
  <c r="AC1741" i="8" s="1"/>
  <c r="AA1742" i="8"/>
  <c r="AC1742" i="8" s="1"/>
  <c r="AA1743" i="8"/>
  <c r="AC1743" i="8" s="1"/>
  <c r="AA1744" i="8"/>
  <c r="AC1744" i="8" s="1"/>
  <c r="AA1745" i="8"/>
  <c r="AC1745" i="8" s="1"/>
  <c r="AA1746" i="8"/>
  <c r="AC1746" i="8" s="1"/>
  <c r="AA1747" i="8"/>
  <c r="AC1747" i="8" s="1"/>
  <c r="AA1748" i="8"/>
  <c r="AC1748" i="8" s="1"/>
  <c r="AA1749" i="8"/>
  <c r="AC1749" i="8" s="1"/>
  <c r="AA1750" i="8"/>
  <c r="AC1750" i="8" s="1"/>
  <c r="AA1751" i="8"/>
  <c r="AC1751" i="8" s="1"/>
  <c r="AA1752" i="8"/>
  <c r="AC1752" i="8" s="1"/>
  <c r="AA1753" i="8"/>
  <c r="AC1753" i="8" s="1"/>
  <c r="AA1754" i="8"/>
  <c r="AC1754" i="8" s="1"/>
  <c r="AA1755" i="8"/>
  <c r="AC1755" i="8" s="1"/>
  <c r="AA1756" i="8"/>
  <c r="AC1756" i="8" s="1"/>
  <c r="AA1757" i="8"/>
  <c r="AC1757" i="8" s="1"/>
  <c r="AA1758" i="8"/>
  <c r="AC1758" i="8" s="1"/>
  <c r="AA1759" i="8"/>
  <c r="AC1759" i="8" s="1"/>
  <c r="AA1760" i="8"/>
  <c r="AC1760" i="8" s="1"/>
  <c r="AA1761" i="8"/>
  <c r="AC1761" i="8" s="1"/>
  <c r="AA1762" i="8"/>
  <c r="AC1762" i="8" s="1"/>
  <c r="AA1763" i="8"/>
  <c r="AC1763" i="8" s="1"/>
  <c r="AA1764" i="8"/>
  <c r="AC1764" i="8" s="1"/>
  <c r="AA1765" i="8"/>
  <c r="AC1765" i="8" s="1"/>
  <c r="AA1766" i="8"/>
  <c r="AC1766" i="8" s="1"/>
  <c r="AA1767" i="8"/>
  <c r="AC1767" i="8" s="1"/>
  <c r="AA1768" i="8"/>
  <c r="AC1768" i="8" s="1"/>
  <c r="AA1769" i="8"/>
  <c r="AC1769" i="8" s="1"/>
  <c r="AA1770" i="8"/>
  <c r="AC1770" i="8" s="1"/>
  <c r="AA1771" i="8"/>
  <c r="AC1771" i="8" s="1"/>
  <c r="AA1772" i="8"/>
  <c r="AC1772" i="8" s="1"/>
  <c r="AA1773" i="8"/>
  <c r="AC1773" i="8" s="1"/>
  <c r="AA1774" i="8"/>
  <c r="AC1774" i="8" s="1"/>
  <c r="AA1775" i="8"/>
  <c r="AC1775" i="8" s="1"/>
  <c r="AA1776" i="8"/>
  <c r="AC1776" i="8" s="1"/>
  <c r="AA1777" i="8"/>
  <c r="AC1777" i="8" s="1"/>
  <c r="AA1778" i="8"/>
  <c r="AC1778" i="8" s="1"/>
  <c r="AA1779" i="8"/>
  <c r="AC1779" i="8" s="1"/>
  <c r="AA1780" i="8"/>
  <c r="AC1780" i="8" s="1"/>
  <c r="AA1781" i="8"/>
  <c r="AC1781" i="8" s="1"/>
  <c r="AA1782" i="8"/>
  <c r="AC1782" i="8" s="1"/>
  <c r="AA1783" i="8"/>
  <c r="AC1783" i="8" s="1"/>
  <c r="AA1784" i="8"/>
  <c r="AC1784" i="8" s="1"/>
  <c r="AA1785" i="8"/>
  <c r="AC1785" i="8" s="1"/>
  <c r="AA1786" i="8"/>
  <c r="AC1786" i="8" s="1"/>
  <c r="AA1787" i="8"/>
  <c r="AC1787" i="8" s="1"/>
  <c r="AA1788" i="8"/>
  <c r="AC1788" i="8" s="1"/>
  <c r="AA1789" i="8"/>
  <c r="AC1789" i="8" s="1"/>
  <c r="AA1790" i="8"/>
  <c r="AC1790" i="8" s="1"/>
  <c r="AA1791" i="8"/>
  <c r="AC1791" i="8" s="1"/>
  <c r="AA1792" i="8"/>
  <c r="AC1792" i="8" s="1"/>
  <c r="AA1793" i="8"/>
  <c r="AC1793" i="8" s="1"/>
  <c r="AA1794" i="8"/>
  <c r="AC1794" i="8" s="1"/>
  <c r="AA1795" i="8"/>
  <c r="AC1795" i="8" s="1"/>
  <c r="AA1796" i="8"/>
  <c r="AC1796" i="8" s="1"/>
  <c r="AA1797" i="8"/>
  <c r="AC1797" i="8" s="1"/>
  <c r="AA1798" i="8"/>
  <c r="AC1798" i="8" s="1"/>
  <c r="AA1799" i="8"/>
  <c r="AC1799" i="8" s="1"/>
  <c r="AA1800" i="8"/>
  <c r="AC1800" i="8" s="1"/>
  <c r="AA1801" i="8"/>
  <c r="AC1801" i="8" s="1"/>
  <c r="AA1802" i="8"/>
  <c r="AC1802" i="8" s="1"/>
  <c r="AA1803" i="8"/>
  <c r="AC1803" i="8" s="1"/>
  <c r="AA1804" i="8"/>
  <c r="AC1804" i="8" s="1"/>
  <c r="AA1805" i="8"/>
  <c r="AC1805" i="8" s="1"/>
  <c r="AA1806" i="8"/>
  <c r="AC1806" i="8" s="1"/>
  <c r="AA1807" i="8"/>
  <c r="AC1807" i="8" s="1"/>
  <c r="AA1808" i="8"/>
  <c r="AC1808" i="8" s="1"/>
  <c r="AA1809" i="8"/>
  <c r="AC1809" i="8" s="1"/>
  <c r="AA1810" i="8"/>
  <c r="AC1810" i="8" s="1"/>
  <c r="AA1811" i="8"/>
  <c r="AC1811" i="8" s="1"/>
  <c r="AA1812" i="8"/>
  <c r="AC1812" i="8" s="1"/>
  <c r="AA1813" i="8"/>
  <c r="AC1813" i="8" s="1"/>
  <c r="AA1814" i="8"/>
  <c r="AC1814" i="8" s="1"/>
  <c r="AA1815" i="8"/>
  <c r="AC1815" i="8" s="1"/>
  <c r="AA1816" i="8"/>
  <c r="AC1816" i="8" s="1"/>
  <c r="AA1817" i="8"/>
  <c r="AC1817" i="8" s="1"/>
  <c r="AA1818" i="8"/>
  <c r="AC1818" i="8" s="1"/>
  <c r="AA1819" i="8"/>
  <c r="AC1819" i="8" s="1"/>
  <c r="AA1820" i="8"/>
  <c r="AC1820" i="8" s="1"/>
  <c r="AA1821" i="8"/>
  <c r="AC1821" i="8" s="1"/>
  <c r="AA1822" i="8"/>
  <c r="AC1822" i="8" s="1"/>
  <c r="AA1823" i="8"/>
  <c r="AC1823" i="8" s="1"/>
  <c r="AA1824" i="8"/>
  <c r="AC1824" i="8" s="1"/>
  <c r="AA1825" i="8"/>
  <c r="AC1825" i="8" s="1"/>
  <c r="AA1826" i="8"/>
  <c r="AC1826" i="8" s="1"/>
  <c r="AA1827" i="8"/>
  <c r="AC1827" i="8" s="1"/>
  <c r="AA1828" i="8"/>
  <c r="AC1828" i="8" s="1"/>
  <c r="AA1829" i="8"/>
  <c r="AC1829" i="8" s="1"/>
  <c r="AA1830" i="8"/>
  <c r="AC1830" i="8" s="1"/>
  <c r="AA1831" i="8"/>
  <c r="AC1831" i="8" s="1"/>
  <c r="AA1832" i="8"/>
  <c r="AC1832" i="8" s="1"/>
  <c r="AA1833" i="8"/>
  <c r="AC1833" i="8" s="1"/>
  <c r="AA1834" i="8"/>
  <c r="AC1834" i="8" s="1"/>
  <c r="AA1835" i="8"/>
  <c r="AC1835" i="8" s="1"/>
  <c r="AA1836" i="8"/>
  <c r="AC1836" i="8" s="1"/>
  <c r="AA1837" i="8"/>
  <c r="AC1837" i="8" s="1"/>
  <c r="AA1838" i="8"/>
  <c r="AC1838" i="8" s="1"/>
  <c r="AA1839" i="8"/>
  <c r="AC1839" i="8" s="1"/>
  <c r="AA1840" i="8"/>
  <c r="AC1840" i="8" s="1"/>
  <c r="AA1841" i="8"/>
  <c r="AC1841" i="8" s="1"/>
  <c r="AA1842" i="8"/>
  <c r="AC1842" i="8" s="1"/>
  <c r="AA1843" i="8"/>
  <c r="AC1843" i="8" s="1"/>
  <c r="AA1844" i="8"/>
  <c r="AC1844" i="8" s="1"/>
  <c r="AA1845" i="8"/>
  <c r="AC1845" i="8" s="1"/>
  <c r="AA1846" i="8"/>
  <c r="AC1846" i="8" s="1"/>
  <c r="AA1847" i="8"/>
  <c r="AC1847" i="8" s="1"/>
  <c r="AA1848" i="8"/>
  <c r="AC1848" i="8" s="1"/>
  <c r="AA1849" i="8"/>
  <c r="AC1849" i="8" s="1"/>
  <c r="AA1850" i="8"/>
  <c r="AC1850" i="8" s="1"/>
  <c r="AA1851" i="8"/>
  <c r="AC1851" i="8" s="1"/>
  <c r="AA1852" i="8"/>
  <c r="AC1852" i="8" s="1"/>
  <c r="AA1853" i="8"/>
  <c r="AC1853" i="8" s="1"/>
  <c r="AA1854" i="8"/>
  <c r="AC1854" i="8" s="1"/>
  <c r="AA1855" i="8"/>
  <c r="AC1855" i="8" s="1"/>
  <c r="AA1856" i="8"/>
  <c r="AC1856" i="8" s="1"/>
  <c r="AA1857" i="8"/>
  <c r="AC1857" i="8" s="1"/>
  <c r="AA1858" i="8"/>
  <c r="AC1858" i="8" s="1"/>
  <c r="AA1859" i="8"/>
  <c r="AC1859" i="8" s="1"/>
  <c r="AA1860" i="8"/>
  <c r="AC1860" i="8" s="1"/>
  <c r="AA1861" i="8"/>
  <c r="AC1861" i="8" s="1"/>
  <c r="AA1862" i="8"/>
  <c r="AC1862" i="8" s="1"/>
  <c r="AA1863" i="8"/>
  <c r="AC1863" i="8" s="1"/>
  <c r="AA1864" i="8"/>
  <c r="AC1864" i="8" s="1"/>
  <c r="AA1865" i="8"/>
  <c r="AC1865" i="8" s="1"/>
  <c r="AA1866" i="8"/>
  <c r="AC1866" i="8" s="1"/>
  <c r="AA1867" i="8"/>
  <c r="AC1867" i="8" s="1"/>
  <c r="AA1868" i="8"/>
  <c r="AC1868" i="8" s="1"/>
  <c r="AA1869" i="8"/>
  <c r="AC1869" i="8" s="1"/>
  <c r="AA1870" i="8"/>
  <c r="AC1870" i="8" s="1"/>
  <c r="AA1871" i="8"/>
  <c r="AC1871" i="8" s="1"/>
  <c r="AA1872" i="8"/>
  <c r="AC1872" i="8" s="1"/>
  <c r="AA1873" i="8"/>
  <c r="AC1873" i="8" s="1"/>
  <c r="AA1874" i="8"/>
  <c r="AC1874" i="8" s="1"/>
  <c r="AA1875" i="8"/>
  <c r="AC1875" i="8" s="1"/>
  <c r="AA1876" i="8"/>
  <c r="AC1876" i="8" s="1"/>
  <c r="AA1877" i="8"/>
  <c r="AC1877" i="8" s="1"/>
  <c r="AA1878" i="8"/>
  <c r="AC1878" i="8" s="1"/>
  <c r="AA1879" i="8"/>
  <c r="AC1879" i="8" s="1"/>
  <c r="AA1880" i="8"/>
  <c r="AC1880" i="8" s="1"/>
  <c r="AA1881" i="8"/>
  <c r="AC1881" i="8" s="1"/>
  <c r="AA1882" i="8"/>
  <c r="AC1882" i="8" s="1"/>
  <c r="AA1883" i="8"/>
  <c r="AC1883" i="8" s="1"/>
  <c r="AA1884" i="8"/>
  <c r="AC1884" i="8" s="1"/>
  <c r="AA1885" i="8"/>
  <c r="AC1885" i="8" s="1"/>
  <c r="AA1886" i="8"/>
  <c r="AC1886" i="8" s="1"/>
  <c r="AA1887" i="8"/>
  <c r="AC1887" i="8" s="1"/>
  <c r="AA1888" i="8"/>
  <c r="AC1888" i="8" s="1"/>
  <c r="AA1889" i="8"/>
  <c r="AC1889" i="8" s="1"/>
  <c r="AA1890" i="8"/>
  <c r="AC1890" i="8" s="1"/>
  <c r="AA1891" i="8"/>
  <c r="AC1891" i="8" s="1"/>
  <c r="AA1892" i="8"/>
  <c r="AC1892" i="8" s="1"/>
  <c r="AA1893" i="8"/>
  <c r="AC1893" i="8" s="1"/>
  <c r="AA1894" i="8"/>
  <c r="AC1894" i="8" s="1"/>
  <c r="AA1895" i="8"/>
  <c r="AC1895" i="8" s="1"/>
  <c r="AA1896" i="8"/>
  <c r="AC1896" i="8" s="1"/>
  <c r="AA1897" i="8"/>
  <c r="AC1897" i="8" s="1"/>
  <c r="AA1898" i="8"/>
  <c r="AC1898" i="8" s="1"/>
  <c r="AA1899" i="8"/>
  <c r="AC1899" i="8" s="1"/>
  <c r="AA1900" i="8"/>
  <c r="AC1900" i="8" s="1"/>
  <c r="AA1901" i="8"/>
  <c r="AC1901" i="8" s="1"/>
  <c r="AA1902" i="8"/>
  <c r="AC1902" i="8" s="1"/>
  <c r="AA1903" i="8"/>
  <c r="AC1903" i="8" s="1"/>
  <c r="AA1904" i="8"/>
  <c r="AC1904" i="8" s="1"/>
  <c r="AA1905" i="8"/>
  <c r="AC1905" i="8" s="1"/>
  <c r="AA1906" i="8"/>
  <c r="AC1906" i="8" s="1"/>
  <c r="AA1907" i="8"/>
  <c r="AC1907" i="8" s="1"/>
  <c r="AA1908" i="8"/>
  <c r="AC1908" i="8" s="1"/>
  <c r="AA1909" i="8"/>
  <c r="AC1909" i="8" s="1"/>
  <c r="AA1910" i="8"/>
  <c r="AC1910" i="8" s="1"/>
  <c r="AA1911" i="8"/>
  <c r="AC1911" i="8" s="1"/>
  <c r="AA1912" i="8"/>
  <c r="AC1912" i="8" s="1"/>
  <c r="AA1913" i="8"/>
  <c r="AC1913" i="8" s="1"/>
  <c r="AA1914" i="8"/>
  <c r="AC1914" i="8" s="1"/>
  <c r="AA1915" i="8"/>
  <c r="AC1915" i="8" s="1"/>
  <c r="AA1916" i="8"/>
  <c r="AC1916" i="8" s="1"/>
  <c r="AA1917" i="8"/>
  <c r="AC1917" i="8" s="1"/>
  <c r="AA1918" i="8"/>
  <c r="AC1918" i="8" s="1"/>
  <c r="AA1919" i="8"/>
  <c r="AC1919" i="8" s="1"/>
  <c r="AA1920" i="8"/>
  <c r="AC1920" i="8" s="1"/>
  <c r="AA1921" i="8"/>
  <c r="AC1921" i="8" s="1"/>
  <c r="AA1922" i="8"/>
  <c r="AC1922" i="8" s="1"/>
  <c r="AA1923" i="8"/>
  <c r="AC1923" i="8" s="1"/>
  <c r="AA1924" i="8"/>
  <c r="AC1924" i="8" s="1"/>
  <c r="AA1925" i="8"/>
  <c r="AC1925" i="8" s="1"/>
  <c r="AA1926" i="8"/>
  <c r="AC1926" i="8" s="1"/>
  <c r="AA1927" i="8"/>
  <c r="AC1927" i="8" s="1"/>
  <c r="AA1928" i="8"/>
  <c r="AC1928" i="8" s="1"/>
  <c r="AA1929" i="8"/>
  <c r="AC1929" i="8" s="1"/>
  <c r="AA1930" i="8"/>
  <c r="AC1930" i="8" s="1"/>
  <c r="AA1931" i="8"/>
  <c r="AC1931" i="8" s="1"/>
  <c r="AA1932" i="8"/>
  <c r="AC1932" i="8" s="1"/>
  <c r="AA1933" i="8"/>
  <c r="AC1933" i="8" s="1"/>
  <c r="AA1934" i="8"/>
  <c r="AC1934" i="8" s="1"/>
  <c r="AA1935" i="8"/>
  <c r="AC1935" i="8" s="1"/>
  <c r="AA1936" i="8"/>
  <c r="AC1936" i="8" s="1"/>
  <c r="AA1937" i="8"/>
  <c r="AC1937" i="8" s="1"/>
  <c r="AA1938" i="8"/>
  <c r="AC1938" i="8" s="1"/>
  <c r="AA1939" i="8"/>
  <c r="AC1939" i="8" s="1"/>
  <c r="AA1940" i="8"/>
  <c r="AC1940" i="8" s="1"/>
  <c r="AA1941" i="8"/>
  <c r="AC1941" i="8" s="1"/>
  <c r="AA1942" i="8"/>
  <c r="AC1942" i="8" s="1"/>
  <c r="AA1943" i="8"/>
  <c r="AC1943" i="8" s="1"/>
  <c r="AA1944" i="8"/>
  <c r="AC1944" i="8" s="1"/>
  <c r="AA1945" i="8"/>
  <c r="AC1945" i="8" s="1"/>
  <c r="AA1946" i="8"/>
  <c r="AC1946" i="8" s="1"/>
  <c r="AA1947" i="8"/>
  <c r="AC1947" i="8" s="1"/>
  <c r="AA1948" i="8"/>
  <c r="AC1948" i="8" s="1"/>
  <c r="AA1949" i="8"/>
  <c r="AC1949" i="8" s="1"/>
  <c r="AA1950" i="8"/>
  <c r="AC1950" i="8" s="1"/>
  <c r="AA1951" i="8"/>
  <c r="AC1951" i="8" s="1"/>
  <c r="AA1952" i="8"/>
  <c r="AC1952" i="8" s="1"/>
  <c r="AA1953" i="8"/>
  <c r="AC1953" i="8" s="1"/>
  <c r="AA1954" i="8"/>
  <c r="AC1954" i="8" s="1"/>
  <c r="AA1955" i="8"/>
  <c r="AC1955" i="8" s="1"/>
  <c r="AA1956" i="8"/>
  <c r="AC1956" i="8" s="1"/>
  <c r="AA1957" i="8"/>
  <c r="AC1957" i="8" s="1"/>
  <c r="AA1958" i="8"/>
  <c r="AC1958" i="8" s="1"/>
  <c r="AA1959" i="8"/>
  <c r="AC1959" i="8" s="1"/>
  <c r="AA1960" i="8"/>
  <c r="AC1960" i="8" s="1"/>
  <c r="AA1961" i="8"/>
  <c r="AC1961" i="8" s="1"/>
  <c r="AA1962" i="8"/>
  <c r="AC1962" i="8" s="1"/>
  <c r="AA1963" i="8"/>
  <c r="AC1963" i="8" s="1"/>
  <c r="AA1964" i="8"/>
  <c r="AC1964" i="8" s="1"/>
  <c r="AA1965" i="8"/>
  <c r="AC1965" i="8" s="1"/>
  <c r="AA1966" i="8"/>
  <c r="AC1966" i="8" s="1"/>
  <c r="AA1967" i="8"/>
  <c r="AC1967" i="8" s="1"/>
  <c r="AA1968" i="8"/>
  <c r="AC1968" i="8" s="1"/>
  <c r="AA1969" i="8"/>
  <c r="AC1969" i="8" s="1"/>
  <c r="AA1970" i="8"/>
  <c r="AC1970" i="8" s="1"/>
  <c r="AA1971" i="8"/>
  <c r="AC1971" i="8" s="1"/>
  <c r="AA1972" i="8"/>
  <c r="AC1972" i="8" s="1"/>
  <c r="AA1973" i="8"/>
  <c r="AC1973" i="8" s="1"/>
  <c r="AA1974" i="8"/>
  <c r="AC1974" i="8" s="1"/>
  <c r="AA1975" i="8"/>
  <c r="AC1975" i="8" s="1"/>
  <c r="AA1976" i="8"/>
  <c r="AC1976" i="8" s="1"/>
  <c r="AA1977" i="8"/>
  <c r="AC1977" i="8" s="1"/>
  <c r="AA1978" i="8"/>
  <c r="AC1978" i="8" s="1"/>
  <c r="AA1979" i="8"/>
  <c r="AC1979" i="8" s="1"/>
  <c r="AA1980" i="8"/>
  <c r="AC1980" i="8" s="1"/>
  <c r="AA1981" i="8"/>
  <c r="AC1981" i="8" s="1"/>
  <c r="AA1982" i="8"/>
  <c r="AC1982" i="8" s="1"/>
  <c r="AA1983" i="8"/>
  <c r="AC1983" i="8" s="1"/>
  <c r="AA1984" i="8"/>
  <c r="AC1984" i="8" s="1"/>
  <c r="AA1985" i="8"/>
  <c r="AC1985" i="8" s="1"/>
  <c r="AA1986" i="8"/>
  <c r="AC1986" i="8" s="1"/>
  <c r="AA1987" i="8"/>
  <c r="AC1987" i="8" s="1"/>
  <c r="AA1988" i="8"/>
  <c r="AC1988" i="8" s="1"/>
  <c r="AA1989" i="8"/>
  <c r="AC1989" i="8" s="1"/>
  <c r="AA1990" i="8"/>
  <c r="AC1990" i="8" s="1"/>
  <c r="AA1991" i="8"/>
  <c r="AC1991" i="8" s="1"/>
  <c r="AA1992" i="8"/>
  <c r="AC1992" i="8" s="1"/>
  <c r="AA1993" i="8"/>
  <c r="AC1993" i="8" s="1"/>
  <c r="AA1994" i="8"/>
  <c r="AC1994" i="8" s="1"/>
  <c r="AA1995" i="8"/>
  <c r="AC1995" i="8" s="1"/>
  <c r="AA1996" i="8"/>
  <c r="AC1996" i="8" s="1"/>
  <c r="AA1997" i="8"/>
  <c r="AC1997" i="8" s="1"/>
  <c r="AA1998" i="8"/>
  <c r="AC1998" i="8" s="1"/>
  <c r="AA1999" i="8"/>
  <c r="AC1999" i="8" s="1"/>
  <c r="AA2000" i="8"/>
  <c r="AC2000" i="8" s="1"/>
  <c r="AA2001" i="8"/>
  <c r="AC2001" i="8" s="1"/>
  <c r="AA2002" i="8"/>
  <c r="AC2002" i="8" s="1"/>
  <c r="AA2003" i="8"/>
  <c r="AC2003" i="8" s="1"/>
  <c r="AA2004" i="8"/>
  <c r="AC2004" i="8" s="1"/>
  <c r="AA2005" i="8"/>
  <c r="AC2005" i="8" s="1"/>
  <c r="AA2006" i="8"/>
  <c r="AC2006" i="8" s="1"/>
  <c r="AA2007" i="8"/>
  <c r="AC2007" i="8" s="1"/>
  <c r="AA2008" i="8"/>
  <c r="AC2008" i="8" s="1"/>
  <c r="AA2009" i="8"/>
  <c r="AC2009" i="8" s="1"/>
  <c r="AA2010" i="8"/>
  <c r="AC2010" i="8" s="1"/>
  <c r="AA2011" i="8"/>
  <c r="AC2011" i="8" s="1"/>
  <c r="AA2012" i="8"/>
  <c r="AC2012" i="8" s="1"/>
  <c r="AA2013" i="8"/>
  <c r="AC2013" i="8" s="1"/>
  <c r="AA2014" i="8"/>
  <c r="AC2014" i="8" s="1"/>
  <c r="AA2015" i="8"/>
  <c r="AC2015" i="8" s="1"/>
  <c r="AA2016" i="8"/>
  <c r="AC2016" i="8" s="1"/>
  <c r="AA2017" i="8"/>
  <c r="AC2017" i="8" s="1"/>
  <c r="AA2018" i="8"/>
  <c r="AC2018" i="8" s="1"/>
  <c r="AA2019" i="8"/>
  <c r="AC2019" i="8" s="1"/>
  <c r="AA2020" i="8"/>
  <c r="AC2020" i="8" s="1"/>
  <c r="AA2021" i="8"/>
  <c r="AC2021" i="8" s="1"/>
  <c r="AA2022" i="8"/>
  <c r="AC2022" i="8" s="1"/>
  <c r="AA2023" i="8"/>
  <c r="AC2023" i="8" s="1"/>
  <c r="AA2024" i="8"/>
  <c r="AC2024" i="8" s="1"/>
  <c r="AA2025" i="8"/>
  <c r="AC2025" i="8" s="1"/>
  <c r="AA2026" i="8"/>
  <c r="AC2026" i="8" s="1"/>
  <c r="AA2027" i="8"/>
  <c r="AC2027" i="8" s="1"/>
  <c r="AA2028" i="8"/>
  <c r="AC2028" i="8" s="1"/>
  <c r="AA2029" i="8"/>
  <c r="AC2029" i="8" s="1"/>
  <c r="AA2030" i="8"/>
  <c r="AC2030" i="8" s="1"/>
  <c r="AA2031" i="8"/>
  <c r="AC2031" i="8" s="1"/>
  <c r="AA2032" i="8"/>
  <c r="AC2032" i="8" s="1"/>
  <c r="AA2033" i="8"/>
  <c r="AC2033" i="8" s="1"/>
  <c r="AA2034" i="8"/>
  <c r="AC2034" i="8" s="1"/>
  <c r="AA2035" i="8"/>
  <c r="AC2035" i="8" s="1"/>
  <c r="AA2036" i="8"/>
  <c r="AC2036" i="8" s="1"/>
  <c r="AA2037" i="8"/>
  <c r="AC2037" i="8" s="1"/>
  <c r="AA2038" i="8"/>
  <c r="AC2038" i="8" s="1"/>
  <c r="AA2039" i="8"/>
  <c r="AC2039" i="8" s="1"/>
  <c r="AA2040" i="8"/>
  <c r="AC2040" i="8" s="1"/>
  <c r="AA2041" i="8"/>
  <c r="AC2041" i="8" s="1"/>
  <c r="AA2042" i="8"/>
  <c r="AC2042" i="8" s="1"/>
  <c r="AA2043" i="8"/>
  <c r="AC2043" i="8" s="1"/>
  <c r="AA2044" i="8"/>
  <c r="AC2044" i="8" s="1"/>
  <c r="AA2045" i="8"/>
  <c r="AC2045" i="8" s="1"/>
  <c r="AA2046" i="8"/>
  <c r="AC2046" i="8" s="1"/>
  <c r="AA2047" i="8"/>
  <c r="AC2047" i="8" s="1"/>
  <c r="AA2048" i="8"/>
  <c r="AC2048" i="8" s="1"/>
  <c r="AA2049" i="8"/>
  <c r="AC2049" i="8" s="1"/>
  <c r="AA2050" i="8"/>
  <c r="AC2050" i="8" s="1"/>
  <c r="AA2051" i="8"/>
  <c r="AC2051" i="8" s="1"/>
  <c r="AA2052" i="8"/>
  <c r="AC2052" i="8" s="1"/>
  <c r="AA2053" i="8"/>
  <c r="AC2053" i="8" s="1"/>
  <c r="AA2054" i="8"/>
  <c r="AC2054" i="8" s="1"/>
  <c r="AA2055" i="8"/>
  <c r="AC2055" i="8" s="1"/>
  <c r="AA2056" i="8"/>
  <c r="AC2056" i="8" s="1"/>
  <c r="AA2057" i="8"/>
  <c r="AC2057" i="8" s="1"/>
  <c r="AA2058" i="8"/>
  <c r="AC2058" i="8" s="1"/>
  <c r="AA2059" i="8"/>
  <c r="AC2059" i="8" s="1"/>
  <c r="AA2060" i="8"/>
  <c r="AC2060" i="8" s="1"/>
  <c r="AA2061" i="8"/>
  <c r="AC2061" i="8" s="1"/>
  <c r="AA2062" i="8"/>
  <c r="AC2062" i="8" s="1"/>
  <c r="AA2063" i="8"/>
  <c r="AC2063" i="8" s="1"/>
  <c r="AA2064" i="8"/>
  <c r="AC2064" i="8" s="1"/>
  <c r="AA2065" i="8"/>
  <c r="AC2065" i="8" s="1"/>
  <c r="AA2066" i="8"/>
  <c r="AC2066" i="8" s="1"/>
  <c r="AA2067" i="8"/>
  <c r="AC2067" i="8" s="1"/>
  <c r="AA2068" i="8"/>
  <c r="AC2068" i="8" s="1"/>
  <c r="AA2069" i="8"/>
  <c r="AC2069" i="8" s="1"/>
  <c r="AA2070" i="8"/>
  <c r="AC2070" i="8" s="1"/>
  <c r="AA2071" i="8"/>
  <c r="AC2071" i="8" s="1"/>
  <c r="AA2072" i="8"/>
  <c r="AC2072" i="8" s="1"/>
  <c r="AA2073" i="8"/>
  <c r="AC2073" i="8" s="1"/>
  <c r="AA2074" i="8"/>
  <c r="AC2074" i="8" s="1"/>
  <c r="AA2075" i="8"/>
  <c r="AC2075" i="8" s="1"/>
  <c r="AA2076" i="8"/>
  <c r="AC2076" i="8" s="1"/>
  <c r="AA2077" i="8"/>
  <c r="AC2077" i="8" s="1"/>
  <c r="AA2078" i="8"/>
  <c r="AC2078" i="8" s="1"/>
  <c r="AA2079" i="8"/>
  <c r="AC2079" i="8" s="1"/>
  <c r="AA2080" i="8"/>
  <c r="AC2080" i="8" s="1"/>
  <c r="AA2081" i="8"/>
  <c r="AC2081" i="8" s="1"/>
  <c r="AA2082" i="8"/>
  <c r="AC2082" i="8" s="1"/>
  <c r="AA2083" i="8"/>
  <c r="AC2083" i="8" s="1"/>
  <c r="AA2084" i="8"/>
  <c r="AC2084" i="8" s="1"/>
  <c r="AA2085" i="8"/>
  <c r="AC2085" i="8" s="1"/>
  <c r="AA2086" i="8"/>
  <c r="AC2086" i="8" s="1"/>
  <c r="AA2087" i="8"/>
  <c r="AC2087" i="8" s="1"/>
  <c r="AA2088" i="8"/>
  <c r="AC2088" i="8" s="1"/>
  <c r="AA2089" i="8"/>
  <c r="AC2089" i="8" s="1"/>
  <c r="AA2090" i="8"/>
  <c r="AC2090" i="8" s="1"/>
  <c r="AA2091" i="8"/>
  <c r="AC2091" i="8" s="1"/>
  <c r="AA2092" i="8"/>
  <c r="AC2092" i="8" s="1"/>
  <c r="AA2093" i="8"/>
  <c r="AC2093" i="8" s="1"/>
  <c r="AA2094" i="8"/>
  <c r="AC2094" i="8" s="1"/>
  <c r="AA2095" i="8"/>
  <c r="AC2095" i="8" s="1"/>
  <c r="AA2096" i="8"/>
  <c r="AC2096" i="8" s="1"/>
  <c r="AA2097" i="8"/>
  <c r="AC2097" i="8" s="1"/>
  <c r="AA2098" i="8"/>
  <c r="AC2098" i="8" s="1"/>
  <c r="AA2099" i="8"/>
  <c r="AC2099" i="8" s="1"/>
  <c r="AA2100" i="8"/>
  <c r="AC2100" i="8" s="1"/>
  <c r="AA2101" i="8"/>
  <c r="AC2101" i="8" s="1"/>
  <c r="AA2102" i="8"/>
  <c r="AC2102" i="8" s="1"/>
  <c r="AA2103" i="8"/>
  <c r="AC2103" i="8" s="1"/>
  <c r="AA2104" i="8"/>
  <c r="AC2104" i="8" s="1"/>
  <c r="AA2105" i="8"/>
  <c r="AC2105" i="8" s="1"/>
  <c r="AA2106" i="8"/>
  <c r="AC2106" i="8" s="1"/>
  <c r="AA2107" i="8"/>
  <c r="AC2107" i="8" s="1"/>
  <c r="AA2108" i="8"/>
  <c r="AC2108" i="8" s="1"/>
  <c r="AA2109" i="8"/>
  <c r="AC2109" i="8" s="1"/>
  <c r="AA2110" i="8"/>
  <c r="AC2110" i="8" s="1"/>
  <c r="AA2111" i="8"/>
  <c r="AC2111" i="8" s="1"/>
  <c r="AA2112" i="8"/>
  <c r="AC2112" i="8" s="1"/>
  <c r="AA2113" i="8"/>
  <c r="AC2113" i="8" s="1"/>
  <c r="AA2114" i="8"/>
  <c r="AC2114" i="8" s="1"/>
  <c r="AA2115" i="8"/>
  <c r="AC2115" i="8" s="1"/>
  <c r="AA2116" i="8"/>
  <c r="AC2116" i="8" s="1"/>
  <c r="AA2117" i="8"/>
  <c r="AC2117" i="8" s="1"/>
  <c r="AA2118" i="8"/>
  <c r="AC2118" i="8" s="1"/>
  <c r="AA2119" i="8"/>
  <c r="AC2119" i="8" s="1"/>
  <c r="AA2120" i="8"/>
  <c r="AC2120" i="8" s="1"/>
  <c r="AA2121" i="8"/>
  <c r="AC2121" i="8" s="1"/>
  <c r="AA2122" i="8"/>
  <c r="AC2122" i="8" s="1"/>
  <c r="AA2123" i="8"/>
  <c r="AC2123" i="8" s="1"/>
  <c r="AA2124" i="8"/>
  <c r="AC2124" i="8" s="1"/>
  <c r="AA2125" i="8"/>
  <c r="AC2125" i="8" s="1"/>
  <c r="AA2126" i="8"/>
  <c r="AC2126" i="8" s="1"/>
  <c r="AA2127" i="8"/>
  <c r="AC2127" i="8" s="1"/>
  <c r="AA2128" i="8"/>
  <c r="AC2128" i="8" s="1"/>
  <c r="AA2129" i="8"/>
  <c r="AC2129" i="8" s="1"/>
  <c r="AA2130" i="8"/>
  <c r="AC2130" i="8" s="1"/>
  <c r="AA2131" i="8"/>
  <c r="AC2131" i="8" s="1"/>
  <c r="AA2132" i="8"/>
  <c r="AC2132" i="8" s="1"/>
  <c r="AA2133" i="8"/>
  <c r="AC2133" i="8" s="1"/>
  <c r="AA2134" i="8"/>
  <c r="AC2134" i="8" s="1"/>
  <c r="AA2135" i="8"/>
  <c r="AC2135" i="8" s="1"/>
  <c r="AA2136" i="8"/>
  <c r="AC2136" i="8" s="1"/>
  <c r="AA2137" i="8"/>
  <c r="AC2137" i="8" s="1"/>
  <c r="AA2138" i="8"/>
  <c r="AC2138" i="8" s="1"/>
  <c r="AA2139" i="8"/>
  <c r="AC2139" i="8" s="1"/>
  <c r="AA2140" i="8"/>
  <c r="AC2140" i="8" s="1"/>
  <c r="AA2141" i="8"/>
  <c r="AC2141" i="8" s="1"/>
  <c r="AA2142" i="8"/>
  <c r="AC2142" i="8" s="1"/>
  <c r="AA2143" i="8"/>
  <c r="AC2143" i="8" s="1"/>
  <c r="AA2144" i="8"/>
  <c r="AC2144" i="8" s="1"/>
  <c r="AA2145" i="8"/>
  <c r="AC2145" i="8" s="1"/>
  <c r="AA2146" i="8"/>
  <c r="AC2146" i="8" s="1"/>
  <c r="AA2147" i="8"/>
  <c r="AC2147" i="8" s="1"/>
  <c r="AA2148" i="8"/>
  <c r="AC2148" i="8" s="1"/>
  <c r="AA2149" i="8"/>
  <c r="AC2149" i="8" s="1"/>
  <c r="AA2150" i="8"/>
  <c r="AC2150" i="8" s="1"/>
  <c r="AA2151" i="8"/>
  <c r="AC2151" i="8" s="1"/>
  <c r="AA2152" i="8"/>
  <c r="AC2152" i="8" s="1"/>
  <c r="AA2153" i="8"/>
  <c r="AC2153" i="8" s="1"/>
  <c r="AA2154" i="8"/>
  <c r="AC2154" i="8" s="1"/>
  <c r="AA2155" i="8"/>
  <c r="AC2155" i="8" s="1"/>
  <c r="AA2156" i="8"/>
  <c r="AC2156" i="8" s="1"/>
  <c r="AA2157" i="8"/>
  <c r="AC2157" i="8" s="1"/>
  <c r="AA2158" i="8"/>
  <c r="AC2158" i="8" s="1"/>
  <c r="AA2159" i="8"/>
  <c r="AC2159" i="8" s="1"/>
  <c r="AA2160" i="8"/>
  <c r="AC2160" i="8" s="1"/>
  <c r="AA2161" i="8"/>
  <c r="AC2161" i="8" s="1"/>
  <c r="AA2162" i="8"/>
  <c r="AC2162" i="8" s="1"/>
  <c r="AA2163" i="8"/>
  <c r="AC2163" i="8" s="1"/>
  <c r="AA2164" i="8"/>
  <c r="AC2164" i="8" s="1"/>
  <c r="AA2165" i="8"/>
  <c r="AC2165" i="8" s="1"/>
  <c r="AA2166" i="8"/>
  <c r="AC2166" i="8" s="1"/>
  <c r="AA2167" i="8"/>
  <c r="AC2167" i="8" s="1"/>
  <c r="AA2168" i="8"/>
  <c r="AC2168" i="8" s="1"/>
  <c r="AA2169" i="8"/>
  <c r="AC2169" i="8" s="1"/>
  <c r="AA2170" i="8"/>
  <c r="AC2170" i="8" s="1"/>
  <c r="AA2171" i="8"/>
  <c r="AC2171" i="8" s="1"/>
  <c r="AA2172" i="8"/>
  <c r="AC2172" i="8" s="1"/>
  <c r="AA2173" i="8"/>
  <c r="AC2173" i="8" s="1"/>
  <c r="AA2174" i="8"/>
  <c r="AC2174" i="8" s="1"/>
  <c r="AA2175" i="8"/>
  <c r="AC2175" i="8" s="1"/>
  <c r="AA2176" i="8"/>
  <c r="AC2176" i="8" s="1"/>
  <c r="AA2177" i="8"/>
  <c r="AC2177" i="8" s="1"/>
  <c r="AA2178" i="8"/>
  <c r="AC2178" i="8" s="1"/>
  <c r="AA2179" i="8"/>
  <c r="AC2179" i="8" s="1"/>
  <c r="AA2180" i="8"/>
  <c r="AC2180" i="8" s="1"/>
  <c r="AA2181" i="8"/>
  <c r="AC2181" i="8" s="1"/>
  <c r="AA2182" i="8"/>
  <c r="AC2182" i="8" s="1"/>
  <c r="AA2183" i="8"/>
  <c r="AC2183" i="8" s="1"/>
  <c r="AA2184" i="8"/>
  <c r="AC2184" i="8" s="1"/>
  <c r="AA2185" i="8"/>
  <c r="AC2185" i="8" s="1"/>
  <c r="AA2186" i="8"/>
  <c r="AC2186" i="8" s="1"/>
  <c r="AA2187" i="8"/>
  <c r="AC2187" i="8" s="1"/>
  <c r="AA2188" i="8"/>
  <c r="AC2188" i="8" s="1"/>
  <c r="AA2189" i="8"/>
  <c r="AC2189" i="8" s="1"/>
  <c r="AA2190" i="8"/>
  <c r="AC2190" i="8" s="1"/>
  <c r="AA2191" i="8"/>
  <c r="AC2191" i="8" s="1"/>
  <c r="AA2192" i="8"/>
  <c r="AC2192" i="8" s="1"/>
  <c r="AA2193" i="8"/>
  <c r="AC2193" i="8" s="1"/>
  <c r="AA2194" i="8"/>
  <c r="AC2194" i="8" s="1"/>
  <c r="AA2195" i="8"/>
  <c r="AC2195" i="8" s="1"/>
  <c r="AA2196" i="8"/>
  <c r="AC2196" i="8" s="1"/>
  <c r="AA2197" i="8"/>
  <c r="AC2197" i="8" s="1"/>
  <c r="AA2198" i="8"/>
  <c r="AC2198" i="8" s="1"/>
  <c r="AA2199" i="8"/>
  <c r="AC2199" i="8" s="1"/>
  <c r="AA2200" i="8"/>
  <c r="AC2200" i="8" s="1"/>
  <c r="AA2201" i="8"/>
  <c r="AC2201" i="8" s="1"/>
  <c r="AA2202" i="8"/>
  <c r="AC2202" i="8" s="1"/>
  <c r="AA2203" i="8"/>
  <c r="AC2203" i="8" s="1"/>
  <c r="AA2204" i="8"/>
  <c r="AC2204" i="8" s="1"/>
  <c r="AA2205" i="8"/>
  <c r="AC2205" i="8" s="1"/>
  <c r="AA2206" i="8"/>
  <c r="AC2206" i="8" s="1"/>
  <c r="AA2207" i="8"/>
  <c r="AC2207" i="8" s="1"/>
  <c r="AA2208" i="8"/>
  <c r="AC2208" i="8" s="1"/>
  <c r="AA2209" i="8"/>
  <c r="AC2209" i="8" s="1"/>
  <c r="AA2210" i="8"/>
  <c r="AC2210" i="8" s="1"/>
  <c r="AA2211" i="8"/>
  <c r="AC2211" i="8" s="1"/>
  <c r="AA2212" i="8"/>
  <c r="AC2212" i="8" s="1"/>
  <c r="AA2213" i="8"/>
  <c r="AC2213" i="8" s="1"/>
  <c r="AA2214" i="8"/>
  <c r="AC2214" i="8" s="1"/>
  <c r="AA2215" i="8"/>
  <c r="AC2215" i="8" s="1"/>
  <c r="AA2216" i="8"/>
  <c r="AC2216" i="8" s="1"/>
  <c r="AA2217" i="8"/>
  <c r="AC2217" i="8" s="1"/>
  <c r="AA2218" i="8"/>
  <c r="AC2218" i="8" s="1"/>
  <c r="AA2219" i="8"/>
  <c r="AC2219" i="8" s="1"/>
  <c r="AA2220" i="8"/>
  <c r="AC2220" i="8" s="1"/>
  <c r="AA2221" i="8"/>
  <c r="AC2221" i="8" s="1"/>
  <c r="AA2222" i="8"/>
  <c r="AC2222" i="8" s="1"/>
  <c r="AA2223" i="8"/>
  <c r="AC2223" i="8" s="1"/>
  <c r="AA2224" i="8"/>
  <c r="AC2224" i="8" s="1"/>
  <c r="AA2225" i="8"/>
  <c r="AC2225" i="8" s="1"/>
  <c r="AA2226" i="8"/>
  <c r="AC2226" i="8" s="1"/>
  <c r="AA2227" i="8"/>
  <c r="AC2227" i="8" s="1"/>
  <c r="AA2228" i="8"/>
  <c r="AC2228" i="8" s="1"/>
  <c r="AA2229" i="8"/>
  <c r="AC2229" i="8" s="1"/>
  <c r="AA2230" i="8"/>
  <c r="AC2230" i="8" s="1"/>
  <c r="AA2231" i="8"/>
  <c r="AC2231" i="8" s="1"/>
  <c r="AA2232" i="8"/>
  <c r="AC2232" i="8" s="1"/>
  <c r="AA2233" i="8"/>
  <c r="AC2233" i="8" s="1"/>
  <c r="AA2234" i="8"/>
  <c r="AC2234" i="8" s="1"/>
  <c r="AA2235" i="8"/>
  <c r="AC2235" i="8" s="1"/>
  <c r="AA2236" i="8"/>
  <c r="AC2236" i="8" s="1"/>
  <c r="AA2237" i="8"/>
  <c r="AC2237" i="8" s="1"/>
  <c r="AA2238" i="8"/>
  <c r="AC2238" i="8" s="1"/>
  <c r="AA2239" i="8"/>
  <c r="AC2239" i="8" s="1"/>
  <c r="AA2240" i="8"/>
  <c r="AC2240" i="8" s="1"/>
  <c r="AA2241" i="8"/>
  <c r="AC2241" i="8" s="1"/>
  <c r="AA2242" i="8"/>
  <c r="AC2242" i="8" s="1"/>
  <c r="AA2243" i="8"/>
  <c r="AC2243" i="8" s="1"/>
  <c r="AA2244" i="8"/>
  <c r="AC2244" i="8" s="1"/>
  <c r="AA2245" i="8"/>
  <c r="AC2245" i="8" s="1"/>
  <c r="AA2246" i="8"/>
  <c r="AC2246" i="8" s="1"/>
  <c r="AA2247" i="8"/>
  <c r="AC2247" i="8" s="1"/>
  <c r="AA2248" i="8"/>
  <c r="AC2248" i="8" s="1"/>
  <c r="AA2249" i="8"/>
  <c r="AC2249" i="8" s="1"/>
  <c r="AA2250" i="8"/>
  <c r="AC2250" i="8" s="1"/>
  <c r="AA2251" i="8"/>
  <c r="AC2251" i="8" s="1"/>
  <c r="AA2252" i="8"/>
  <c r="AC2252" i="8" s="1"/>
  <c r="AA2253" i="8"/>
  <c r="AC2253" i="8" s="1"/>
  <c r="AA2254" i="8"/>
  <c r="AC2254" i="8" s="1"/>
  <c r="AA2255" i="8"/>
  <c r="AC2255" i="8" s="1"/>
  <c r="AA2256" i="8"/>
  <c r="AC2256" i="8" s="1"/>
  <c r="AA2257" i="8"/>
  <c r="AC2257" i="8" s="1"/>
  <c r="AA2258" i="8"/>
  <c r="AC2258" i="8" s="1"/>
  <c r="AA2259" i="8"/>
  <c r="AC2259" i="8" s="1"/>
  <c r="AA2260" i="8"/>
  <c r="AC2260" i="8" s="1"/>
  <c r="AA2261" i="8"/>
  <c r="AC2261" i="8" s="1"/>
  <c r="AA2262" i="8"/>
  <c r="AC2262" i="8" s="1"/>
  <c r="AA2263" i="8"/>
  <c r="AC2263" i="8" s="1"/>
  <c r="AA2264" i="8"/>
  <c r="AC2264" i="8" s="1"/>
  <c r="AA2265" i="8"/>
  <c r="AC2265" i="8" s="1"/>
  <c r="AA2266" i="8"/>
  <c r="AC2266" i="8" s="1"/>
  <c r="AA2267" i="8"/>
  <c r="AC2267" i="8" s="1"/>
  <c r="AA2268" i="8"/>
  <c r="AC2268" i="8" s="1"/>
  <c r="AA2269" i="8"/>
  <c r="AC2269" i="8" s="1"/>
  <c r="AA2270" i="8"/>
  <c r="AC2270" i="8" s="1"/>
  <c r="AA2271" i="8"/>
  <c r="AC2271" i="8" s="1"/>
  <c r="AA2272" i="8"/>
  <c r="AC2272" i="8" s="1"/>
  <c r="AA2273" i="8"/>
  <c r="AC2273" i="8" s="1"/>
  <c r="AA2274" i="8"/>
  <c r="AC2274" i="8" s="1"/>
  <c r="AA2275" i="8"/>
  <c r="AC2275" i="8" s="1"/>
  <c r="AA2276" i="8"/>
  <c r="AC2276" i="8" s="1"/>
  <c r="AA2277" i="8"/>
  <c r="AC2277" i="8" s="1"/>
  <c r="AA2278" i="8"/>
  <c r="AC2278" i="8" s="1"/>
  <c r="AA2279" i="8"/>
  <c r="AC2279" i="8" s="1"/>
  <c r="AA2280" i="8"/>
  <c r="AC2280" i="8" s="1"/>
  <c r="AA2281" i="8"/>
  <c r="AC2281" i="8" s="1"/>
  <c r="AA2282" i="8"/>
  <c r="AC2282" i="8" s="1"/>
  <c r="AA2283" i="8"/>
  <c r="AC2283" i="8" s="1"/>
  <c r="AA2284" i="8"/>
  <c r="AC2284" i="8" s="1"/>
  <c r="AA2285" i="8"/>
  <c r="AC2285" i="8" s="1"/>
  <c r="AA2286" i="8"/>
  <c r="AC2286" i="8" s="1"/>
  <c r="AA2287" i="8"/>
  <c r="AC2287" i="8" s="1"/>
  <c r="AA2288" i="8"/>
  <c r="AC2288" i="8" s="1"/>
  <c r="AA2289" i="8"/>
  <c r="AC2289" i="8" s="1"/>
  <c r="AA2290" i="8"/>
  <c r="AC2290" i="8" s="1"/>
  <c r="AA2291" i="8"/>
  <c r="AC2291" i="8" s="1"/>
  <c r="AA2292" i="8"/>
  <c r="AC2292" i="8" s="1"/>
  <c r="AA2293" i="8"/>
  <c r="AC2293" i="8" s="1"/>
  <c r="AA2294" i="8"/>
  <c r="AC2294" i="8" s="1"/>
  <c r="AA2295" i="8"/>
  <c r="AC2295" i="8" s="1"/>
  <c r="AA2296" i="8"/>
  <c r="AC2296" i="8" s="1"/>
  <c r="AA2297" i="8"/>
  <c r="AC2297" i="8" s="1"/>
  <c r="AA2298" i="8"/>
  <c r="AC2298" i="8" s="1"/>
  <c r="AA2299" i="8"/>
  <c r="AC2299" i="8" s="1"/>
  <c r="AA2300" i="8"/>
  <c r="AC2300" i="8" s="1"/>
  <c r="AA2301" i="8"/>
  <c r="AC2301" i="8" s="1"/>
  <c r="AA2302" i="8"/>
  <c r="AC2302" i="8" s="1"/>
  <c r="AA2303" i="8"/>
  <c r="AC2303" i="8" s="1"/>
  <c r="AA2304" i="8"/>
  <c r="AC2304" i="8" s="1"/>
  <c r="AA2305" i="8"/>
  <c r="AC2305" i="8" s="1"/>
  <c r="AA2306" i="8"/>
  <c r="AC2306" i="8" s="1"/>
  <c r="AA2307" i="8"/>
  <c r="AC2307" i="8" s="1"/>
  <c r="AA2308" i="8"/>
  <c r="AC2308" i="8" s="1"/>
  <c r="AA2309" i="8"/>
  <c r="AC2309" i="8" s="1"/>
  <c r="AA2310" i="8"/>
  <c r="AC2310" i="8" s="1"/>
  <c r="AA2311" i="8"/>
  <c r="AC2311" i="8" s="1"/>
  <c r="AA2312" i="8"/>
  <c r="AC2312" i="8" s="1"/>
  <c r="AA2313" i="8"/>
  <c r="AC2313" i="8" s="1"/>
  <c r="AA2314" i="8"/>
  <c r="AC2314" i="8" s="1"/>
  <c r="AA2315" i="8"/>
  <c r="AC2315" i="8" s="1"/>
  <c r="AA2316" i="8"/>
  <c r="AC2316" i="8" s="1"/>
  <c r="AA2317" i="8"/>
  <c r="AC2317" i="8" s="1"/>
  <c r="AA2318" i="8"/>
  <c r="AC2318" i="8" s="1"/>
  <c r="AA2319" i="8"/>
  <c r="AC2319" i="8" s="1"/>
  <c r="AA2320" i="8"/>
  <c r="AC2320" i="8" s="1"/>
  <c r="AA2321" i="8"/>
  <c r="AC2321" i="8" s="1"/>
  <c r="AA2322" i="8"/>
  <c r="AC2322" i="8" s="1"/>
  <c r="AA2323" i="8"/>
  <c r="AC2323" i="8" s="1"/>
  <c r="AA2324" i="8"/>
  <c r="AC2324" i="8" s="1"/>
  <c r="AA2325" i="8"/>
  <c r="AC2325" i="8" s="1"/>
  <c r="AA2326" i="8"/>
  <c r="AC2326" i="8" s="1"/>
  <c r="AA2327" i="8"/>
  <c r="AC2327" i="8" s="1"/>
  <c r="AA2328" i="8"/>
  <c r="AC2328" i="8" s="1"/>
  <c r="AA2329" i="8"/>
  <c r="AC2329" i="8" s="1"/>
  <c r="AA2330" i="8"/>
  <c r="AC2330" i="8" s="1"/>
  <c r="AA2331" i="8"/>
  <c r="AC2331" i="8" s="1"/>
  <c r="AA2332" i="8"/>
  <c r="AC2332" i="8" s="1"/>
  <c r="AA2333" i="8"/>
  <c r="AC2333" i="8" s="1"/>
  <c r="AA2334" i="8"/>
  <c r="AC2334" i="8" s="1"/>
  <c r="AA2335" i="8"/>
  <c r="AC2335" i="8" s="1"/>
  <c r="AA2336" i="8"/>
  <c r="AC2336" i="8" s="1"/>
  <c r="AA2337" i="8"/>
  <c r="AC2337" i="8" s="1"/>
  <c r="AA2338" i="8"/>
  <c r="AC2338" i="8" s="1"/>
  <c r="AA2339" i="8"/>
  <c r="AC2339" i="8" s="1"/>
  <c r="AA2340" i="8"/>
  <c r="AC2340" i="8" s="1"/>
  <c r="AA2341" i="8"/>
  <c r="AC2341" i="8" s="1"/>
  <c r="AA2342" i="8"/>
  <c r="AC2342" i="8" s="1"/>
  <c r="AA2343" i="8"/>
  <c r="AC2343" i="8" s="1"/>
  <c r="AA2344" i="8"/>
  <c r="AC2344" i="8" s="1"/>
  <c r="AA2345" i="8"/>
  <c r="AC2345" i="8" s="1"/>
  <c r="AA2346" i="8"/>
  <c r="AC2346" i="8" s="1"/>
  <c r="AA2347" i="8"/>
  <c r="AC2347" i="8" s="1"/>
  <c r="AA2348" i="8"/>
  <c r="AC2348" i="8" s="1"/>
  <c r="AA2349" i="8"/>
  <c r="AC2349" i="8" s="1"/>
  <c r="AA2350" i="8"/>
  <c r="AC2350" i="8" s="1"/>
  <c r="AA2351" i="8"/>
  <c r="AC2351" i="8" s="1"/>
  <c r="AA2352" i="8"/>
  <c r="AC2352" i="8" s="1"/>
  <c r="AA2353" i="8"/>
  <c r="AC2353" i="8" s="1"/>
  <c r="AA2354" i="8"/>
  <c r="AC2354" i="8" s="1"/>
  <c r="AA2355" i="8"/>
  <c r="AC2355" i="8" s="1"/>
  <c r="AA2356" i="8"/>
  <c r="AC2356" i="8" s="1"/>
  <c r="AA2357" i="8"/>
  <c r="AC2357" i="8" s="1"/>
  <c r="AA2358" i="8"/>
  <c r="AC2358" i="8" s="1"/>
  <c r="AA2359" i="8"/>
  <c r="AC2359" i="8" s="1"/>
  <c r="AA2360" i="8"/>
  <c r="AC2360" i="8" s="1"/>
  <c r="AA2361" i="8"/>
  <c r="AC2361" i="8" s="1"/>
  <c r="AA2362" i="8"/>
  <c r="AC2362" i="8" s="1"/>
  <c r="AA2363" i="8"/>
  <c r="AC2363" i="8" s="1"/>
  <c r="AA2364" i="8"/>
  <c r="AC2364" i="8" s="1"/>
  <c r="AA2365" i="8"/>
  <c r="AC2365" i="8" s="1"/>
  <c r="AA2366" i="8"/>
  <c r="AC2366" i="8" s="1"/>
  <c r="AA2367" i="8"/>
  <c r="AC2367" i="8" s="1"/>
  <c r="AA2368" i="8"/>
  <c r="AC2368" i="8" s="1"/>
  <c r="AA2369" i="8"/>
  <c r="AC2369" i="8" s="1"/>
  <c r="AA2370" i="8"/>
  <c r="AC2370" i="8" s="1"/>
  <c r="AA2371" i="8"/>
  <c r="AC2371" i="8" s="1"/>
  <c r="AA2372" i="8"/>
  <c r="AC2372" i="8" s="1"/>
  <c r="AA2373" i="8"/>
  <c r="AC2373" i="8" s="1"/>
  <c r="AA2374" i="8"/>
  <c r="AC2374" i="8" s="1"/>
  <c r="AA2375" i="8"/>
  <c r="AC2375" i="8" s="1"/>
  <c r="AA2376" i="8"/>
  <c r="AC2376" i="8" s="1"/>
  <c r="AA2377" i="8"/>
  <c r="AC2377" i="8" s="1"/>
  <c r="AA2378" i="8"/>
  <c r="AC2378" i="8" s="1"/>
  <c r="AA2379" i="8"/>
  <c r="AC2379" i="8" s="1"/>
  <c r="AA2380" i="8"/>
  <c r="AC2380" i="8" s="1"/>
  <c r="AA2381" i="8"/>
  <c r="AC2381" i="8" s="1"/>
  <c r="AA2382" i="8"/>
  <c r="AC2382" i="8" s="1"/>
  <c r="AA2383" i="8"/>
  <c r="AC2383" i="8" s="1"/>
  <c r="AA2384" i="8"/>
  <c r="AC2384" i="8" s="1"/>
  <c r="AA2385" i="8"/>
  <c r="AC2385" i="8" s="1"/>
  <c r="AA2386" i="8"/>
  <c r="AC2386" i="8" s="1"/>
  <c r="AA2387" i="8"/>
  <c r="AC2387" i="8" s="1"/>
  <c r="AA2388" i="8"/>
  <c r="AC2388" i="8" s="1"/>
  <c r="AA2389" i="8"/>
  <c r="AC2389" i="8" s="1"/>
  <c r="AA2390" i="8"/>
  <c r="AC2390" i="8" s="1"/>
  <c r="AA2391" i="8"/>
  <c r="AC2391" i="8" s="1"/>
  <c r="AA2392" i="8"/>
  <c r="AC2392" i="8" s="1"/>
  <c r="AA2393" i="8"/>
  <c r="AC2393" i="8" s="1"/>
  <c r="AA2394" i="8"/>
  <c r="AC2394" i="8" s="1"/>
  <c r="AA2395" i="8"/>
  <c r="AC2395" i="8" s="1"/>
  <c r="AA2396" i="8"/>
  <c r="AC2396" i="8" s="1"/>
  <c r="AA2397" i="8"/>
  <c r="AC2397" i="8" s="1"/>
  <c r="AA2398" i="8"/>
  <c r="AC2398" i="8" s="1"/>
  <c r="AA2399" i="8"/>
  <c r="AC2399" i="8" s="1"/>
  <c r="AA2400" i="8"/>
  <c r="AC2400" i="8" s="1"/>
  <c r="AA2401" i="8"/>
  <c r="AC2401" i="8" s="1"/>
  <c r="AA2402" i="8"/>
  <c r="AC2402" i="8" s="1"/>
  <c r="AA2403" i="8"/>
  <c r="AC2403" i="8" s="1"/>
  <c r="AA2404" i="8"/>
  <c r="AC2404" i="8" s="1"/>
  <c r="AA2405" i="8"/>
  <c r="AC2405" i="8" s="1"/>
  <c r="AA2406" i="8"/>
  <c r="AC2406" i="8" s="1"/>
  <c r="AA2407" i="8"/>
  <c r="AC2407" i="8" s="1"/>
  <c r="AA2408" i="8"/>
  <c r="AC2408" i="8" s="1"/>
  <c r="AA2409" i="8"/>
  <c r="AC2409" i="8" s="1"/>
  <c r="AA2410" i="8"/>
  <c r="AC2410" i="8" s="1"/>
  <c r="AA2411" i="8"/>
  <c r="AC2411" i="8" s="1"/>
  <c r="AA2412" i="8"/>
  <c r="AC2412" i="8" s="1"/>
  <c r="AA2413" i="8"/>
  <c r="AC2413" i="8" s="1"/>
  <c r="AA2414" i="8"/>
  <c r="AC2414" i="8" s="1"/>
  <c r="AA2415" i="8"/>
  <c r="AC2415" i="8" s="1"/>
  <c r="AA2416" i="8"/>
  <c r="AC2416" i="8" s="1"/>
  <c r="AA2417" i="8"/>
  <c r="AC2417" i="8" s="1"/>
  <c r="AA2418" i="8"/>
  <c r="AC2418" i="8" s="1"/>
  <c r="AA2419" i="8"/>
  <c r="AC2419" i="8" s="1"/>
  <c r="AA2420" i="8"/>
  <c r="AC2420" i="8" s="1"/>
  <c r="AA2421" i="8"/>
  <c r="AC2421" i="8" s="1"/>
  <c r="AA2422" i="8"/>
  <c r="AC2422" i="8" s="1"/>
  <c r="AA2423" i="8"/>
  <c r="AC2423" i="8" s="1"/>
  <c r="AA2424" i="8"/>
  <c r="AC2424" i="8" s="1"/>
  <c r="AA2425" i="8"/>
  <c r="AC2425" i="8" s="1"/>
  <c r="AA2426" i="8"/>
  <c r="AC2426" i="8" s="1"/>
  <c r="AA2427" i="8"/>
  <c r="AC2427" i="8" s="1"/>
  <c r="AA2428" i="8"/>
  <c r="AC2428" i="8" s="1"/>
  <c r="AA2429" i="8"/>
  <c r="AC2429" i="8" s="1"/>
  <c r="AA2430" i="8"/>
  <c r="AC2430" i="8" s="1"/>
  <c r="AA2431" i="8"/>
  <c r="AC2431" i="8" s="1"/>
  <c r="AA2432" i="8"/>
  <c r="AC2432" i="8" s="1"/>
  <c r="AA2433" i="8"/>
  <c r="AC2433" i="8" s="1"/>
  <c r="AA2434" i="8"/>
  <c r="AC2434" i="8" s="1"/>
  <c r="AA2435" i="8"/>
  <c r="AC2435" i="8" s="1"/>
  <c r="AA2436" i="8"/>
  <c r="AC2436" i="8" s="1"/>
  <c r="AA2437" i="8"/>
  <c r="AC2437" i="8" s="1"/>
  <c r="AA2438" i="8"/>
  <c r="AC2438" i="8" s="1"/>
  <c r="AA2439" i="8"/>
  <c r="AC2439" i="8" s="1"/>
  <c r="AA2440" i="8"/>
  <c r="AC2440" i="8" s="1"/>
  <c r="AA2441" i="8"/>
  <c r="AC2441" i="8" s="1"/>
  <c r="AA2442" i="8"/>
  <c r="AC2442" i="8" s="1"/>
  <c r="AA2443" i="8"/>
  <c r="AC2443" i="8" s="1"/>
  <c r="AA2444" i="8"/>
  <c r="AC2444" i="8" s="1"/>
  <c r="AA2445" i="8"/>
  <c r="AC2445" i="8" s="1"/>
  <c r="AA2446" i="8"/>
  <c r="AC2446" i="8" s="1"/>
  <c r="AA2447" i="8"/>
  <c r="AC2447" i="8" s="1"/>
  <c r="AA2448" i="8"/>
  <c r="AC2448" i="8" s="1"/>
  <c r="AA2449" i="8"/>
  <c r="AC2449" i="8" s="1"/>
  <c r="AA2450" i="8"/>
  <c r="AC2450" i="8" s="1"/>
  <c r="AA2451" i="8"/>
  <c r="AC2451" i="8" s="1"/>
  <c r="AA2452" i="8"/>
  <c r="AC2452" i="8" s="1"/>
  <c r="AA2453" i="8"/>
  <c r="AC2453" i="8" s="1"/>
  <c r="AA2454" i="8"/>
  <c r="AC2454" i="8" s="1"/>
  <c r="AA2455" i="8"/>
  <c r="AC2455" i="8" s="1"/>
  <c r="AA2456" i="8"/>
  <c r="AC2456" i="8" s="1"/>
  <c r="AA2457" i="8"/>
  <c r="AC2457" i="8" s="1"/>
  <c r="AA2458" i="8"/>
  <c r="AC2458" i="8" s="1"/>
  <c r="AA2459" i="8"/>
  <c r="AC2459" i="8" s="1"/>
  <c r="AA2460" i="8"/>
  <c r="AC2460" i="8" s="1"/>
  <c r="AA2461" i="8"/>
  <c r="AC2461" i="8" s="1"/>
  <c r="AA2462" i="8"/>
  <c r="AC2462" i="8" s="1"/>
  <c r="AA2463" i="8"/>
  <c r="AC2463" i="8" s="1"/>
  <c r="AA2464" i="8"/>
  <c r="AC2464" i="8" s="1"/>
  <c r="AA2465" i="8"/>
  <c r="AC2465" i="8" s="1"/>
  <c r="AA2466" i="8"/>
  <c r="AC2466" i="8" s="1"/>
  <c r="AA2467" i="8"/>
  <c r="AC2467" i="8" s="1"/>
  <c r="AA2468" i="8"/>
  <c r="AC2468" i="8" s="1"/>
  <c r="AA2469" i="8"/>
  <c r="AC2469" i="8" s="1"/>
  <c r="AA2470" i="8"/>
  <c r="AC2470" i="8" s="1"/>
  <c r="AA2471" i="8"/>
  <c r="AC2471" i="8" s="1"/>
  <c r="AA2472" i="8"/>
  <c r="AC2472" i="8" s="1"/>
  <c r="AA2473" i="8"/>
  <c r="AC2473" i="8" s="1"/>
  <c r="AA2474" i="8"/>
  <c r="AC2474" i="8" s="1"/>
  <c r="AA2475" i="8"/>
  <c r="AC2475" i="8" s="1"/>
  <c r="AA2476" i="8"/>
  <c r="AC2476" i="8" s="1"/>
  <c r="AA2477" i="8"/>
  <c r="AC2477" i="8" s="1"/>
  <c r="AA2478" i="8"/>
  <c r="AC2478" i="8" s="1"/>
  <c r="AA2479" i="8"/>
  <c r="AC2479" i="8" s="1"/>
  <c r="AA2480" i="8"/>
  <c r="AC2480" i="8" s="1"/>
  <c r="AA2481" i="8"/>
  <c r="AC2481" i="8" s="1"/>
  <c r="AA2482" i="8"/>
  <c r="AC2482" i="8" s="1"/>
  <c r="AA2483" i="8"/>
  <c r="AC2483" i="8" s="1"/>
  <c r="AA2484" i="8"/>
  <c r="AC2484" i="8" s="1"/>
  <c r="AA2485" i="8"/>
  <c r="AC2485" i="8" s="1"/>
  <c r="AA2486" i="8"/>
  <c r="AC2486" i="8" s="1"/>
  <c r="AA2487" i="8"/>
  <c r="AC2487" i="8" s="1"/>
  <c r="AA2488" i="8"/>
  <c r="AC2488" i="8" s="1"/>
  <c r="AA2489" i="8"/>
  <c r="AC2489" i="8" s="1"/>
  <c r="AA2490" i="8"/>
  <c r="AC2490" i="8" s="1"/>
  <c r="AA2491" i="8"/>
  <c r="AC2491" i="8" s="1"/>
  <c r="AA2492" i="8"/>
  <c r="AC2492" i="8" s="1"/>
  <c r="AA2493" i="8"/>
  <c r="AC2493" i="8" s="1"/>
  <c r="AA2494" i="8"/>
  <c r="AC2494" i="8" s="1"/>
  <c r="AA2495" i="8"/>
  <c r="AC2495" i="8" s="1"/>
  <c r="AA2496" i="8"/>
  <c r="AC2496" i="8" s="1"/>
  <c r="AA2497" i="8"/>
  <c r="AC2497" i="8" s="1"/>
  <c r="AA2498" i="8"/>
  <c r="AC2498" i="8" s="1"/>
  <c r="AA2499" i="8"/>
  <c r="AC2499" i="8" s="1"/>
  <c r="AA2500" i="8"/>
  <c r="AC2500" i="8" s="1"/>
  <c r="AA2501" i="8"/>
  <c r="AC2501" i="8" s="1"/>
  <c r="AA2502" i="8"/>
  <c r="AC2502" i="8" s="1"/>
  <c r="AA2503" i="8"/>
  <c r="AC2503" i="8" s="1"/>
  <c r="AA2504" i="8"/>
  <c r="AC2504" i="8" s="1"/>
  <c r="AA2505" i="8"/>
  <c r="AC2505" i="8" s="1"/>
  <c r="AA2506" i="8"/>
  <c r="AC2506" i="8" s="1"/>
  <c r="AA2507" i="8"/>
  <c r="AC2507" i="8" s="1"/>
  <c r="AA2508" i="8"/>
  <c r="AC2508" i="8" s="1"/>
  <c r="AA2509" i="8"/>
  <c r="AC2509" i="8" s="1"/>
  <c r="AA2510" i="8"/>
  <c r="AC2510" i="8" s="1"/>
  <c r="AA2511" i="8"/>
  <c r="AC2511" i="8" s="1"/>
  <c r="AA2512" i="8"/>
  <c r="AC2512" i="8" s="1"/>
  <c r="AA2513" i="8"/>
  <c r="AC2513" i="8" s="1"/>
  <c r="AA2514" i="8"/>
  <c r="AC2514" i="8" s="1"/>
  <c r="AA2515" i="8"/>
  <c r="AC2515" i="8" s="1"/>
  <c r="AA2516" i="8"/>
  <c r="AC2516" i="8" s="1"/>
  <c r="AA2517" i="8"/>
  <c r="AC2517" i="8" s="1"/>
  <c r="AA2518" i="8"/>
  <c r="AC2518" i="8" s="1"/>
  <c r="AA2519" i="8"/>
  <c r="AC2519" i="8" s="1"/>
  <c r="AA2520" i="8"/>
  <c r="AC2520" i="8" s="1"/>
  <c r="AA2521" i="8"/>
  <c r="AC2521" i="8" s="1"/>
  <c r="AA2522" i="8"/>
  <c r="AC2522" i="8" s="1"/>
  <c r="AA2523" i="8"/>
  <c r="AC2523" i="8" s="1"/>
  <c r="AA2524" i="8"/>
  <c r="AC2524" i="8" s="1"/>
  <c r="AA2525" i="8"/>
  <c r="AC2525" i="8" s="1"/>
  <c r="AA2526" i="8"/>
  <c r="AC2526" i="8" s="1"/>
  <c r="AA2527" i="8"/>
  <c r="AC2527" i="8" s="1"/>
  <c r="AA2528" i="8"/>
  <c r="AC2528" i="8" s="1"/>
  <c r="AA2529" i="8"/>
  <c r="AC2529" i="8" s="1"/>
  <c r="AA2530" i="8"/>
  <c r="AC2530" i="8" s="1"/>
  <c r="AA2531" i="8"/>
  <c r="AC2531" i="8" s="1"/>
  <c r="AA2532" i="8"/>
  <c r="AC2532" i="8" s="1"/>
  <c r="AA2533" i="8"/>
  <c r="AC2533" i="8" s="1"/>
  <c r="AA2534" i="8"/>
  <c r="AC2534" i="8" s="1"/>
  <c r="AA2535" i="8"/>
  <c r="AC2535" i="8" s="1"/>
  <c r="AA2536" i="8"/>
  <c r="AC2536" i="8" s="1"/>
  <c r="AA2537" i="8"/>
  <c r="AC2537" i="8" s="1"/>
  <c r="AA2538" i="8"/>
  <c r="AC2538" i="8" s="1"/>
  <c r="AA2539" i="8"/>
  <c r="AC2539" i="8" s="1"/>
  <c r="AA2540" i="8"/>
  <c r="AC2540" i="8" s="1"/>
  <c r="AA2541" i="8"/>
  <c r="AC2541" i="8" s="1"/>
  <c r="AA2542" i="8"/>
  <c r="AC2542" i="8" s="1"/>
  <c r="AA2543" i="8"/>
  <c r="AC2543" i="8" s="1"/>
  <c r="AA2544" i="8"/>
  <c r="AC2544" i="8" s="1"/>
  <c r="AA2545" i="8"/>
  <c r="AC2545" i="8" s="1"/>
  <c r="AA2546" i="8"/>
  <c r="AC2546" i="8" s="1"/>
  <c r="AA2547" i="8"/>
  <c r="AC2547" i="8" s="1"/>
  <c r="AA2548" i="8"/>
  <c r="AC2548" i="8" s="1"/>
  <c r="AA2549" i="8"/>
  <c r="AC2549" i="8" s="1"/>
  <c r="AA2550" i="8"/>
  <c r="AC2550" i="8" s="1"/>
  <c r="AA2551" i="8"/>
  <c r="AC2551" i="8" s="1"/>
  <c r="AA2552" i="8"/>
  <c r="AC2552" i="8" s="1"/>
  <c r="AA2553" i="8"/>
  <c r="AC2553" i="8" s="1"/>
  <c r="AA2554" i="8"/>
  <c r="AC2554" i="8" s="1"/>
  <c r="AA2555" i="8"/>
  <c r="AC2555" i="8" s="1"/>
  <c r="AA2556" i="8"/>
  <c r="AC2556" i="8" s="1"/>
  <c r="AA2557" i="8"/>
  <c r="AC2557" i="8" s="1"/>
  <c r="AA2558" i="8"/>
  <c r="AC2558" i="8" s="1"/>
  <c r="AA2559" i="8"/>
  <c r="AC2559" i="8" s="1"/>
  <c r="AA2560" i="8"/>
  <c r="AC2560" i="8" s="1"/>
  <c r="AA2561" i="8"/>
  <c r="AC2561" i="8" s="1"/>
  <c r="AA2562" i="8"/>
  <c r="AC2562" i="8" s="1"/>
  <c r="AA2563" i="8"/>
  <c r="AC2563" i="8" s="1"/>
  <c r="AA2564" i="8"/>
  <c r="AC2564" i="8" s="1"/>
  <c r="AA2565" i="8"/>
  <c r="AC2565" i="8" s="1"/>
  <c r="AA2566" i="8"/>
  <c r="AC2566" i="8" s="1"/>
  <c r="AA2567" i="8"/>
  <c r="AC2567" i="8" s="1"/>
  <c r="AA2568" i="8"/>
  <c r="AC2568" i="8" s="1"/>
  <c r="AA2569" i="8"/>
  <c r="AC2569" i="8" s="1"/>
  <c r="AA2570" i="8"/>
  <c r="AC2570" i="8" s="1"/>
  <c r="AA2571" i="8"/>
  <c r="AC2571" i="8" s="1"/>
  <c r="AA2572" i="8"/>
  <c r="AC2572" i="8" s="1"/>
  <c r="AA2573" i="8"/>
  <c r="AC2573" i="8" s="1"/>
  <c r="AA2574" i="8"/>
  <c r="AC2574" i="8" s="1"/>
  <c r="AA2575" i="8"/>
  <c r="AC2575" i="8" s="1"/>
  <c r="AA2576" i="8"/>
  <c r="AC2576" i="8" s="1"/>
  <c r="AA2577" i="8"/>
  <c r="AC2577" i="8" s="1"/>
  <c r="AA2578" i="8"/>
  <c r="AC2578" i="8" s="1"/>
  <c r="AA2579" i="8"/>
  <c r="AC2579" i="8" s="1"/>
  <c r="AA2580" i="8"/>
  <c r="AC2580" i="8" s="1"/>
  <c r="AA2581" i="8"/>
  <c r="AC2581" i="8" s="1"/>
  <c r="AA2582" i="8"/>
  <c r="AC2582" i="8" s="1"/>
  <c r="AA2583" i="8"/>
  <c r="AC2583" i="8" s="1"/>
  <c r="AA2584" i="8"/>
  <c r="AC2584" i="8" s="1"/>
  <c r="AA2585" i="8"/>
  <c r="AC2585" i="8" s="1"/>
  <c r="AA2586" i="8"/>
  <c r="AC2586" i="8" s="1"/>
  <c r="AA2587" i="8"/>
  <c r="AC2587" i="8" s="1"/>
  <c r="AA2588" i="8"/>
  <c r="AC2588" i="8" s="1"/>
  <c r="AA2589" i="8"/>
  <c r="AC2589" i="8" s="1"/>
  <c r="AA2590" i="8"/>
  <c r="AC2590" i="8" s="1"/>
  <c r="AA2591" i="8"/>
  <c r="AC2591" i="8" s="1"/>
  <c r="AA2592" i="8"/>
  <c r="AC2592" i="8" s="1"/>
  <c r="AA2593" i="8"/>
  <c r="AC2593" i="8" s="1"/>
  <c r="AA2594" i="8"/>
  <c r="AC2594" i="8" s="1"/>
  <c r="AA2595" i="8"/>
  <c r="AC2595" i="8" s="1"/>
  <c r="AA2596" i="8"/>
  <c r="AC2596" i="8" s="1"/>
  <c r="AA2597" i="8"/>
  <c r="AC2597" i="8" s="1"/>
  <c r="AA2598" i="8"/>
  <c r="AC2598" i="8" s="1"/>
  <c r="AA2599" i="8"/>
  <c r="AC2599" i="8" s="1"/>
  <c r="AA2600" i="8"/>
  <c r="AC2600" i="8" s="1"/>
  <c r="AA2601" i="8"/>
  <c r="AC2601" i="8" s="1"/>
  <c r="AA2602" i="8"/>
  <c r="AC2602" i="8" s="1"/>
  <c r="AA2603" i="8"/>
  <c r="AC2603" i="8" s="1"/>
  <c r="AA2604" i="8"/>
  <c r="AC2604" i="8" s="1"/>
  <c r="AA2605" i="8"/>
  <c r="AC2605" i="8" s="1"/>
  <c r="AA2606" i="8"/>
  <c r="AC2606" i="8" s="1"/>
  <c r="AA2607" i="8"/>
  <c r="AC2607" i="8" s="1"/>
  <c r="AA2608" i="8"/>
  <c r="AC2608" i="8" s="1"/>
  <c r="AA2609" i="8"/>
  <c r="AC2609" i="8" s="1"/>
  <c r="AA2610" i="8"/>
  <c r="AC2610" i="8" s="1"/>
  <c r="AA2611" i="8"/>
  <c r="AC2611" i="8" s="1"/>
  <c r="AA2612" i="8"/>
  <c r="AC2612" i="8" s="1"/>
  <c r="AA2613" i="8"/>
  <c r="AC2613" i="8" s="1"/>
  <c r="AA2614" i="8"/>
  <c r="AC2614" i="8" s="1"/>
  <c r="AA2615" i="8"/>
  <c r="AC2615" i="8" s="1"/>
  <c r="AA2616" i="8"/>
  <c r="AC2616" i="8" s="1"/>
  <c r="AA2617" i="8"/>
  <c r="AC2617" i="8" s="1"/>
  <c r="AA2618" i="8"/>
  <c r="AC2618" i="8" s="1"/>
  <c r="AA2619" i="8"/>
  <c r="AC2619" i="8" s="1"/>
  <c r="AA2620" i="8"/>
  <c r="AC2620" i="8" s="1"/>
  <c r="AA2621" i="8"/>
  <c r="AC2621" i="8" s="1"/>
  <c r="AA2622" i="8"/>
  <c r="AC2622" i="8" s="1"/>
  <c r="AA2623" i="8"/>
  <c r="AC2623" i="8" s="1"/>
  <c r="AA2624" i="8"/>
  <c r="AC2624" i="8" s="1"/>
  <c r="AA2625" i="8"/>
  <c r="AC2625" i="8" s="1"/>
  <c r="AA2626" i="8"/>
  <c r="AC2626" i="8" s="1"/>
  <c r="AA2627" i="8"/>
  <c r="AC2627" i="8" s="1"/>
  <c r="AA2628" i="8"/>
  <c r="AC2628" i="8" s="1"/>
  <c r="AA2629" i="8"/>
  <c r="AC2629" i="8" s="1"/>
  <c r="AA2630" i="8"/>
  <c r="AC2630" i="8" s="1"/>
  <c r="AA2631" i="8"/>
  <c r="AC2631" i="8" s="1"/>
  <c r="AA2632" i="8"/>
  <c r="AC2632" i="8" s="1"/>
  <c r="AA2633" i="8"/>
  <c r="AC2633" i="8" s="1"/>
  <c r="AA2634" i="8"/>
  <c r="AC2634" i="8" s="1"/>
  <c r="AA2635" i="8"/>
  <c r="AC2635" i="8" s="1"/>
  <c r="AA2636" i="8"/>
  <c r="AC2636" i="8" s="1"/>
  <c r="AA2637" i="8"/>
  <c r="AC2637" i="8" s="1"/>
  <c r="AA2638" i="8"/>
  <c r="AC2638" i="8" s="1"/>
  <c r="AA2639" i="8"/>
  <c r="AC2639" i="8" s="1"/>
  <c r="AA2640" i="8"/>
  <c r="AC2640" i="8" s="1"/>
  <c r="AA2641" i="8"/>
  <c r="AC2641" i="8" s="1"/>
  <c r="AA2642" i="8"/>
  <c r="AC2642" i="8" s="1"/>
  <c r="AA2643" i="8"/>
  <c r="AC2643" i="8" s="1"/>
  <c r="AA2644" i="8"/>
  <c r="AC2644" i="8" s="1"/>
  <c r="AA2645" i="8"/>
  <c r="AC2645" i="8" s="1"/>
  <c r="AA2646" i="8"/>
  <c r="AC2646" i="8" s="1"/>
  <c r="AA2647" i="8"/>
  <c r="AC2647" i="8" s="1"/>
  <c r="AA2648" i="8"/>
  <c r="AC2648" i="8" s="1"/>
  <c r="AA2649" i="8"/>
  <c r="AC2649" i="8" s="1"/>
  <c r="AA2650" i="8"/>
  <c r="AC2650" i="8" s="1"/>
  <c r="AA2651" i="8"/>
  <c r="AC2651" i="8" s="1"/>
  <c r="AA2652" i="8"/>
  <c r="AC2652" i="8" s="1"/>
  <c r="AA2653" i="8"/>
  <c r="AC2653" i="8" s="1"/>
  <c r="AA2654" i="8"/>
  <c r="AC2654" i="8" s="1"/>
  <c r="AA2655" i="8"/>
  <c r="AC2655" i="8" s="1"/>
  <c r="AA2656" i="8"/>
  <c r="AC2656" i="8" s="1"/>
  <c r="AA2657" i="8"/>
  <c r="AC2657" i="8" s="1"/>
  <c r="AA2658" i="8"/>
  <c r="AC2658" i="8" s="1"/>
  <c r="AA2659" i="8"/>
  <c r="AC2659" i="8" s="1"/>
  <c r="AA2660" i="8"/>
  <c r="AC2660" i="8" s="1"/>
  <c r="AA2661" i="8"/>
  <c r="AC2661" i="8" s="1"/>
  <c r="AA2662" i="8"/>
  <c r="AC2662" i="8" s="1"/>
  <c r="AA2663" i="8"/>
  <c r="AC2663" i="8" s="1"/>
  <c r="AA2664" i="8"/>
  <c r="AC2664" i="8" s="1"/>
  <c r="AA2665" i="8"/>
  <c r="AC2665" i="8" s="1"/>
  <c r="AA2666" i="8"/>
  <c r="AC2666" i="8" s="1"/>
  <c r="AA2667" i="8"/>
  <c r="AC2667" i="8" s="1"/>
  <c r="AA2668" i="8"/>
  <c r="AC2668" i="8" s="1"/>
  <c r="AA2669" i="8"/>
  <c r="AC2669" i="8" s="1"/>
  <c r="AA2670" i="8"/>
  <c r="AC2670" i="8" s="1"/>
  <c r="AA2671" i="8"/>
  <c r="AC2671" i="8" s="1"/>
  <c r="AA2672" i="8"/>
  <c r="AC2672" i="8" s="1"/>
  <c r="AA2673" i="8"/>
  <c r="AC2673" i="8" s="1"/>
  <c r="AA2674" i="8"/>
  <c r="AC2674" i="8" s="1"/>
  <c r="AA2675" i="8"/>
  <c r="AC2675" i="8" s="1"/>
  <c r="AA2676" i="8"/>
  <c r="AC2676" i="8" s="1"/>
  <c r="AA2677" i="8"/>
  <c r="AC2677" i="8" s="1"/>
  <c r="AA2678" i="8"/>
  <c r="AC2678" i="8" s="1"/>
  <c r="AA2679" i="8"/>
  <c r="AC2679" i="8" s="1"/>
  <c r="AA2680" i="8"/>
  <c r="AC2680" i="8" s="1"/>
  <c r="AA2681" i="8"/>
  <c r="AC2681" i="8" s="1"/>
  <c r="AA2682" i="8"/>
  <c r="AC2682" i="8" s="1"/>
  <c r="AA2683" i="8"/>
  <c r="AC2683" i="8" s="1"/>
  <c r="AA2684" i="8"/>
  <c r="AC2684" i="8" s="1"/>
  <c r="AA2685" i="8"/>
  <c r="AC2685" i="8" s="1"/>
  <c r="AA2686" i="8"/>
  <c r="AC2686" i="8" s="1"/>
  <c r="AA2687" i="8"/>
  <c r="AC2687" i="8" s="1"/>
  <c r="AA2688" i="8"/>
  <c r="AC2688" i="8" s="1"/>
  <c r="AA2689" i="8"/>
  <c r="AC2689" i="8" s="1"/>
  <c r="AA2690" i="8"/>
  <c r="AC2690" i="8" s="1"/>
  <c r="AA2691" i="8"/>
  <c r="AC2691" i="8" s="1"/>
  <c r="AA2692" i="8"/>
  <c r="AC2692" i="8" s="1"/>
  <c r="AA2693" i="8"/>
  <c r="AC2693" i="8" s="1"/>
  <c r="AA2694" i="8"/>
  <c r="AC2694" i="8" s="1"/>
  <c r="AA2695" i="8"/>
  <c r="AC2695" i="8" s="1"/>
  <c r="AA2696" i="8"/>
  <c r="AC2696" i="8" s="1"/>
  <c r="AA2697" i="8"/>
  <c r="AC2697" i="8" s="1"/>
  <c r="AA2698" i="8"/>
  <c r="AC2698" i="8" s="1"/>
  <c r="AA2699" i="8"/>
  <c r="AC2699" i="8" s="1"/>
  <c r="AA2700" i="8"/>
  <c r="AC2700" i="8" s="1"/>
  <c r="AA2701" i="8"/>
  <c r="AC2701" i="8" s="1"/>
  <c r="AA2702" i="8"/>
  <c r="AC2702" i="8" s="1"/>
  <c r="AA2703" i="8"/>
  <c r="AC2703" i="8" s="1"/>
  <c r="AA2704" i="8"/>
  <c r="AC2704" i="8" s="1"/>
  <c r="AA2705" i="8"/>
  <c r="AC2705" i="8" s="1"/>
  <c r="AA2706" i="8"/>
  <c r="AC2706" i="8" s="1"/>
  <c r="AA2707" i="8"/>
  <c r="AC2707" i="8" s="1"/>
  <c r="AA2708" i="8"/>
  <c r="AC2708" i="8" s="1"/>
  <c r="AA2709" i="8"/>
  <c r="AC2709" i="8" s="1"/>
  <c r="AA2710" i="8"/>
  <c r="AC2710" i="8" s="1"/>
  <c r="AA2711" i="8"/>
  <c r="AC2711" i="8" s="1"/>
  <c r="AA2712" i="8"/>
  <c r="AC2712" i="8" s="1"/>
  <c r="AA2713" i="8"/>
  <c r="AC2713" i="8" s="1"/>
  <c r="AA2714" i="8"/>
  <c r="AC2714" i="8" s="1"/>
  <c r="AA2715" i="8"/>
  <c r="AC2715" i="8" s="1"/>
  <c r="AA2716" i="8"/>
  <c r="AC2716" i="8" s="1"/>
  <c r="AA2717" i="8"/>
  <c r="AC2717" i="8" s="1"/>
  <c r="AA2718" i="8"/>
  <c r="AC2718" i="8" s="1"/>
  <c r="AA2719" i="8"/>
  <c r="AC2719" i="8" s="1"/>
  <c r="AA2720" i="8"/>
  <c r="AC2720" i="8" s="1"/>
  <c r="AA2721" i="8"/>
  <c r="AC2721" i="8" s="1"/>
  <c r="AA2722" i="8"/>
  <c r="AC2722" i="8" s="1"/>
  <c r="AA2723" i="8"/>
  <c r="AC2723" i="8" s="1"/>
  <c r="AA2724" i="8"/>
  <c r="AC2724" i="8" s="1"/>
  <c r="AA2725" i="8"/>
  <c r="AC2725" i="8" s="1"/>
  <c r="AA2726" i="8"/>
  <c r="AC2726" i="8" s="1"/>
  <c r="AA2727" i="8"/>
  <c r="AC2727" i="8" s="1"/>
  <c r="AA2728" i="8"/>
  <c r="AC2728" i="8" s="1"/>
  <c r="AA2729" i="8"/>
  <c r="AC2729" i="8" s="1"/>
  <c r="AA2730" i="8"/>
  <c r="AC2730" i="8" s="1"/>
  <c r="AA2731" i="8"/>
  <c r="AC2731" i="8" s="1"/>
  <c r="AA2732" i="8"/>
  <c r="AC2732" i="8" s="1"/>
  <c r="AA2733" i="8"/>
  <c r="AC2733" i="8" s="1"/>
  <c r="AA2734" i="8"/>
  <c r="AC2734" i="8" s="1"/>
  <c r="AA2735" i="8"/>
  <c r="AC2735" i="8" s="1"/>
  <c r="AA2736" i="8"/>
  <c r="AC2736" i="8" s="1"/>
  <c r="AA2737" i="8"/>
  <c r="AC2737" i="8" s="1"/>
  <c r="AA2738" i="8"/>
  <c r="AC2738" i="8" s="1"/>
  <c r="AA2739" i="8"/>
  <c r="AC2739" i="8" s="1"/>
  <c r="AA2740" i="8"/>
  <c r="AC2740" i="8" s="1"/>
  <c r="AA2741" i="8"/>
  <c r="AC2741" i="8" s="1"/>
  <c r="AA2742" i="8"/>
  <c r="AC2742" i="8" s="1"/>
  <c r="AA2743" i="8"/>
  <c r="AC2743" i="8" s="1"/>
  <c r="AA2744" i="8"/>
  <c r="AC2744" i="8" s="1"/>
  <c r="AA2745" i="8"/>
  <c r="AC2745" i="8" s="1"/>
  <c r="AA2746" i="8"/>
  <c r="AC2746" i="8" s="1"/>
  <c r="AA2747" i="8"/>
  <c r="AC2747" i="8" s="1"/>
  <c r="AA2748" i="8"/>
  <c r="AC2748" i="8" s="1"/>
  <c r="AA2749" i="8"/>
  <c r="AC2749" i="8" s="1"/>
  <c r="AA2750" i="8"/>
  <c r="AC2750" i="8" s="1"/>
  <c r="AA2751" i="8"/>
  <c r="AC2751" i="8" s="1"/>
  <c r="AA2752" i="8"/>
  <c r="AC2752" i="8" s="1"/>
  <c r="AA2753" i="8"/>
  <c r="AC2753" i="8" s="1"/>
  <c r="AA2754" i="8"/>
  <c r="AC2754" i="8" s="1"/>
  <c r="AA2755" i="8"/>
  <c r="AC2755" i="8" s="1"/>
  <c r="AA2756" i="8"/>
  <c r="AC2756" i="8" s="1"/>
  <c r="AA2757" i="8"/>
  <c r="AC2757" i="8" s="1"/>
  <c r="AA2758" i="8"/>
  <c r="AC2758" i="8" s="1"/>
  <c r="AA2759" i="8"/>
  <c r="AC2759" i="8" s="1"/>
  <c r="AA2760" i="8"/>
  <c r="AC2760" i="8" s="1"/>
  <c r="AA2761" i="8"/>
  <c r="AC2761" i="8" s="1"/>
  <c r="AA2762" i="8"/>
  <c r="AC2762" i="8" s="1"/>
  <c r="AA2763" i="8"/>
  <c r="AC2763" i="8" s="1"/>
  <c r="AA2764" i="8"/>
  <c r="AC2764" i="8" s="1"/>
  <c r="AA2765" i="8"/>
  <c r="AC2765" i="8" s="1"/>
  <c r="AA2766" i="8"/>
  <c r="AC2766" i="8" s="1"/>
  <c r="AA2767" i="8"/>
  <c r="AC2767" i="8" s="1"/>
  <c r="AA2768" i="8"/>
  <c r="AC2768" i="8" s="1"/>
  <c r="AA2769" i="8"/>
  <c r="AC2769" i="8" s="1"/>
  <c r="AA2770" i="8"/>
  <c r="AC2770" i="8" s="1"/>
  <c r="AA2771" i="8"/>
  <c r="AC2771" i="8" s="1"/>
  <c r="AA2772" i="8"/>
  <c r="AC2772" i="8" s="1"/>
  <c r="AA2773" i="8"/>
  <c r="AC2773" i="8" s="1"/>
  <c r="AA2774" i="8"/>
  <c r="AC2774" i="8" s="1"/>
  <c r="AA2775" i="8"/>
  <c r="AC2775" i="8" s="1"/>
  <c r="AA2776" i="8"/>
  <c r="AC2776" i="8" s="1"/>
  <c r="AA2777" i="8"/>
  <c r="AC2777" i="8" s="1"/>
  <c r="AA2778" i="8"/>
  <c r="AC2778" i="8" s="1"/>
  <c r="AA2779" i="8"/>
  <c r="AC2779" i="8" s="1"/>
  <c r="AA2780" i="8"/>
  <c r="AC2780" i="8" s="1"/>
  <c r="AA2781" i="8"/>
  <c r="AC2781" i="8" s="1"/>
  <c r="AA2782" i="8"/>
  <c r="AC2782" i="8" s="1"/>
  <c r="AA2783" i="8"/>
  <c r="AC2783" i="8" s="1"/>
  <c r="AA2784" i="8"/>
  <c r="AC2784" i="8" s="1"/>
  <c r="AA2785" i="8"/>
  <c r="AC2785" i="8" s="1"/>
  <c r="AA2786" i="8"/>
  <c r="AC2786" i="8" s="1"/>
  <c r="AA2787" i="8"/>
  <c r="AC2787" i="8" s="1"/>
  <c r="AA2788" i="8"/>
  <c r="AC2788" i="8" s="1"/>
  <c r="AA2789" i="8"/>
  <c r="AC2789" i="8" s="1"/>
  <c r="AA2790" i="8"/>
  <c r="AC2790" i="8" s="1"/>
  <c r="AA2791" i="8"/>
  <c r="AC2791" i="8" s="1"/>
  <c r="AA2792" i="8"/>
  <c r="AC2792" i="8" s="1"/>
  <c r="AA2793" i="8"/>
  <c r="AC2793" i="8" s="1"/>
  <c r="AA2794" i="8"/>
  <c r="AC2794" i="8" s="1"/>
  <c r="AA2795" i="8"/>
  <c r="AC2795" i="8" s="1"/>
  <c r="AA2796" i="8"/>
  <c r="AC2796" i="8" s="1"/>
  <c r="AA2797" i="8"/>
  <c r="AC2797" i="8" s="1"/>
  <c r="AA2798" i="8"/>
  <c r="AC2798" i="8" s="1"/>
  <c r="AA2799" i="8"/>
  <c r="AC2799" i="8" s="1"/>
  <c r="AA2800" i="8"/>
  <c r="AC2800" i="8" s="1"/>
  <c r="AA2801" i="8"/>
  <c r="AC2801" i="8" s="1"/>
  <c r="AA2802" i="8"/>
  <c r="AC2802" i="8" s="1"/>
  <c r="AA2803" i="8"/>
  <c r="AC2803" i="8" s="1"/>
  <c r="AA2804" i="8"/>
  <c r="AC2804" i="8" s="1"/>
  <c r="AA2805" i="8"/>
  <c r="AC2805" i="8" s="1"/>
  <c r="AA2806" i="8"/>
  <c r="AC2806" i="8" s="1"/>
  <c r="AA2807" i="8"/>
  <c r="AC2807" i="8" s="1"/>
  <c r="AA2808" i="8"/>
  <c r="AC2808" i="8" s="1"/>
  <c r="AA2809" i="8"/>
  <c r="AC2809" i="8" s="1"/>
  <c r="AA2810" i="8"/>
  <c r="AC2810" i="8" s="1"/>
  <c r="AA2811" i="8"/>
  <c r="AC2811" i="8" s="1"/>
  <c r="AA2812" i="8"/>
  <c r="AC2812" i="8" s="1"/>
  <c r="AA2813" i="8"/>
  <c r="AC2813" i="8" s="1"/>
  <c r="AA2814" i="8"/>
  <c r="AC2814" i="8" s="1"/>
  <c r="AA2815" i="8"/>
  <c r="AC2815" i="8" s="1"/>
  <c r="AA2816" i="8"/>
  <c r="AC2816" i="8" s="1"/>
  <c r="AA2817" i="8"/>
  <c r="AC2817" i="8" s="1"/>
  <c r="AA2818" i="8"/>
  <c r="AC2818" i="8" s="1"/>
  <c r="AA2819" i="8"/>
  <c r="AC2819" i="8" s="1"/>
  <c r="AA2820" i="8"/>
  <c r="AC2820" i="8" s="1"/>
  <c r="AA2821" i="8"/>
  <c r="AC2821" i="8" s="1"/>
  <c r="AA2822" i="8"/>
  <c r="AC2822" i="8" s="1"/>
  <c r="AA2823" i="8"/>
  <c r="AC2823" i="8" s="1"/>
  <c r="AA2824" i="8"/>
  <c r="AC2824" i="8" s="1"/>
  <c r="AA2825" i="8"/>
  <c r="AC2825" i="8" s="1"/>
  <c r="AA2826" i="8"/>
  <c r="AC2826" i="8" s="1"/>
  <c r="AA2827" i="8"/>
  <c r="AC2827" i="8" s="1"/>
  <c r="AA2828" i="8"/>
  <c r="AC2828" i="8" s="1"/>
  <c r="AA2829" i="8"/>
  <c r="AC2829" i="8" s="1"/>
  <c r="AA2830" i="8"/>
  <c r="AC2830" i="8" s="1"/>
  <c r="AA2831" i="8"/>
  <c r="AC2831" i="8" s="1"/>
  <c r="AA2832" i="8"/>
  <c r="AC2832" i="8" s="1"/>
  <c r="AA2833" i="8"/>
  <c r="AC2833" i="8" s="1"/>
  <c r="AA2834" i="8"/>
  <c r="AC2834" i="8" s="1"/>
  <c r="AA2835" i="8"/>
  <c r="AC2835" i="8" s="1"/>
  <c r="AA2836" i="8"/>
  <c r="AC2836" i="8" s="1"/>
  <c r="AA2837" i="8"/>
  <c r="AC2837" i="8" s="1"/>
  <c r="AA2838" i="8"/>
  <c r="AC2838" i="8" s="1"/>
  <c r="AA2839" i="8"/>
  <c r="AC2839" i="8" s="1"/>
  <c r="AA2840" i="8"/>
  <c r="AC2840" i="8" s="1"/>
  <c r="AA2841" i="8"/>
  <c r="AC2841" i="8" s="1"/>
  <c r="AA2842" i="8"/>
  <c r="AC2842" i="8" s="1"/>
  <c r="AA2843" i="8"/>
  <c r="AC2843" i="8" s="1"/>
  <c r="AA2844" i="8"/>
  <c r="AC2844" i="8" s="1"/>
  <c r="AA2845" i="8"/>
  <c r="AC2845" i="8" s="1"/>
  <c r="AA2846" i="8"/>
  <c r="AC2846" i="8" s="1"/>
  <c r="AA2847" i="8"/>
  <c r="AC2847" i="8" s="1"/>
  <c r="AA2848" i="8"/>
  <c r="AC2848" i="8" s="1"/>
  <c r="AA2849" i="8"/>
  <c r="AC2849" i="8" s="1"/>
  <c r="AA2850" i="8"/>
  <c r="AC2850" i="8" s="1"/>
  <c r="AA2851" i="8"/>
  <c r="AC2851" i="8" s="1"/>
  <c r="AA2852" i="8"/>
  <c r="AC2852" i="8" s="1"/>
  <c r="AA2853" i="8"/>
  <c r="AC2853" i="8" s="1"/>
  <c r="AA2854" i="8"/>
  <c r="AC2854" i="8" s="1"/>
  <c r="AA2855" i="8"/>
  <c r="AC2855" i="8" s="1"/>
  <c r="AA2856" i="8"/>
  <c r="AC2856" i="8" s="1"/>
  <c r="AA2857" i="8"/>
  <c r="AC2857" i="8" s="1"/>
  <c r="AA2858" i="8"/>
  <c r="AC2858" i="8" s="1"/>
  <c r="AA2859" i="8"/>
  <c r="AC2859" i="8" s="1"/>
  <c r="AA2860" i="8"/>
  <c r="AC2860" i="8" s="1"/>
  <c r="AA2861" i="8"/>
  <c r="AC2861" i="8" s="1"/>
  <c r="AA2862" i="8"/>
  <c r="AC2862" i="8" s="1"/>
  <c r="AA2863" i="8"/>
  <c r="AC2863" i="8" s="1"/>
  <c r="AA2864" i="8"/>
  <c r="AC2864" i="8" s="1"/>
  <c r="AA2865" i="8"/>
  <c r="AC2865" i="8" s="1"/>
  <c r="AA2866" i="8"/>
  <c r="AC2866" i="8" s="1"/>
  <c r="AA2867" i="8"/>
  <c r="AC2867" i="8" s="1"/>
  <c r="AA2868" i="8"/>
  <c r="AC2868" i="8" s="1"/>
  <c r="AA2869" i="8"/>
  <c r="AC2869" i="8" s="1"/>
  <c r="AA2870" i="8"/>
  <c r="AC2870" i="8" s="1"/>
  <c r="AA2871" i="8"/>
  <c r="AC2871" i="8" s="1"/>
  <c r="AA2872" i="8"/>
  <c r="AC2872" i="8" s="1"/>
  <c r="AA2873" i="8"/>
  <c r="AC2873" i="8" s="1"/>
  <c r="AA2874" i="8"/>
  <c r="AC2874" i="8" s="1"/>
  <c r="AA2875" i="8"/>
  <c r="AC2875" i="8" s="1"/>
  <c r="AA2876" i="8"/>
  <c r="AC2876" i="8" s="1"/>
  <c r="AA2877" i="8"/>
  <c r="AC2877" i="8" s="1"/>
  <c r="AA2878" i="8"/>
  <c r="AC2878" i="8" s="1"/>
  <c r="AA2879" i="8"/>
  <c r="AC2879" i="8" s="1"/>
  <c r="AA2880" i="8"/>
  <c r="AC2880" i="8" s="1"/>
  <c r="AA2881" i="8"/>
  <c r="AC2881" i="8" s="1"/>
  <c r="AA2882" i="8"/>
  <c r="AC2882" i="8" s="1"/>
  <c r="AA2883" i="8"/>
  <c r="AC2883" i="8" s="1"/>
  <c r="AA2884" i="8"/>
  <c r="AC2884" i="8" s="1"/>
  <c r="AA2885" i="8"/>
  <c r="AC2885" i="8" s="1"/>
  <c r="AA2886" i="8"/>
  <c r="AC2886" i="8" s="1"/>
  <c r="AA2887" i="8"/>
  <c r="AC2887" i="8" s="1"/>
  <c r="AA2888" i="8"/>
  <c r="AC2888" i="8" s="1"/>
  <c r="AA2889" i="8"/>
  <c r="AC2889" i="8" s="1"/>
  <c r="AA2890" i="8"/>
  <c r="AC2890" i="8" s="1"/>
  <c r="AA2891" i="8"/>
  <c r="AC2891" i="8" s="1"/>
  <c r="AA2892" i="8"/>
  <c r="AC2892" i="8" s="1"/>
  <c r="AA2893" i="8"/>
  <c r="AC2893" i="8" s="1"/>
  <c r="AA2894" i="8"/>
  <c r="AC2894" i="8" s="1"/>
  <c r="AA2895" i="8"/>
  <c r="AC2895" i="8" s="1"/>
  <c r="AA2896" i="8"/>
  <c r="AC2896" i="8" s="1"/>
  <c r="AA2897" i="8"/>
  <c r="AC2897" i="8" s="1"/>
  <c r="AA2898" i="8"/>
  <c r="AC2898" i="8" s="1"/>
  <c r="AA2899" i="8"/>
  <c r="AC2899" i="8" s="1"/>
  <c r="AA2900" i="8"/>
  <c r="AC2900" i="8" s="1"/>
  <c r="AA2901" i="8"/>
  <c r="AC2901" i="8" s="1"/>
  <c r="AA2902" i="8"/>
  <c r="AC2902" i="8" s="1"/>
  <c r="AA2903" i="8"/>
  <c r="AC2903" i="8" s="1"/>
  <c r="AA2904" i="8"/>
  <c r="AC2904" i="8" s="1"/>
  <c r="AA2905" i="8"/>
  <c r="AC2905" i="8" s="1"/>
  <c r="AA2906" i="8"/>
  <c r="AC2906" i="8" s="1"/>
  <c r="AA2907" i="8"/>
  <c r="AC2907" i="8" s="1"/>
  <c r="AA2908" i="8"/>
  <c r="AC2908" i="8" s="1"/>
  <c r="AA2909" i="8"/>
  <c r="AC2909" i="8" s="1"/>
  <c r="AA2910" i="8"/>
  <c r="AC2910" i="8" s="1"/>
  <c r="AA2911" i="8"/>
  <c r="AC2911" i="8" s="1"/>
  <c r="AA2912" i="8"/>
  <c r="AC2912" i="8" s="1"/>
  <c r="AA2913" i="8"/>
  <c r="AC2913" i="8" s="1"/>
  <c r="AA2914" i="8"/>
  <c r="AC2914" i="8" s="1"/>
  <c r="AA2915" i="8"/>
  <c r="AC2915" i="8" s="1"/>
  <c r="AA2916" i="8"/>
  <c r="AC2916" i="8" s="1"/>
  <c r="AA2917" i="8"/>
  <c r="AC2917" i="8" s="1"/>
  <c r="AA2918" i="8"/>
  <c r="AC2918" i="8" s="1"/>
  <c r="AA2919" i="8"/>
  <c r="AC2919" i="8" s="1"/>
  <c r="AA2920" i="8"/>
  <c r="AC2920" i="8" s="1"/>
  <c r="AA2921" i="8"/>
  <c r="AC2921" i="8" s="1"/>
  <c r="AA2922" i="8"/>
  <c r="AC2922" i="8" s="1"/>
  <c r="AA2923" i="8"/>
  <c r="AC2923" i="8" s="1"/>
  <c r="AA2924" i="8"/>
  <c r="AC2924" i="8" s="1"/>
  <c r="AA2925" i="8"/>
  <c r="AC2925" i="8" s="1"/>
  <c r="AA2926" i="8"/>
  <c r="AC2926" i="8" s="1"/>
  <c r="AA2927" i="8"/>
  <c r="AC2927" i="8" s="1"/>
  <c r="AA2928" i="8"/>
  <c r="AC2928" i="8" s="1"/>
  <c r="AA2929" i="8"/>
  <c r="AC2929" i="8" s="1"/>
  <c r="AA2930" i="8"/>
  <c r="AC2930" i="8" s="1"/>
  <c r="AA2931" i="8"/>
  <c r="AC2931" i="8" s="1"/>
  <c r="AA2932" i="8"/>
  <c r="AC2932" i="8" s="1"/>
  <c r="AA2933" i="8"/>
  <c r="AC2933" i="8" s="1"/>
  <c r="AA2934" i="8"/>
  <c r="AC2934" i="8" s="1"/>
  <c r="AA2935" i="8"/>
  <c r="AC2935" i="8" s="1"/>
  <c r="AA2936" i="8"/>
  <c r="AC2936" i="8" s="1"/>
  <c r="AA2937" i="8"/>
  <c r="AC2937" i="8" s="1"/>
  <c r="AA2938" i="8"/>
  <c r="AC2938" i="8" s="1"/>
  <c r="AA2939" i="8"/>
  <c r="AC2939" i="8" s="1"/>
  <c r="AA2940" i="8"/>
  <c r="AC2940" i="8" s="1"/>
  <c r="AA2941" i="8"/>
  <c r="AC2941" i="8" s="1"/>
  <c r="AA2942" i="8"/>
  <c r="AC2942" i="8" s="1"/>
  <c r="AA2943" i="8"/>
  <c r="AC2943" i="8" s="1"/>
  <c r="AA2944" i="8"/>
  <c r="AC2944" i="8" s="1"/>
  <c r="AA2945" i="8"/>
  <c r="AC2945" i="8" s="1"/>
  <c r="AA2946" i="8"/>
  <c r="AC2946" i="8" s="1"/>
  <c r="AA2947" i="8"/>
  <c r="AC2947" i="8" s="1"/>
  <c r="AA2948" i="8"/>
  <c r="AC2948" i="8" s="1"/>
  <c r="AA2949" i="8"/>
  <c r="AC2949" i="8" s="1"/>
  <c r="AA2950" i="8"/>
  <c r="AC2950" i="8" s="1"/>
  <c r="AA2951" i="8"/>
  <c r="AC2951" i="8" s="1"/>
  <c r="AA2952" i="8"/>
  <c r="AC2952" i="8" s="1"/>
  <c r="AA2953" i="8"/>
  <c r="AC2953" i="8" s="1"/>
  <c r="AA2954" i="8"/>
  <c r="AC2954" i="8" s="1"/>
  <c r="AA2955" i="8"/>
  <c r="AC2955" i="8" s="1"/>
  <c r="AA2956" i="8"/>
  <c r="AC2956" i="8" s="1"/>
  <c r="AA2957" i="8"/>
  <c r="AC2957" i="8" s="1"/>
  <c r="AA2958" i="8"/>
  <c r="AC2958" i="8" s="1"/>
  <c r="AA2959" i="8"/>
  <c r="AC2959" i="8" s="1"/>
  <c r="AA2960" i="8"/>
  <c r="AC2960" i="8" s="1"/>
  <c r="AA2961" i="8"/>
  <c r="AC2961" i="8" s="1"/>
  <c r="AA2962" i="8"/>
  <c r="AC2962" i="8" s="1"/>
  <c r="AA2963" i="8"/>
  <c r="AC2963" i="8" s="1"/>
  <c r="AA2964" i="8"/>
  <c r="AC2964" i="8" s="1"/>
  <c r="AA2965" i="8"/>
  <c r="AC2965" i="8" s="1"/>
  <c r="AA2966" i="8"/>
  <c r="AC2966" i="8" s="1"/>
  <c r="AA2967" i="8"/>
  <c r="AC2967" i="8" s="1"/>
  <c r="AA2968" i="8"/>
  <c r="AC2968" i="8" s="1"/>
  <c r="AA2969" i="8"/>
  <c r="AC2969" i="8" s="1"/>
  <c r="AA2970" i="8"/>
  <c r="AC2970" i="8" s="1"/>
  <c r="AA2971" i="8"/>
  <c r="AC2971" i="8" s="1"/>
  <c r="AA2972" i="8"/>
  <c r="AC2972" i="8" s="1"/>
  <c r="AA2973" i="8"/>
  <c r="AC2973" i="8" s="1"/>
  <c r="AA2974" i="8"/>
  <c r="AC2974" i="8" s="1"/>
  <c r="AA2975" i="8"/>
  <c r="AC2975" i="8" s="1"/>
  <c r="AA2976" i="8"/>
  <c r="AC2976" i="8" s="1"/>
  <c r="AA2977" i="8"/>
  <c r="AC2977" i="8" s="1"/>
  <c r="AA2978" i="8"/>
  <c r="AC2978" i="8" s="1"/>
  <c r="AA2979" i="8"/>
  <c r="AC2979" i="8" s="1"/>
  <c r="AA2980" i="8"/>
  <c r="AC2980" i="8" s="1"/>
  <c r="AA2981" i="8"/>
  <c r="AC2981" i="8" s="1"/>
  <c r="AA2982" i="8"/>
  <c r="AC2982" i="8" s="1"/>
  <c r="AA2983" i="8"/>
  <c r="AC2983" i="8" s="1"/>
  <c r="AA2984" i="8"/>
  <c r="AC2984" i="8" s="1"/>
  <c r="AA2985" i="8"/>
  <c r="AC2985" i="8" s="1"/>
  <c r="AA2986" i="8"/>
  <c r="AC2986" i="8" s="1"/>
  <c r="AA2987" i="8"/>
  <c r="AC2987" i="8" s="1"/>
  <c r="AA2988" i="8"/>
  <c r="AC2988" i="8" s="1"/>
  <c r="AA2989" i="8"/>
  <c r="AC2989" i="8" s="1"/>
  <c r="AA2990" i="8"/>
  <c r="AC2990" i="8" s="1"/>
  <c r="AA2991" i="8"/>
  <c r="AC2991" i="8" s="1"/>
  <c r="AA2992" i="8"/>
  <c r="AC2992" i="8" s="1"/>
  <c r="AA2993" i="8"/>
  <c r="AC2993" i="8" s="1"/>
  <c r="AA2994" i="8"/>
  <c r="AC2994" i="8" s="1"/>
  <c r="AA2995" i="8"/>
  <c r="AC2995" i="8" s="1"/>
  <c r="AA2996" i="8"/>
  <c r="AC2996" i="8" s="1"/>
  <c r="AA2997" i="8"/>
  <c r="AC2997" i="8" s="1"/>
  <c r="AA2998" i="8"/>
  <c r="AC2998" i="8" s="1"/>
  <c r="AA2999" i="8"/>
  <c r="AC2999" i="8" s="1"/>
  <c r="AA3000" i="8"/>
  <c r="AC3000" i="8" s="1"/>
  <c r="AA3001" i="8"/>
  <c r="AC3001" i="8" s="1"/>
  <c r="AA3002" i="8"/>
  <c r="AC3002" i="8" s="1"/>
  <c r="AA3003" i="8"/>
  <c r="AC3003" i="8" s="1"/>
  <c r="AA3004" i="8"/>
  <c r="AC3004" i="8" s="1"/>
  <c r="AA3005" i="8"/>
  <c r="AC3005" i="8" s="1"/>
  <c r="AA3006" i="8"/>
  <c r="AC3006" i="8" s="1"/>
  <c r="AA3007" i="8"/>
  <c r="AC3007" i="8" s="1"/>
  <c r="AA3008" i="8"/>
  <c r="AC3008" i="8" s="1"/>
  <c r="AA3009" i="8"/>
  <c r="AC3009" i="8" s="1"/>
  <c r="AA3010" i="8"/>
  <c r="AC3010" i="8" s="1"/>
  <c r="AA3011" i="8"/>
  <c r="AC3011" i="8" s="1"/>
  <c r="AA3012" i="8"/>
  <c r="AC3012" i="8" s="1"/>
  <c r="AA3013" i="8"/>
  <c r="AC3013" i="8" s="1"/>
  <c r="AA3014" i="8"/>
  <c r="AC3014" i="8" s="1"/>
  <c r="AA3015" i="8"/>
  <c r="AC3015" i="8" s="1"/>
  <c r="AA3016" i="8"/>
  <c r="AC3016" i="8" s="1"/>
  <c r="AA3017" i="8"/>
  <c r="AC3017" i="8" s="1"/>
  <c r="AA3018" i="8"/>
  <c r="AC3018" i="8" s="1"/>
  <c r="AA3019" i="8"/>
  <c r="AC3019" i="8" s="1"/>
  <c r="AA3020" i="8"/>
  <c r="AC3020" i="8" s="1"/>
  <c r="AA3021" i="8"/>
  <c r="AC3021" i="8" s="1"/>
  <c r="AA3022" i="8"/>
  <c r="AC3022" i="8" s="1"/>
  <c r="AA3023" i="8"/>
  <c r="AC3023" i="8" s="1"/>
  <c r="AA3024" i="8"/>
  <c r="AC3024" i="8" s="1"/>
  <c r="AA3025" i="8"/>
  <c r="AC3025" i="8" s="1"/>
  <c r="AA3026" i="8"/>
  <c r="AC3026" i="8" s="1"/>
  <c r="AA3027" i="8"/>
  <c r="AC3027" i="8" s="1"/>
  <c r="AA3028" i="8"/>
  <c r="AC3028" i="8" s="1"/>
  <c r="AA3029" i="8"/>
  <c r="AC3029" i="8" s="1"/>
  <c r="AA3030" i="8"/>
  <c r="AC3030" i="8" s="1"/>
  <c r="AA3031" i="8"/>
  <c r="AC3031" i="8" s="1"/>
  <c r="AA3032" i="8"/>
  <c r="AC3032" i="8" s="1"/>
  <c r="AA3033" i="8"/>
  <c r="AC3033" i="8" s="1"/>
  <c r="AA3034" i="8"/>
  <c r="AC3034" i="8" s="1"/>
  <c r="AA3035" i="8"/>
  <c r="AC3035" i="8" s="1"/>
  <c r="AA3036" i="8"/>
  <c r="AC3036" i="8" s="1"/>
  <c r="AA3037" i="8"/>
  <c r="AC3037" i="8" s="1"/>
  <c r="AA3038" i="8"/>
  <c r="AC3038" i="8" s="1"/>
  <c r="AA3039" i="8"/>
  <c r="AC3039" i="8" s="1"/>
  <c r="AA3040" i="8"/>
  <c r="AC3040" i="8" s="1"/>
  <c r="AA3041" i="8"/>
  <c r="AC3041" i="8" s="1"/>
  <c r="AA3042" i="8"/>
  <c r="AC3042" i="8" s="1"/>
  <c r="AA3043" i="8"/>
  <c r="AC3043" i="8" s="1"/>
  <c r="AA3044" i="8"/>
  <c r="AC3044" i="8" s="1"/>
  <c r="AA3045" i="8"/>
  <c r="AC3045" i="8" s="1"/>
  <c r="AA3046" i="8"/>
  <c r="AC3046" i="8" s="1"/>
  <c r="AA3047" i="8"/>
  <c r="AC3047" i="8" s="1"/>
  <c r="AA3048" i="8"/>
  <c r="AC3048" i="8" s="1"/>
  <c r="AA3049" i="8"/>
  <c r="AC3049" i="8" s="1"/>
  <c r="AA3050" i="8"/>
  <c r="AC3050" i="8" s="1"/>
  <c r="AA3051" i="8"/>
  <c r="AC3051" i="8" s="1"/>
  <c r="AA3052" i="8"/>
  <c r="AC3052" i="8" s="1"/>
  <c r="AA3053" i="8"/>
  <c r="AC3053" i="8" s="1"/>
  <c r="AA3054" i="8"/>
  <c r="AC3054" i="8" s="1"/>
  <c r="AA3055" i="8"/>
  <c r="AC3055" i="8" s="1"/>
  <c r="AA3056" i="8"/>
  <c r="AC3056" i="8" s="1"/>
  <c r="AA3057" i="8"/>
  <c r="AC3057" i="8" s="1"/>
  <c r="AA3058" i="8"/>
  <c r="AC3058" i="8" s="1"/>
  <c r="AA3059" i="8"/>
  <c r="AC3059" i="8" s="1"/>
  <c r="AA3060" i="8"/>
  <c r="AC3060" i="8" s="1"/>
  <c r="AA3061" i="8"/>
  <c r="AC3061" i="8" s="1"/>
  <c r="AA3062" i="8"/>
  <c r="AC3062" i="8" s="1"/>
  <c r="AA3063" i="8"/>
  <c r="AC3063" i="8" s="1"/>
  <c r="AA3064" i="8"/>
  <c r="AC3064" i="8" s="1"/>
  <c r="AA3065" i="8"/>
  <c r="AC3065" i="8" s="1"/>
  <c r="AA3066" i="8"/>
  <c r="AC3066" i="8" s="1"/>
  <c r="AA3067" i="8"/>
  <c r="AC3067" i="8" s="1"/>
  <c r="AA3068" i="8"/>
  <c r="AC3068" i="8" s="1"/>
  <c r="AA3069" i="8"/>
  <c r="AC3069" i="8" s="1"/>
  <c r="AA3070" i="8"/>
  <c r="AC3070" i="8" s="1"/>
  <c r="AA3071" i="8"/>
  <c r="AC3071" i="8" s="1"/>
  <c r="AA3072" i="8"/>
  <c r="AC3072" i="8" s="1"/>
  <c r="AA3073" i="8"/>
  <c r="AC3073" i="8" s="1"/>
  <c r="AA3074" i="8"/>
  <c r="AC3074" i="8" s="1"/>
  <c r="AA3075" i="8"/>
  <c r="AC3075" i="8" s="1"/>
  <c r="AA3076" i="8"/>
  <c r="AC3076" i="8" s="1"/>
  <c r="AA3077" i="8"/>
  <c r="AC3077" i="8" s="1"/>
  <c r="AA3078" i="8"/>
  <c r="AC3078" i="8" s="1"/>
  <c r="AA3079" i="8"/>
  <c r="AC3079" i="8" s="1"/>
  <c r="AA3080" i="8"/>
  <c r="AC3080" i="8" s="1"/>
  <c r="AA3081" i="8"/>
  <c r="AC3081" i="8" s="1"/>
  <c r="AA3082" i="8"/>
  <c r="AC3082" i="8" s="1"/>
  <c r="AA3083" i="8"/>
  <c r="AC3083" i="8" s="1"/>
  <c r="AA3084" i="8"/>
  <c r="AC3084" i="8" s="1"/>
  <c r="AA3085" i="8"/>
  <c r="AC3085" i="8" s="1"/>
  <c r="AA3086" i="8"/>
  <c r="AC3086" i="8" s="1"/>
  <c r="AA3087" i="8"/>
  <c r="AC3087" i="8" s="1"/>
  <c r="AA3088" i="8"/>
  <c r="AC3088" i="8" s="1"/>
  <c r="AA3089" i="8"/>
  <c r="AC3089" i="8" s="1"/>
  <c r="AA3090" i="8"/>
  <c r="AC3090" i="8" s="1"/>
  <c r="AA3091" i="8"/>
  <c r="AC3091" i="8" s="1"/>
  <c r="AA3092" i="8"/>
  <c r="AC3092" i="8" s="1"/>
  <c r="AA3093" i="8"/>
  <c r="AC3093" i="8" s="1"/>
  <c r="AA3094" i="8"/>
  <c r="AC3094" i="8" s="1"/>
  <c r="AA3095" i="8"/>
  <c r="AC3095" i="8" s="1"/>
  <c r="AA3096" i="8"/>
  <c r="AC3096" i="8" s="1"/>
  <c r="AA3097" i="8"/>
  <c r="AC3097" i="8" s="1"/>
  <c r="AA3098" i="8"/>
  <c r="AC3098" i="8" s="1"/>
  <c r="AA3099" i="8"/>
  <c r="AC3099" i="8" s="1"/>
  <c r="AA3100" i="8"/>
  <c r="AC3100" i="8" s="1"/>
  <c r="AA3101" i="8"/>
  <c r="AC3101" i="8" s="1"/>
  <c r="AA3102" i="8"/>
  <c r="AC3102" i="8" s="1"/>
  <c r="AA3103" i="8"/>
  <c r="AC3103" i="8" s="1"/>
  <c r="AA3104" i="8"/>
  <c r="AC3104" i="8" s="1"/>
  <c r="AA3105" i="8"/>
  <c r="AC3105" i="8" s="1"/>
  <c r="AA3106" i="8"/>
  <c r="AC3106" i="8" s="1"/>
  <c r="AA3107" i="8"/>
  <c r="AC3107" i="8" s="1"/>
  <c r="AA3108" i="8"/>
  <c r="AC3108" i="8" s="1"/>
  <c r="AA3109" i="8"/>
  <c r="AC3109" i="8" s="1"/>
  <c r="AA3110" i="8"/>
  <c r="AC3110" i="8" s="1"/>
  <c r="AA3111" i="8"/>
  <c r="AC3111" i="8" s="1"/>
  <c r="AA3112" i="8"/>
  <c r="AC3112" i="8" s="1"/>
  <c r="AA3113" i="8"/>
  <c r="AC3113" i="8" s="1"/>
  <c r="AA3114" i="8"/>
  <c r="AC3114" i="8" s="1"/>
  <c r="AA3115" i="8"/>
  <c r="AC3115" i="8" s="1"/>
  <c r="AA3116" i="8"/>
  <c r="AC3116" i="8" s="1"/>
  <c r="AA3117" i="8"/>
  <c r="AC3117" i="8" s="1"/>
  <c r="AA3118" i="8"/>
  <c r="AC3118" i="8" s="1"/>
  <c r="AA3119" i="8"/>
  <c r="AC3119" i="8" s="1"/>
  <c r="AA3120" i="8"/>
  <c r="AC3120" i="8" s="1"/>
  <c r="AA3121" i="8"/>
  <c r="AC3121" i="8" s="1"/>
  <c r="AA3122" i="8"/>
  <c r="AC3122" i="8" s="1"/>
  <c r="AA3123" i="8"/>
  <c r="AC3123" i="8" s="1"/>
  <c r="AA3124" i="8"/>
  <c r="AC3124" i="8" s="1"/>
  <c r="AA3125" i="8"/>
  <c r="AC3125" i="8" s="1"/>
  <c r="AA3126" i="8"/>
  <c r="AC3126" i="8" s="1"/>
  <c r="AA3127" i="8"/>
  <c r="AC3127" i="8" s="1"/>
  <c r="AA3128" i="8"/>
  <c r="AC3128" i="8" s="1"/>
  <c r="AA3129" i="8"/>
  <c r="AC3129" i="8" s="1"/>
  <c r="AA3130" i="8"/>
  <c r="AC3130" i="8" s="1"/>
  <c r="AA3131" i="8"/>
  <c r="AC3131" i="8" s="1"/>
  <c r="AA3132" i="8"/>
  <c r="AC3132" i="8" s="1"/>
  <c r="AA3133" i="8"/>
  <c r="AC3133" i="8" s="1"/>
  <c r="AA3134" i="8"/>
  <c r="AC3134" i="8" s="1"/>
  <c r="AA3135" i="8"/>
  <c r="AC3135" i="8" s="1"/>
  <c r="AA3136" i="8"/>
  <c r="AC3136" i="8" s="1"/>
  <c r="AA3137" i="8"/>
  <c r="AC3137" i="8" s="1"/>
  <c r="AA3138" i="8"/>
  <c r="AC3138" i="8" s="1"/>
  <c r="AA3139" i="8"/>
  <c r="AC3139" i="8" s="1"/>
  <c r="AA3140" i="8"/>
  <c r="AC3140" i="8" s="1"/>
  <c r="AA3141" i="8"/>
  <c r="AC3141" i="8" s="1"/>
  <c r="AA3142" i="8"/>
  <c r="AC3142" i="8" s="1"/>
  <c r="AA3143" i="8"/>
  <c r="AC3143" i="8" s="1"/>
  <c r="AA3144" i="8"/>
  <c r="AC3144" i="8" s="1"/>
  <c r="AA3145" i="8"/>
  <c r="AC3145" i="8" s="1"/>
  <c r="AA3146" i="8"/>
  <c r="AC3146" i="8" s="1"/>
  <c r="AA3147" i="8"/>
  <c r="AC3147" i="8" s="1"/>
  <c r="AA3148" i="8"/>
  <c r="AC3148" i="8" s="1"/>
  <c r="AA3149" i="8"/>
  <c r="AC3149" i="8" s="1"/>
  <c r="AA3150" i="8"/>
  <c r="AC3150" i="8" s="1"/>
  <c r="AA3151" i="8"/>
  <c r="AC3151" i="8" s="1"/>
  <c r="AA3152" i="8"/>
  <c r="AC3152" i="8" s="1"/>
  <c r="AA3153" i="8"/>
  <c r="AC3153" i="8" s="1"/>
  <c r="AA3154" i="8"/>
  <c r="AC3154" i="8" s="1"/>
  <c r="AA3155" i="8"/>
  <c r="AC3155" i="8" s="1"/>
  <c r="AA3156" i="8"/>
  <c r="AC3156" i="8" s="1"/>
  <c r="AA3157" i="8"/>
  <c r="AC3157" i="8" s="1"/>
  <c r="AA3158" i="8"/>
  <c r="AC3158" i="8" s="1"/>
  <c r="AA3159" i="8"/>
  <c r="AC3159" i="8" s="1"/>
  <c r="AA3160" i="8"/>
  <c r="AC3160" i="8" s="1"/>
  <c r="AA3161" i="8"/>
  <c r="AC3161" i="8" s="1"/>
  <c r="AA3162" i="8"/>
  <c r="AC3162" i="8" s="1"/>
  <c r="AA3163" i="8"/>
  <c r="AC3163" i="8" s="1"/>
  <c r="AA3164" i="8"/>
  <c r="AC3164" i="8" s="1"/>
  <c r="AA3165" i="8"/>
  <c r="AC3165" i="8" s="1"/>
  <c r="AA3166" i="8"/>
  <c r="AC3166" i="8" s="1"/>
  <c r="AA3167" i="8"/>
  <c r="AC3167" i="8" s="1"/>
  <c r="AA3168" i="8"/>
  <c r="AC3168" i="8" s="1"/>
  <c r="AA3169" i="8"/>
  <c r="AC3169" i="8" s="1"/>
  <c r="AA3170" i="8"/>
  <c r="AC3170" i="8" s="1"/>
  <c r="AA3171" i="8"/>
  <c r="AC3171" i="8" s="1"/>
  <c r="AA3172" i="8"/>
  <c r="AC3172" i="8" s="1"/>
  <c r="AA3173" i="8"/>
  <c r="AC3173" i="8" s="1"/>
  <c r="AA3174" i="8"/>
  <c r="AC3174" i="8" s="1"/>
  <c r="AA3175" i="8"/>
  <c r="AC3175" i="8" s="1"/>
  <c r="AA3176" i="8"/>
  <c r="AC3176" i="8" s="1"/>
  <c r="AA3177" i="8"/>
  <c r="AC3177" i="8" s="1"/>
  <c r="AA3178" i="8"/>
  <c r="AC3178" i="8" s="1"/>
  <c r="AA3179" i="8"/>
  <c r="AC3179" i="8" s="1"/>
  <c r="AA3180" i="8"/>
  <c r="AC3180" i="8" s="1"/>
  <c r="AA3181" i="8"/>
  <c r="AC3181" i="8" s="1"/>
  <c r="AA3182" i="8"/>
  <c r="AC3182" i="8" s="1"/>
  <c r="AA3183" i="8"/>
  <c r="AC3183" i="8" s="1"/>
  <c r="AA3184" i="8"/>
  <c r="AC3184" i="8" s="1"/>
  <c r="AA3185" i="8"/>
  <c r="AC3185" i="8" s="1"/>
  <c r="AA3186" i="8"/>
  <c r="AC3186" i="8" s="1"/>
  <c r="AA3187" i="8"/>
  <c r="AC3187" i="8" s="1"/>
  <c r="AA3188" i="8"/>
  <c r="AC3188" i="8" s="1"/>
  <c r="AA3189" i="8"/>
  <c r="AC3189" i="8" s="1"/>
  <c r="AA3190" i="8"/>
  <c r="AC3190" i="8" s="1"/>
  <c r="AA3191" i="8"/>
  <c r="AC3191" i="8" s="1"/>
  <c r="AA3192" i="8"/>
  <c r="AC3192" i="8" s="1"/>
  <c r="AA3193" i="8"/>
  <c r="AC3193" i="8" s="1"/>
  <c r="AA3194" i="8"/>
  <c r="AC3194" i="8" s="1"/>
  <c r="AA3195" i="8"/>
  <c r="AC3195" i="8" s="1"/>
  <c r="AA3196" i="8"/>
  <c r="AC3196" i="8" s="1"/>
  <c r="AA3197" i="8"/>
  <c r="AC3197" i="8" s="1"/>
  <c r="AA3198" i="8"/>
  <c r="AC3198" i="8" s="1"/>
  <c r="AA3199" i="8"/>
  <c r="AC3199" i="8" s="1"/>
  <c r="AA3200" i="8"/>
  <c r="AC3200" i="8" s="1"/>
  <c r="AA3201" i="8"/>
  <c r="AC3201" i="8" s="1"/>
  <c r="AA3202" i="8"/>
  <c r="AC3202" i="8" s="1"/>
  <c r="AA3203" i="8"/>
  <c r="AC3203" i="8" s="1"/>
  <c r="AA3204" i="8"/>
  <c r="AC3204" i="8" s="1"/>
  <c r="AA3205" i="8"/>
  <c r="AC3205" i="8" s="1"/>
  <c r="AA3206" i="8"/>
  <c r="AC3206" i="8" s="1"/>
  <c r="AA3207" i="8"/>
  <c r="AC3207" i="8" s="1"/>
  <c r="AA3208" i="8"/>
  <c r="AC3208" i="8" s="1"/>
  <c r="AA3209" i="8"/>
  <c r="AC3209" i="8" s="1"/>
  <c r="AA3210" i="8"/>
  <c r="AC3210" i="8" s="1"/>
  <c r="AA3211" i="8"/>
  <c r="AC3211" i="8" s="1"/>
  <c r="AA3212" i="8"/>
  <c r="AC3212" i="8" s="1"/>
  <c r="AA3213" i="8"/>
  <c r="AC3213" i="8" s="1"/>
  <c r="AA3214" i="8"/>
  <c r="AC3214" i="8" s="1"/>
  <c r="AA3215" i="8"/>
  <c r="AC3215" i="8" s="1"/>
  <c r="AA3216" i="8"/>
  <c r="AC3216" i="8" s="1"/>
  <c r="AA3217" i="8"/>
  <c r="AC3217" i="8" s="1"/>
  <c r="AA3218" i="8"/>
  <c r="AC3218" i="8" s="1"/>
  <c r="AA3219" i="8"/>
  <c r="AC3219" i="8" s="1"/>
  <c r="AA3220" i="8"/>
  <c r="AC3220" i="8" s="1"/>
  <c r="AA3221" i="8"/>
  <c r="AC3221" i="8" s="1"/>
  <c r="AA3222" i="8"/>
  <c r="AC3222" i="8" s="1"/>
  <c r="AA3223" i="8"/>
  <c r="AC3223" i="8" s="1"/>
  <c r="AA3224" i="8"/>
  <c r="AC3224" i="8" s="1"/>
  <c r="AA3225" i="8"/>
  <c r="AC3225" i="8" s="1"/>
  <c r="AA3226" i="8"/>
  <c r="AC3226" i="8" s="1"/>
  <c r="AA3227" i="8"/>
  <c r="AC3227" i="8" s="1"/>
  <c r="AA3228" i="8"/>
  <c r="AC3228" i="8" s="1"/>
  <c r="AA3229" i="8"/>
  <c r="AC3229" i="8" s="1"/>
  <c r="AA3230" i="8"/>
  <c r="AC3230" i="8" s="1"/>
  <c r="AA3231" i="8"/>
  <c r="AC3231" i="8" s="1"/>
  <c r="AA3232" i="8"/>
  <c r="AC3232" i="8" s="1"/>
  <c r="AA3233" i="8"/>
  <c r="AC3233" i="8" s="1"/>
  <c r="AA3234" i="8"/>
  <c r="AC3234" i="8" s="1"/>
  <c r="AA3235" i="8"/>
  <c r="AC3235" i="8" s="1"/>
  <c r="AA3236" i="8"/>
  <c r="AC3236" i="8" s="1"/>
  <c r="AA3237" i="8"/>
  <c r="AC3237" i="8" s="1"/>
  <c r="AA3238" i="8"/>
  <c r="AC3238" i="8" s="1"/>
  <c r="AA3239" i="8"/>
  <c r="AC3239" i="8" s="1"/>
  <c r="AA3240" i="8"/>
  <c r="AC3240" i="8" s="1"/>
  <c r="AA3241" i="8"/>
  <c r="AC3241" i="8" s="1"/>
  <c r="AA3242" i="8"/>
  <c r="AC3242" i="8" s="1"/>
  <c r="AA3243" i="8"/>
  <c r="AC3243" i="8" s="1"/>
  <c r="AA3244" i="8"/>
  <c r="AC3244" i="8" s="1"/>
  <c r="AA3245" i="8"/>
  <c r="AC3245" i="8" s="1"/>
  <c r="AA3246" i="8"/>
  <c r="AC3246" i="8" s="1"/>
  <c r="AA3247" i="8"/>
  <c r="AC3247" i="8" s="1"/>
  <c r="AA3248" i="8"/>
  <c r="AC3248" i="8" s="1"/>
  <c r="AA3249" i="8"/>
  <c r="AC3249" i="8" s="1"/>
  <c r="AA3250" i="8"/>
  <c r="AC3250" i="8" s="1"/>
  <c r="AA3251" i="8"/>
  <c r="AC3251" i="8" s="1"/>
  <c r="AA3252" i="8"/>
  <c r="AC3252" i="8" s="1"/>
  <c r="AA3253" i="8"/>
  <c r="AC3253" i="8" s="1"/>
  <c r="AA3254" i="8"/>
  <c r="AC3254" i="8" s="1"/>
  <c r="AA3255" i="8"/>
  <c r="AC3255" i="8" s="1"/>
  <c r="AA3256" i="8"/>
  <c r="AC3256" i="8" s="1"/>
  <c r="AA3257" i="8"/>
  <c r="AC3257" i="8" s="1"/>
  <c r="AA3258" i="8"/>
  <c r="AC3258" i="8" s="1"/>
  <c r="AA3259" i="8"/>
  <c r="AC3259" i="8" s="1"/>
  <c r="AA3260" i="8"/>
  <c r="AC3260" i="8" s="1"/>
  <c r="AA3261" i="8"/>
  <c r="AC3261" i="8" s="1"/>
  <c r="AA3262" i="8"/>
  <c r="AC3262" i="8" s="1"/>
  <c r="AA3263" i="8"/>
  <c r="AC3263" i="8" s="1"/>
  <c r="AA3264" i="8"/>
  <c r="AC3264" i="8" s="1"/>
  <c r="AA3265" i="8"/>
  <c r="AC3265" i="8" s="1"/>
  <c r="AA3266" i="8"/>
  <c r="AC3266" i="8" s="1"/>
  <c r="AA3267" i="8"/>
  <c r="AC3267" i="8" s="1"/>
  <c r="AA3268" i="8"/>
  <c r="AC3268" i="8" s="1"/>
  <c r="AA3269" i="8"/>
  <c r="AC3269" i="8" s="1"/>
  <c r="AA3270" i="8"/>
  <c r="AC3270" i="8" s="1"/>
  <c r="AA3271" i="8"/>
  <c r="AC3271" i="8" s="1"/>
  <c r="AA3272" i="8"/>
  <c r="AC3272" i="8" s="1"/>
  <c r="AA3273" i="8"/>
  <c r="AC3273" i="8" s="1"/>
  <c r="AA3274" i="8"/>
  <c r="AC3274" i="8" s="1"/>
  <c r="AA3275" i="8"/>
  <c r="AC3275" i="8" s="1"/>
  <c r="AA3276" i="8"/>
  <c r="AC3276" i="8" s="1"/>
  <c r="AA3277" i="8"/>
  <c r="AC3277" i="8" s="1"/>
  <c r="AA3278" i="8"/>
  <c r="AC3278" i="8" s="1"/>
  <c r="AA3279" i="8"/>
  <c r="AC3279" i="8" s="1"/>
  <c r="AA3280" i="8"/>
  <c r="AC3280" i="8" s="1"/>
  <c r="AA3281" i="8"/>
  <c r="AC3281" i="8" s="1"/>
  <c r="AA3282" i="8"/>
  <c r="AC3282" i="8" s="1"/>
  <c r="AA3283" i="8"/>
  <c r="AC3283" i="8" s="1"/>
  <c r="AA3284" i="8"/>
  <c r="AC3284" i="8" s="1"/>
  <c r="AA3285" i="8"/>
  <c r="AC3285" i="8" s="1"/>
  <c r="AA3286" i="8"/>
  <c r="AC3286" i="8" s="1"/>
  <c r="AA3287" i="8"/>
  <c r="AC3287" i="8" s="1"/>
  <c r="AA3288" i="8"/>
  <c r="AC3288" i="8" s="1"/>
  <c r="AA3289" i="8"/>
  <c r="AC3289" i="8" s="1"/>
  <c r="AA3290" i="8"/>
  <c r="AC3290" i="8" s="1"/>
  <c r="AA3291" i="8"/>
  <c r="AC3291" i="8" s="1"/>
  <c r="AA3292" i="8"/>
  <c r="AC3292" i="8" s="1"/>
  <c r="AA3293" i="8"/>
  <c r="AC3293" i="8" s="1"/>
  <c r="AA3294" i="8"/>
  <c r="AC3294" i="8" s="1"/>
  <c r="AA3295" i="8"/>
  <c r="AC3295" i="8" s="1"/>
  <c r="AA3296" i="8"/>
  <c r="AC3296" i="8" s="1"/>
  <c r="AA3297" i="8"/>
  <c r="AC3297" i="8" s="1"/>
  <c r="AA3298" i="8"/>
  <c r="AC3298" i="8" s="1"/>
  <c r="AA3299" i="8"/>
  <c r="AC3299" i="8" s="1"/>
  <c r="AA3300" i="8"/>
  <c r="AC3300" i="8" s="1"/>
  <c r="AA3301" i="8"/>
  <c r="AC3301" i="8" s="1"/>
  <c r="AA3302" i="8"/>
  <c r="AC3302" i="8" s="1"/>
  <c r="AA3303" i="8"/>
  <c r="AC3303" i="8" s="1"/>
  <c r="AA3304" i="8"/>
  <c r="AC3304" i="8" s="1"/>
  <c r="AA3305" i="8"/>
  <c r="AC3305" i="8" s="1"/>
  <c r="AA3306" i="8"/>
  <c r="AC3306" i="8" s="1"/>
  <c r="AA3307" i="8"/>
  <c r="AC3307" i="8" s="1"/>
  <c r="AA3308" i="8"/>
  <c r="AC3308" i="8" s="1"/>
  <c r="AA3309" i="8"/>
  <c r="AC3309" i="8" s="1"/>
  <c r="AA3310" i="8"/>
  <c r="AC3310" i="8" s="1"/>
  <c r="AA3311" i="8"/>
  <c r="AC3311" i="8" s="1"/>
  <c r="AA3312" i="8"/>
  <c r="AC3312" i="8" s="1"/>
  <c r="AA3313" i="8"/>
  <c r="AC3313" i="8" s="1"/>
  <c r="AA3314" i="8"/>
  <c r="AC3314" i="8" s="1"/>
  <c r="AA3315" i="8"/>
  <c r="AC3315" i="8" s="1"/>
  <c r="AA3316" i="8"/>
  <c r="AC3316" i="8" s="1"/>
  <c r="AA3317" i="8"/>
  <c r="AC3317" i="8" s="1"/>
  <c r="AA3318" i="8"/>
  <c r="AC3318" i="8" s="1"/>
  <c r="AA3319" i="8"/>
  <c r="AC3319" i="8" s="1"/>
  <c r="AA3320" i="8"/>
  <c r="AC3320" i="8" s="1"/>
  <c r="AA3321" i="8"/>
  <c r="AC3321" i="8" s="1"/>
  <c r="AA3322" i="8"/>
  <c r="AC3322" i="8" s="1"/>
  <c r="AA3323" i="8"/>
  <c r="AC3323" i="8" s="1"/>
  <c r="AA3324" i="8"/>
  <c r="AC3324" i="8" s="1"/>
  <c r="AA3325" i="8"/>
  <c r="AC3325" i="8" s="1"/>
  <c r="AA3326" i="8"/>
  <c r="AC3326" i="8" s="1"/>
  <c r="AA3327" i="8"/>
  <c r="AC3327" i="8" s="1"/>
  <c r="AA3328" i="8"/>
  <c r="AC3328" i="8" s="1"/>
  <c r="AA3329" i="8"/>
  <c r="AC3329" i="8" s="1"/>
  <c r="AA3330" i="8"/>
  <c r="AC3330" i="8" s="1"/>
  <c r="AA3331" i="8"/>
  <c r="AC3331" i="8" s="1"/>
  <c r="AA3332" i="8"/>
  <c r="AC3332" i="8" s="1"/>
  <c r="AA3333" i="8"/>
  <c r="AC3333" i="8" s="1"/>
  <c r="AA3334" i="8"/>
  <c r="AC3334" i="8" s="1"/>
  <c r="AA3335" i="8"/>
  <c r="AC3335" i="8" s="1"/>
  <c r="AA3336" i="8"/>
  <c r="AC3336" i="8" s="1"/>
  <c r="AA3337" i="8"/>
  <c r="AC3337" i="8" s="1"/>
  <c r="AA3338" i="8"/>
  <c r="AC3338" i="8" s="1"/>
  <c r="AA3339" i="8"/>
  <c r="AC3339" i="8" s="1"/>
  <c r="AA3340" i="8"/>
  <c r="AC3340" i="8" s="1"/>
  <c r="AA3341" i="8"/>
  <c r="AC3341" i="8" s="1"/>
  <c r="AA3342" i="8"/>
  <c r="AC3342" i="8" s="1"/>
  <c r="AA3343" i="8"/>
  <c r="AC3343" i="8" s="1"/>
  <c r="AA3344" i="8"/>
  <c r="AC3344" i="8" s="1"/>
  <c r="AA3345" i="8"/>
  <c r="AC3345" i="8" s="1"/>
  <c r="AA3346" i="8"/>
  <c r="AC3346" i="8" s="1"/>
  <c r="AA3347" i="8"/>
  <c r="AC3347" i="8" s="1"/>
  <c r="AA3348" i="8"/>
  <c r="AC3348" i="8" s="1"/>
  <c r="AA3349" i="8"/>
  <c r="AC3349" i="8" s="1"/>
  <c r="AA3350" i="8"/>
  <c r="AC3350" i="8" s="1"/>
  <c r="AA3351" i="8"/>
  <c r="AC3351" i="8" s="1"/>
  <c r="AA3352" i="8"/>
  <c r="AC3352" i="8" s="1"/>
  <c r="AA3353" i="8"/>
  <c r="AC3353" i="8" s="1"/>
  <c r="AA3354" i="8"/>
  <c r="AC3354" i="8" s="1"/>
  <c r="AA3355" i="8"/>
  <c r="AC3355" i="8" s="1"/>
  <c r="AA3356" i="8"/>
  <c r="AC3356" i="8" s="1"/>
  <c r="AA3357" i="8"/>
  <c r="AC3357" i="8" s="1"/>
  <c r="AA3358" i="8"/>
  <c r="AC3358" i="8" s="1"/>
  <c r="AA3359" i="8"/>
  <c r="AC3359" i="8" s="1"/>
  <c r="AA3360" i="8"/>
  <c r="AC3360" i="8" s="1"/>
  <c r="AA3361" i="8"/>
  <c r="AC3361" i="8" s="1"/>
  <c r="AA3362" i="8"/>
  <c r="AC3362" i="8" s="1"/>
  <c r="AA3363" i="8"/>
  <c r="AC3363" i="8" s="1"/>
  <c r="AA3364" i="8"/>
  <c r="AC3364" i="8" s="1"/>
  <c r="AA3365" i="8"/>
  <c r="AC3365" i="8" s="1"/>
  <c r="AA3366" i="8"/>
  <c r="AC3366" i="8" s="1"/>
  <c r="AA3367" i="8"/>
  <c r="AC3367" i="8" s="1"/>
  <c r="AA3368" i="8"/>
  <c r="AC3368" i="8" s="1"/>
  <c r="AA3369" i="8"/>
  <c r="AC3369" i="8" s="1"/>
  <c r="AA3370" i="8"/>
  <c r="AC3370" i="8" s="1"/>
  <c r="AA3371" i="8"/>
  <c r="AC3371" i="8" s="1"/>
  <c r="AA3372" i="8"/>
  <c r="AC3372" i="8" s="1"/>
  <c r="AA3373" i="8"/>
  <c r="AC3373" i="8" s="1"/>
  <c r="AA3374" i="8"/>
  <c r="AC3374" i="8" s="1"/>
  <c r="AA3375" i="8"/>
  <c r="AC3375" i="8" s="1"/>
  <c r="AA3376" i="8"/>
  <c r="AC3376" i="8" s="1"/>
  <c r="AA3377" i="8"/>
  <c r="AC3377" i="8" s="1"/>
  <c r="AA3378" i="8"/>
  <c r="AC3378" i="8" s="1"/>
  <c r="AA3379" i="8"/>
  <c r="AC3379" i="8" s="1"/>
  <c r="AA3380" i="8"/>
  <c r="AC3380" i="8" s="1"/>
  <c r="AA3381" i="8"/>
  <c r="AC3381" i="8" s="1"/>
  <c r="AA3382" i="8"/>
  <c r="AC3382" i="8" s="1"/>
  <c r="AA3383" i="8"/>
  <c r="AC3383" i="8" s="1"/>
  <c r="AA3384" i="8"/>
  <c r="AC3384" i="8" s="1"/>
  <c r="AA3385" i="8"/>
  <c r="AC3385" i="8" s="1"/>
  <c r="AA3386" i="8"/>
  <c r="AC3386" i="8" s="1"/>
  <c r="AA3387" i="8"/>
  <c r="AC3387" i="8" s="1"/>
  <c r="AA3388" i="8"/>
  <c r="AC3388" i="8" s="1"/>
  <c r="AA3389" i="8"/>
  <c r="AC3389" i="8" s="1"/>
  <c r="AA3390" i="8"/>
  <c r="AC3390" i="8" s="1"/>
  <c r="AA3391" i="8"/>
  <c r="AC3391" i="8" s="1"/>
  <c r="AA3392" i="8"/>
  <c r="AC3392" i="8" s="1"/>
  <c r="AA3393" i="8"/>
  <c r="AC3393" i="8" s="1"/>
  <c r="AA3394" i="8"/>
  <c r="AC3394" i="8" s="1"/>
  <c r="AA3395" i="8"/>
  <c r="AC3395" i="8" s="1"/>
  <c r="AA3396" i="8"/>
  <c r="AC3396" i="8" s="1"/>
  <c r="AA3397" i="8"/>
  <c r="AC3397" i="8" s="1"/>
  <c r="AA3398" i="8"/>
  <c r="AC3398" i="8" s="1"/>
  <c r="AA3399" i="8"/>
  <c r="AC3399" i="8" s="1"/>
  <c r="AA3400" i="8"/>
  <c r="AC3400" i="8" s="1"/>
  <c r="AA3401" i="8"/>
  <c r="AC3401" i="8" s="1"/>
  <c r="AA3402" i="8"/>
  <c r="AC3402" i="8" s="1"/>
  <c r="AA3403" i="8"/>
  <c r="AC3403" i="8" s="1"/>
  <c r="AA3404" i="8"/>
  <c r="AC3404" i="8" s="1"/>
  <c r="AA3405" i="8"/>
  <c r="AC3405" i="8" s="1"/>
  <c r="AA3406" i="8"/>
  <c r="AC3406" i="8" s="1"/>
  <c r="AA3407" i="8"/>
  <c r="AC3407" i="8" s="1"/>
  <c r="AA3408" i="8"/>
  <c r="AC3408" i="8" s="1"/>
  <c r="AA3409" i="8"/>
  <c r="AC3409" i="8" s="1"/>
  <c r="AA3410" i="8"/>
  <c r="AC3410" i="8" s="1"/>
  <c r="AA3411" i="8"/>
  <c r="AC3411" i="8" s="1"/>
  <c r="AA3412" i="8"/>
  <c r="AC3412" i="8" s="1"/>
  <c r="AA3413" i="8"/>
  <c r="AC3413" i="8" s="1"/>
  <c r="AA3414" i="8"/>
  <c r="AC3414" i="8" s="1"/>
  <c r="AA3415" i="8"/>
  <c r="AC3415" i="8" s="1"/>
  <c r="AA3416" i="8"/>
  <c r="AC3416" i="8" s="1"/>
  <c r="AA3417" i="8"/>
  <c r="AC3417" i="8" s="1"/>
  <c r="AA3418" i="8"/>
  <c r="AC3418" i="8" s="1"/>
  <c r="AA3419" i="8"/>
  <c r="AC3419" i="8" s="1"/>
  <c r="AA3420" i="8"/>
  <c r="AC3420" i="8" s="1"/>
  <c r="AA3421" i="8"/>
  <c r="AC3421" i="8" s="1"/>
  <c r="AA3422" i="8"/>
  <c r="AC3422" i="8" s="1"/>
  <c r="AA3423" i="8"/>
  <c r="AC3423" i="8" s="1"/>
  <c r="AA3424" i="8"/>
  <c r="AC3424" i="8" s="1"/>
  <c r="AA3425" i="8"/>
  <c r="AC3425" i="8" s="1"/>
  <c r="AA3426" i="8"/>
  <c r="AC3426" i="8" s="1"/>
  <c r="AA3427" i="8"/>
  <c r="AC3427" i="8" s="1"/>
  <c r="AA3428" i="8"/>
  <c r="AC3428" i="8" s="1"/>
  <c r="AA3429" i="8"/>
  <c r="AC3429" i="8" s="1"/>
  <c r="AA3430" i="8"/>
  <c r="AC3430" i="8" s="1"/>
  <c r="AA3431" i="8"/>
  <c r="AC3431" i="8" s="1"/>
  <c r="AA3432" i="8"/>
  <c r="AC3432" i="8" s="1"/>
  <c r="AA3433" i="8"/>
  <c r="AC3433" i="8" s="1"/>
  <c r="AA3434" i="8"/>
  <c r="AC3434" i="8" s="1"/>
  <c r="AA3435" i="8"/>
  <c r="AC3435" i="8" s="1"/>
  <c r="AA3436" i="8"/>
  <c r="AC3436" i="8" s="1"/>
  <c r="AA3437" i="8"/>
  <c r="AC3437" i="8" s="1"/>
  <c r="AA3438" i="8"/>
  <c r="AC3438" i="8" s="1"/>
  <c r="AA3439" i="8"/>
  <c r="AC3439" i="8" s="1"/>
  <c r="AA3440" i="8"/>
  <c r="AC3440" i="8" s="1"/>
  <c r="AA3441" i="8"/>
  <c r="AC3441" i="8" s="1"/>
  <c r="AA3442" i="8"/>
  <c r="AC3442" i="8" s="1"/>
  <c r="AA3443" i="8"/>
  <c r="AC3443" i="8" s="1"/>
  <c r="AA3444" i="8"/>
  <c r="AC3444" i="8" s="1"/>
  <c r="AA3445" i="8"/>
  <c r="AC3445" i="8" s="1"/>
  <c r="AA3446" i="8"/>
  <c r="AC3446" i="8" s="1"/>
  <c r="AA3447" i="8"/>
  <c r="AC3447" i="8" s="1"/>
  <c r="AA3448" i="8"/>
  <c r="AC3448" i="8" s="1"/>
  <c r="AA3449" i="8"/>
  <c r="AC3449" i="8" s="1"/>
  <c r="AA3450" i="8"/>
  <c r="AC3450" i="8" s="1"/>
  <c r="AA3451" i="8"/>
  <c r="AC3451" i="8" s="1"/>
  <c r="AA3452" i="8"/>
  <c r="AC3452" i="8" s="1"/>
  <c r="AA3453" i="8"/>
  <c r="AC3453" i="8" s="1"/>
  <c r="AA3454" i="8"/>
  <c r="AC3454" i="8" s="1"/>
  <c r="AA3455" i="8"/>
  <c r="AC3455" i="8" s="1"/>
  <c r="AA3456" i="8"/>
  <c r="AC3456" i="8" s="1"/>
  <c r="AA3457" i="8"/>
  <c r="AC3457" i="8" s="1"/>
  <c r="AA3458" i="8"/>
  <c r="AC3458" i="8" s="1"/>
  <c r="AA3459" i="8"/>
  <c r="AC3459" i="8" s="1"/>
  <c r="AA3460" i="8"/>
  <c r="AC3460" i="8" s="1"/>
  <c r="AA3461" i="8"/>
  <c r="AC3461" i="8" s="1"/>
  <c r="AA3462" i="8"/>
  <c r="AC3462" i="8" s="1"/>
  <c r="AA3463" i="8"/>
  <c r="AC3463" i="8" s="1"/>
  <c r="AA3464" i="8"/>
  <c r="AC3464" i="8" s="1"/>
  <c r="AA3465" i="8"/>
  <c r="AC3465" i="8" s="1"/>
  <c r="AA3466" i="8"/>
  <c r="AC3466" i="8" s="1"/>
  <c r="AA3467" i="8"/>
  <c r="AC3467" i="8" s="1"/>
  <c r="AA3468" i="8"/>
  <c r="AC3468" i="8" s="1"/>
  <c r="AA3469" i="8"/>
  <c r="AC3469" i="8" s="1"/>
  <c r="AA3470" i="8"/>
  <c r="AC3470" i="8" s="1"/>
  <c r="AA3471" i="8"/>
  <c r="AC3471" i="8" s="1"/>
  <c r="AA3472" i="8"/>
  <c r="AC3472" i="8" s="1"/>
  <c r="AA3473" i="8"/>
  <c r="AC3473" i="8" s="1"/>
  <c r="AA3474" i="8"/>
  <c r="AC3474" i="8" s="1"/>
  <c r="AA3475" i="8"/>
  <c r="AC3475" i="8" s="1"/>
  <c r="AA3476" i="8"/>
  <c r="AC3476" i="8" s="1"/>
  <c r="AA3477" i="8"/>
  <c r="AC3477" i="8" s="1"/>
  <c r="AA3478" i="8"/>
  <c r="AC3478" i="8" s="1"/>
  <c r="AA3479" i="8"/>
  <c r="AC3479" i="8" s="1"/>
  <c r="AA3480" i="8"/>
  <c r="AC3480" i="8" s="1"/>
  <c r="AA3481" i="8"/>
  <c r="AC3481" i="8" s="1"/>
  <c r="AA3482" i="8"/>
  <c r="AC3482" i="8" s="1"/>
  <c r="AA3483" i="8"/>
  <c r="AC3483" i="8" s="1"/>
  <c r="AA3484" i="8"/>
  <c r="AC3484" i="8" s="1"/>
  <c r="AA3485" i="8"/>
  <c r="AC3485" i="8" s="1"/>
  <c r="AA3486" i="8"/>
  <c r="AC3486" i="8" s="1"/>
  <c r="AA3487" i="8"/>
  <c r="AC3487" i="8" s="1"/>
  <c r="AA3488" i="8"/>
  <c r="AC3488" i="8" s="1"/>
  <c r="AA3489" i="8"/>
  <c r="AC3489" i="8" s="1"/>
  <c r="AA3490" i="8"/>
  <c r="AC3490" i="8" s="1"/>
  <c r="AA3491" i="8"/>
  <c r="AC3491" i="8" s="1"/>
  <c r="AA3492" i="8"/>
  <c r="AC3492" i="8" s="1"/>
  <c r="AA3493" i="8"/>
  <c r="AC3493" i="8" s="1"/>
  <c r="AA3494" i="8"/>
  <c r="AC3494" i="8" s="1"/>
  <c r="AA3495" i="8"/>
  <c r="AC3495" i="8" s="1"/>
  <c r="AA3496" i="8"/>
  <c r="AC3496" i="8" s="1"/>
  <c r="AA3497" i="8"/>
  <c r="AC3497" i="8" s="1"/>
  <c r="AA3498" i="8"/>
  <c r="AC3498" i="8" s="1"/>
  <c r="AA3499" i="8"/>
  <c r="AC3499" i="8" s="1"/>
  <c r="AA3500" i="8"/>
  <c r="AC3500" i="8" s="1"/>
  <c r="AA3501" i="8"/>
  <c r="AC3501" i="8" s="1"/>
  <c r="AA3502" i="8"/>
  <c r="AC3502" i="8" s="1"/>
  <c r="AA3503" i="8"/>
  <c r="AC3503" i="8" s="1"/>
  <c r="AA3504" i="8"/>
  <c r="AC3504" i="8" s="1"/>
  <c r="AA3505" i="8"/>
  <c r="AC3505" i="8" s="1"/>
  <c r="AA3506" i="8"/>
  <c r="AC3506" i="8" s="1"/>
  <c r="AA3507" i="8"/>
  <c r="AC3507" i="8" s="1"/>
  <c r="AA3508" i="8"/>
  <c r="AC3508" i="8" s="1"/>
  <c r="AA3509" i="8"/>
  <c r="AC3509" i="8" s="1"/>
  <c r="AA3510" i="8"/>
  <c r="AC3510" i="8" s="1"/>
  <c r="AA3511" i="8"/>
  <c r="AC3511" i="8" s="1"/>
  <c r="AA3512" i="8"/>
  <c r="AC3512" i="8" s="1"/>
  <c r="AA3513" i="8"/>
  <c r="AC3513" i="8" s="1"/>
  <c r="AA3514" i="8"/>
  <c r="AC3514" i="8" s="1"/>
  <c r="AA3515" i="8"/>
  <c r="AC3515" i="8" s="1"/>
  <c r="AA3516" i="8"/>
  <c r="AC3516" i="8" s="1"/>
  <c r="AA3517" i="8"/>
  <c r="AC3517" i="8" s="1"/>
  <c r="AA3518" i="8"/>
  <c r="AC3518" i="8" s="1"/>
  <c r="AA3519" i="8"/>
  <c r="AC3519" i="8" s="1"/>
  <c r="AA3520" i="8"/>
  <c r="AC3520" i="8" s="1"/>
  <c r="AA3521" i="8"/>
  <c r="AC3521" i="8" s="1"/>
  <c r="AA3522" i="8"/>
  <c r="AC3522" i="8" s="1"/>
  <c r="AA3523" i="8"/>
  <c r="AC3523" i="8" s="1"/>
  <c r="AA3524" i="8"/>
  <c r="AC3524" i="8" s="1"/>
  <c r="AA3525" i="8"/>
  <c r="AC3525" i="8" s="1"/>
  <c r="AA3526" i="8"/>
  <c r="AC3526" i="8" s="1"/>
  <c r="AA3527" i="8"/>
  <c r="AC3527" i="8" s="1"/>
  <c r="AA3528" i="8"/>
  <c r="AC3528" i="8" s="1"/>
  <c r="AA3529" i="8"/>
  <c r="AC3529" i="8" s="1"/>
  <c r="AA3530" i="8"/>
  <c r="AC3530" i="8" s="1"/>
  <c r="AA3531" i="8"/>
  <c r="AC3531" i="8" s="1"/>
  <c r="AA3532" i="8"/>
  <c r="AC3532" i="8" s="1"/>
  <c r="AA3533" i="8"/>
  <c r="AC3533" i="8" s="1"/>
  <c r="AA3534" i="8"/>
  <c r="AC3534" i="8" s="1"/>
  <c r="AA3535" i="8"/>
  <c r="AC3535" i="8" s="1"/>
  <c r="AA3536" i="8"/>
  <c r="AC3536" i="8" s="1"/>
  <c r="AA3537" i="8"/>
  <c r="AC3537" i="8" s="1"/>
  <c r="AA3538" i="8"/>
  <c r="AC3538" i="8" s="1"/>
  <c r="AA3539" i="8"/>
  <c r="AC3539" i="8" s="1"/>
  <c r="AA3540" i="8"/>
  <c r="AC3540" i="8" s="1"/>
  <c r="AA3541" i="8"/>
  <c r="AC3541" i="8" s="1"/>
  <c r="AA3542" i="8"/>
  <c r="AC3542" i="8" s="1"/>
  <c r="AA3543" i="8"/>
  <c r="AC3543" i="8" s="1"/>
  <c r="AA3544" i="8"/>
  <c r="AC3544" i="8" s="1"/>
  <c r="AA3545" i="8"/>
  <c r="AC3545" i="8" s="1"/>
  <c r="AA3546" i="8"/>
  <c r="AC3546" i="8" s="1"/>
  <c r="AA3547" i="8"/>
  <c r="AC3547" i="8" s="1"/>
  <c r="AA3548" i="8"/>
  <c r="AC3548" i="8" s="1"/>
  <c r="AA3549" i="8"/>
  <c r="AC3549" i="8" s="1"/>
  <c r="AA3550" i="8"/>
  <c r="AC3550" i="8" s="1"/>
  <c r="AA3551" i="8"/>
  <c r="AC3551" i="8" s="1"/>
  <c r="AA3552" i="8"/>
  <c r="AC3552" i="8" s="1"/>
  <c r="AA3553" i="8"/>
  <c r="AC3553" i="8" s="1"/>
  <c r="AA3554" i="8"/>
  <c r="AC3554" i="8" s="1"/>
  <c r="AA3555" i="8"/>
  <c r="AC3555" i="8" s="1"/>
  <c r="AA3556" i="8"/>
  <c r="AC3556" i="8" s="1"/>
  <c r="AA3557" i="8"/>
  <c r="AC3557" i="8" s="1"/>
  <c r="AA3558" i="8"/>
  <c r="AC3558" i="8" s="1"/>
  <c r="AA3559" i="8"/>
  <c r="AC3559" i="8" s="1"/>
  <c r="AA3560" i="8"/>
  <c r="AC3560" i="8" s="1"/>
  <c r="AA3561" i="8"/>
  <c r="AC3561" i="8" s="1"/>
  <c r="AA3562" i="8"/>
  <c r="AC3562" i="8" s="1"/>
  <c r="AA3563" i="8"/>
  <c r="AC3563" i="8" s="1"/>
  <c r="AA3564" i="8"/>
  <c r="AC3564" i="8" s="1"/>
  <c r="AA3565" i="8"/>
  <c r="AC3565" i="8" s="1"/>
  <c r="AA3566" i="8"/>
  <c r="AC3566" i="8" s="1"/>
  <c r="AA3567" i="8"/>
  <c r="AC3567" i="8" s="1"/>
  <c r="AA3568" i="8"/>
  <c r="AC3568" i="8" s="1"/>
  <c r="AA3569" i="8"/>
  <c r="AC3569" i="8" s="1"/>
  <c r="AA3570" i="8"/>
  <c r="AC3570" i="8" s="1"/>
  <c r="AA3571" i="8"/>
  <c r="AC3571" i="8" s="1"/>
  <c r="AA3572" i="8"/>
  <c r="AC3572" i="8" s="1"/>
  <c r="AA3573" i="8"/>
  <c r="AC3573" i="8" s="1"/>
  <c r="AA3574" i="8"/>
  <c r="AC3574" i="8" s="1"/>
  <c r="AA3575" i="8"/>
  <c r="AC3575" i="8" s="1"/>
  <c r="AA3576" i="8"/>
  <c r="AC3576" i="8" s="1"/>
  <c r="AA3577" i="8"/>
  <c r="AC3577" i="8" s="1"/>
  <c r="AA3578" i="8"/>
  <c r="AC3578" i="8" s="1"/>
  <c r="AA3579" i="8"/>
  <c r="AC3579" i="8" s="1"/>
  <c r="AA3580" i="8"/>
  <c r="AC3580" i="8" s="1"/>
  <c r="AA3581" i="8"/>
  <c r="AC3581" i="8" s="1"/>
  <c r="AA3582" i="8"/>
  <c r="AC3582" i="8" s="1"/>
  <c r="AA3583" i="8"/>
  <c r="AC3583" i="8" s="1"/>
  <c r="AA3584" i="8"/>
  <c r="AC3584" i="8" s="1"/>
  <c r="AA3585" i="8"/>
  <c r="AC3585" i="8" s="1"/>
  <c r="AA3586" i="8"/>
  <c r="AC3586" i="8" s="1"/>
  <c r="AA3587" i="8"/>
  <c r="AC3587" i="8" s="1"/>
  <c r="AA3588" i="8"/>
  <c r="AC3588" i="8" s="1"/>
  <c r="AA3589" i="8"/>
  <c r="AC3589" i="8" s="1"/>
  <c r="AA3590" i="8"/>
  <c r="AC3590" i="8" s="1"/>
  <c r="AA3591" i="8"/>
  <c r="AC3591" i="8" s="1"/>
  <c r="AA3592" i="8"/>
  <c r="AC3592" i="8" s="1"/>
  <c r="AA3593" i="8"/>
  <c r="AC3593" i="8" s="1"/>
  <c r="AA3594" i="8"/>
  <c r="AC3594" i="8" s="1"/>
  <c r="AA3595" i="8"/>
  <c r="AC3595" i="8" s="1"/>
  <c r="AA3596" i="8"/>
  <c r="AC3596" i="8" s="1"/>
  <c r="AA3597" i="8"/>
  <c r="AC3597" i="8" s="1"/>
  <c r="AA3598" i="8"/>
  <c r="AC3598" i="8" s="1"/>
  <c r="AA3599" i="8"/>
  <c r="AC3599" i="8" s="1"/>
  <c r="AA3600" i="8"/>
  <c r="AC3600" i="8" s="1"/>
  <c r="AA3601" i="8"/>
  <c r="AC3601" i="8" s="1"/>
  <c r="AA3602" i="8"/>
  <c r="AC3602" i="8" s="1"/>
  <c r="AA3603" i="8"/>
  <c r="AC3603" i="8" s="1"/>
  <c r="AA3604" i="8"/>
  <c r="AC3604" i="8" s="1"/>
  <c r="AA3605" i="8"/>
  <c r="AC3605" i="8" s="1"/>
  <c r="AA3606" i="8"/>
  <c r="AC3606" i="8" s="1"/>
  <c r="AA3607" i="8"/>
  <c r="AC3607" i="8" s="1"/>
  <c r="AA3608" i="8"/>
  <c r="AC3608" i="8" s="1"/>
  <c r="AA3609" i="8"/>
  <c r="AC3609" i="8" s="1"/>
  <c r="AA3610" i="8"/>
  <c r="AC3610" i="8" s="1"/>
  <c r="AA3611" i="8"/>
  <c r="AC3611" i="8" s="1"/>
  <c r="AA3612" i="8"/>
  <c r="AC3612" i="8" s="1"/>
  <c r="AA3613" i="8"/>
  <c r="AC3613" i="8" s="1"/>
  <c r="AA3614" i="8"/>
  <c r="AC3614" i="8" s="1"/>
  <c r="AA3615" i="8"/>
  <c r="AC3615" i="8" s="1"/>
  <c r="AA3616" i="8"/>
  <c r="AC3616" i="8" s="1"/>
  <c r="AA3617" i="8"/>
  <c r="AC3617" i="8" s="1"/>
  <c r="AA3618" i="8"/>
  <c r="AC3618" i="8" s="1"/>
  <c r="AA3619" i="8"/>
  <c r="AC3619" i="8" s="1"/>
  <c r="AA3620" i="8"/>
  <c r="AC3620" i="8" s="1"/>
  <c r="AA3621" i="8"/>
  <c r="AC3621" i="8" s="1"/>
  <c r="AA3622" i="8"/>
  <c r="AC3622" i="8" s="1"/>
  <c r="AA3623" i="8"/>
  <c r="AC3623" i="8" s="1"/>
  <c r="AA3624" i="8"/>
  <c r="AC3624" i="8" s="1"/>
  <c r="AA3625" i="8"/>
  <c r="AC3625" i="8" s="1"/>
  <c r="AA3626" i="8"/>
  <c r="AC3626" i="8" s="1"/>
  <c r="AA3627" i="8"/>
  <c r="AC3627" i="8" s="1"/>
  <c r="AA3628" i="8"/>
  <c r="AC3628" i="8" s="1"/>
  <c r="AA3629" i="8"/>
  <c r="AC3629" i="8" s="1"/>
  <c r="AA3630" i="8"/>
  <c r="AC3630" i="8" s="1"/>
  <c r="AA3631" i="8"/>
  <c r="AC3631" i="8" s="1"/>
  <c r="AA3632" i="8"/>
  <c r="AC3632" i="8" s="1"/>
  <c r="AA3633" i="8"/>
  <c r="AC3633" i="8" s="1"/>
  <c r="AA3634" i="8"/>
  <c r="AC3634" i="8" s="1"/>
  <c r="AA3635" i="8"/>
  <c r="AC3635" i="8" s="1"/>
  <c r="AA3636" i="8"/>
  <c r="AC3636" i="8" s="1"/>
  <c r="AA3637" i="8"/>
  <c r="AC3637" i="8" s="1"/>
  <c r="AA3638" i="8"/>
  <c r="AC3638" i="8" s="1"/>
  <c r="AA3639" i="8"/>
  <c r="AC3639" i="8" s="1"/>
  <c r="AA3640" i="8"/>
  <c r="AC3640" i="8" s="1"/>
  <c r="AA3641" i="8"/>
  <c r="AC3641" i="8" s="1"/>
  <c r="AA3642" i="8"/>
  <c r="AC3642" i="8" s="1"/>
  <c r="AA3643" i="8"/>
  <c r="AC3643" i="8" s="1"/>
  <c r="AA3644" i="8"/>
  <c r="AC3644" i="8" s="1"/>
  <c r="AA3645" i="8"/>
  <c r="AC3645" i="8" s="1"/>
  <c r="AA3646" i="8"/>
  <c r="AC3646" i="8" s="1"/>
  <c r="AA3647" i="8"/>
  <c r="AC3647" i="8" s="1"/>
  <c r="AA3648" i="8"/>
  <c r="AC3648" i="8" s="1"/>
  <c r="AA3649" i="8"/>
  <c r="AC3649" i="8" s="1"/>
  <c r="AA3650" i="8"/>
  <c r="AC3650" i="8" s="1"/>
  <c r="AA3651" i="8"/>
  <c r="AC3651" i="8" s="1"/>
  <c r="AA3652" i="8"/>
  <c r="AC3652" i="8" s="1"/>
  <c r="AA3653" i="8"/>
  <c r="AC3653" i="8" s="1"/>
  <c r="AA3654" i="8"/>
  <c r="AC3654" i="8" s="1"/>
  <c r="AA3655" i="8"/>
  <c r="AC3655" i="8" s="1"/>
  <c r="AA3656" i="8"/>
  <c r="AC3656" i="8" s="1"/>
  <c r="AA3657" i="8"/>
  <c r="AC3657" i="8" s="1"/>
  <c r="AA3658" i="8"/>
  <c r="AC3658" i="8" s="1"/>
  <c r="AA3659" i="8"/>
  <c r="AC3659" i="8" s="1"/>
  <c r="AA3660" i="8"/>
  <c r="AC3660" i="8" s="1"/>
  <c r="AA3661" i="8"/>
  <c r="AC3661" i="8" s="1"/>
  <c r="AA3662" i="8"/>
  <c r="AC3662" i="8" s="1"/>
  <c r="AA3663" i="8"/>
  <c r="AC3663" i="8" s="1"/>
  <c r="AA3664" i="8"/>
  <c r="AC3664" i="8" s="1"/>
  <c r="AA3665" i="8"/>
  <c r="AC3665" i="8" s="1"/>
  <c r="AA3666" i="8"/>
  <c r="AC3666" i="8" s="1"/>
  <c r="AA3667" i="8"/>
  <c r="AC3667" i="8" s="1"/>
  <c r="AA3668" i="8"/>
  <c r="AC3668" i="8" s="1"/>
  <c r="AA3669" i="8"/>
  <c r="AC3669" i="8" s="1"/>
  <c r="AA3670" i="8"/>
  <c r="AC3670" i="8" s="1"/>
  <c r="AA3671" i="8"/>
  <c r="AC3671" i="8" s="1"/>
  <c r="AA3672" i="8"/>
  <c r="AC3672" i="8" s="1"/>
  <c r="AA3673" i="8"/>
  <c r="AC3673" i="8" s="1"/>
  <c r="AA3674" i="8"/>
  <c r="AC3674" i="8" s="1"/>
  <c r="AA3675" i="8"/>
  <c r="AC3675" i="8" s="1"/>
  <c r="AA3676" i="8"/>
  <c r="AC3676" i="8" s="1"/>
  <c r="AA3677" i="8"/>
  <c r="AC3677" i="8" s="1"/>
  <c r="AA3678" i="8"/>
  <c r="AC3678" i="8" s="1"/>
  <c r="AA3679" i="8"/>
  <c r="AC3679" i="8" s="1"/>
  <c r="AA3680" i="8"/>
  <c r="AC3680" i="8" s="1"/>
  <c r="AA3681" i="8"/>
  <c r="AC3681" i="8" s="1"/>
  <c r="AA3682" i="8"/>
  <c r="AC3682" i="8" s="1"/>
  <c r="AA3683" i="8"/>
  <c r="AC3683" i="8" s="1"/>
  <c r="AA3684" i="8"/>
  <c r="AC3684" i="8" s="1"/>
  <c r="AA3685" i="8"/>
  <c r="AC3685" i="8" s="1"/>
  <c r="AA3686" i="8"/>
  <c r="AC3686" i="8" s="1"/>
  <c r="AA3687" i="8"/>
  <c r="AC3687" i="8" s="1"/>
  <c r="AA3688" i="8"/>
  <c r="AC3688" i="8" s="1"/>
  <c r="AA3689" i="8"/>
  <c r="AC3689" i="8" s="1"/>
  <c r="AA3690" i="8"/>
  <c r="AC3690" i="8" s="1"/>
  <c r="AA3691" i="8"/>
  <c r="AC3691" i="8" s="1"/>
  <c r="AA3692" i="8"/>
  <c r="AC3692" i="8" s="1"/>
  <c r="AA3693" i="8"/>
  <c r="AC3693" i="8" s="1"/>
  <c r="AA3694" i="8"/>
  <c r="AC3694" i="8" s="1"/>
  <c r="AA3695" i="8"/>
  <c r="AC3695" i="8" s="1"/>
  <c r="AA3696" i="8"/>
  <c r="AC3696" i="8" s="1"/>
  <c r="AA3697" i="8"/>
  <c r="AC3697" i="8" s="1"/>
  <c r="AA3698" i="8"/>
  <c r="AC3698" i="8" s="1"/>
  <c r="AA3699" i="8"/>
  <c r="AC3699" i="8" s="1"/>
  <c r="AA3700" i="8"/>
  <c r="AC3700" i="8" s="1"/>
  <c r="AA3701" i="8"/>
  <c r="AC3701" i="8" s="1"/>
  <c r="AA3702" i="8"/>
  <c r="AC3702" i="8" s="1"/>
  <c r="AA3703" i="8"/>
  <c r="AC3703" i="8" s="1"/>
  <c r="AA3704" i="8"/>
  <c r="AC3704" i="8" s="1"/>
  <c r="AA3705" i="8"/>
  <c r="AC3705" i="8" s="1"/>
  <c r="AA3706" i="8"/>
  <c r="AC3706" i="8" s="1"/>
  <c r="AA3707" i="8"/>
  <c r="AC3707" i="8" s="1"/>
  <c r="AA3708" i="8"/>
  <c r="AC3708" i="8" s="1"/>
  <c r="AA3709" i="8"/>
  <c r="AC3709" i="8" s="1"/>
  <c r="AA3710" i="8"/>
  <c r="AC3710" i="8" s="1"/>
  <c r="AA3711" i="8"/>
  <c r="AC3711" i="8" s="1"/>
  <c r="AA3712" i="8"/>
  <c r="AC3712" i="8" s="1"/>
  <c r="AA3713" i="8"/>
  <c r="AC3713" i="8" s="1"/>
  <c r="AA3714" i="8"/>
  <c r="AC3714" i="8" s="1"/>
  <c r="AA3715" i="8"/>
  <c r="AC3715" i="8" s="1"/>
  <c r="AA3716" i="8"/>
  <c r="AC3716" i="8" s="1"/>
  <c r="AA3717" i="8"/>
  <c r="AC3717" i="8" s="1"/>
  <c r="AA3718" i="8"/>
  <c r="AC3718" i="8" s="1"/>
  <c r="AA3719" i="8"/>
  <c r="AC3719" i="8" s="1"/>
  <c r="AA3720" i="8"/>
  <c r="AC3720" i="8" s="1"/>
  <c r="AA3721" i="8"/>
  <c r="AC3721" i="8" s="1"/>
  <c r="AA3722" i="8"/>
  <c r="AC3722" i="8" s="1"/>
  <c r="AA3723" i="8"/>
  <c r="AC3723" i="8" s="1"/>
  <c r="AA3724" i="8"/>
  <c r="AC3724" i="8" s="1"/>
  <c r="AA3725" i="8"/>
  <c r="AC3725" i="8" s="1"/>
  <c r="AA3726" i="8"/>
  <c r="AC3726" i="8" s="1"/>
  <c r="AA3727" i="8"/>
  <c r="AC3727" i="8" s="1"/>
  <c r="AA3728" i="8"/>
  <c r="AC3728" i="8" s="1"/>
  <c r="AA3729" i="8"/>
  <c r="AC3729" i="8" s="1"/>
  <c r="AA3730" i="8"/>
  <c r="AC3730" i="8" s="1"/>
  <c r="AA3731" i="8"/>
  <c r="AC3731" i="8" s="1"/>
  <c r="AA3732" i="8"/>
  <c r="AC3732" i="8" s="1"/>
  <c r="AA3733" i="8"/>
  <c r="AC3733" i="8" s="1"/>
  <c r="AA3734" i="8"/>
  <c r="AC3734" i="8" s="1"/>
  <c r="AA3735" i="8"/>
  <c r="AC3735" i="8" s="1"/>
  <c r="AA3736" i="8"/>
  <c r="AC3736" i="8" s="1"/>
  <c r="AA3737" i="8"/>
  <c r="AC3737" i="8" s="1"/>
  <c r="AA3738" i="8"/>
  <c r="AC3738" i="8" s="1"/>
  <c r="AA3739" i="8"/>
  <c r="AC3739" i="8" s="1"/>
  <c r="AA3740" i="8"/>
  <c r="AC3740" i="8" s="1"/>
  <c r="AA3741" i="8"/>
  <c r="AC3741" i="8" s="1"/>
  <c r="AA3742" i="8"/>
  <c r="AC3742" i="8" s="1"/>
  <c r="AA3743" i="8"/>
  <c r="AC3743" i="8" s="1"/>
  <c r="AA3744" i="8"/>
  <c r="AC3744" i="8" s="1"/>
  <c r="AA3745" i="8"/>
  <c r="AC3745" i="8" s="1"/>
  <c r="AA3746" i="8"/>
  <c r="AC3746" i="8" s="1"/>
  <c r="AA3747" i="8"/>
  <c r="AC3747" i="8" s="1"/>
  <c r="AA3748" i="8"/>
  <c r="AC3748" i="8" s="1"/>
  <c r="AA3749" i="8"/>
  <c r="AC3749" i="8" s="1"/>
  <c r="AA3750" i="8"/>
  <c r="AC3750" i="8" s="1"/>
  <c r="AA3751" i="8"/>
  <c r="AC3751" i="8" s="1"/>
  <c r="AA3752" i="8"/>
  <c r="AC3752" i="8" s="1"/>
  <c r="AA3753" i="8"/>
  <c r="AC3753" i="8" s="1"/>
  <c r="AA3754" i="8"/>
  <c r="AC3754" i="8" s="1"/>
  <c r="AA3755" i="8"/>
  <c r="AC3755" i="8" s="1"/>
  <c r="AA3756" i="8"/>
  <c r="AC3756" i="8" s="1"/>
  <c r="AA3757" i="8"/>
  <c r="AC3757" i="8" s="1"/>
  <c r="AA3758" i="8"/>
  <c r="AC3758" i="8" s="1"/>
  <c r="AA3759" i="8"/>
  <c r="AC3759" i="8" s="1"/>
  <c r="AA3760" i="8"/>
  <c r="AC3760" i="8" s="1"/>
  <c r="AA3761" i="8"/>
  <c r="AC3761" i="8" s="1"/>
  <c r="AA3762" i="8"/>
  <c r="AC3762" i="8" s="1"/>
  <c r="AA3763" i="8"/>
  <c r="AC3763" i="8" s="1"/>
  <c r="AA3764" i="8"/>
  <c r="AC3764" i="8" s="1"/>
  <c r="AA3765" i="8"/>
  <c r="AC3765" i="8" s="1"/>
  <c r="AA3766" i="8"/>
  <c r="AC3766" i="8" s="1"/>
  <c r="AA3767" i="8"/>
  <c r="AC3767" i="8" s="1"/>
  <c r="AA3768" i="8"/>
  <c r="AC3768" i="8" s="1"/>
  <c r="AA3769" i="8"/>
  <c r="AC3769" i="8" s="1"/>
  <c r="AA3770" i="8"/>
  <c r="AC3770" i="8" s="1"/>
  <c r="AA3771" i="8"/>
  <c r="AC3771" i="8" s="1"/>
  <c r="AA3772" i="8"/>
  <c r="AC3772" i="8" s="1"/>
  <c r="AA3773" i="8"/>
  <c r="AC3773" i="8" s="1"/>
  <c r="AA3774" i="8"/>
  <c r="AC3774" i="8" s="1"/>
  <c r="AA3775" i="8"/>
  <c r="AC3775" i="8" s="1"/>
  <c r="AA3776" i="8"/>
  <c r="AC3776" i="8" s="1"/>
  <c r="AA3777" i="8"/>
  <c r="AC3777" i="8" s="1"/>
  <c r="AA3778" i="8"/>
  <c r="AC3778" i="8" s="1"/>
  <c r="AA3779" i="8"/>
  <c r="AC3779" i="8" s="1"/>
  <c r="AA3780" i="8"/>
  <c r="AC3780" i="8" s="1"/>
  <c r="AA3781" i="8"/>
  <c r="AC3781" i="8" s="1"/>
  <c r="AA3782" i="8"/>
  <c r="AC3782" i="8" s="1"/>
  <c r="AA3783" i="8"/>
  <c r="AC3783" i="8" s="1"/>
  <c r="AA3784" i="8"/>
  <c r="AC3784" i="8" s="1"/>
  <c r="AA3785" i="8"/>
  <c r="AC3785" i="8" s="1"/>
  <c r="AA3786" i="8"/>
  <c r="AC3786" i="8" s="1"/>
  <c r="AA3787" i="8"/>
  <c r="AC3787" i="8" s="1"/>
  <c r="AA3788" i="8"/>
  <c r="AC3788" i="8" s="1"/>
  <c r="AA3789" i="8"/>
  <c r="AC3789" i="8" s="1"/>
  <c r="AA3790" i="8"/>
  <c r="AC3790" i="8" s="1"/>
  <c r="AA3791" i="8"/>
  <c r="AC3791" i="8" s="1"/>
  <c r="AA3792" i="8"/>
  <c r="AC3792" i="8" s="1"/>
  <c r="AA3793" i="8"/>
  <c r="AC3793" i="8" s="1"/>
  <c r="AA3794" i="8"/>
  <c r="AC3794" i="8" s="1"/>
  <c r="AA3795" i="8"/>
  <c r="AC3795" i="8" s="1"/>
  <c r="AA3796" i="8"/>
  <c r="AC3796" i="8" s="1"/>
  <c r="AA3797" i="8"/>
  <c r="AC3797" i="8" s="1"/>
  <c r="AA3798" i="8"/>
  <c r="AC3798" i="8" s="1"/>
  <c r="AA3799" i="8"/>
  <c r="AC3799" i="8" s="1"/>
  <c r="AA3800" i="8"/>
  <c r="AC3800" i="8" s="1"/>
  <c r="AA3801" i="8"/>
  <c r="AC3801" i="8" s="1"/>
  <c r="AA3802" i="8"/>
  <c r="AC3802" i="8" s="1"/>
  <c r="AA3803" i="8"/>
  <c r="AC3803" i="8" s="1"/>
  <c r="AA3804" i="8"/>
  <c r="AC3804" i="8" s="1"/>
  <c r="AA3805" i="8"/>
  <c r="AC3805" i="8" s="1"/>
  <c r="AA3806" i="8"/>
  <c r="AC3806" i="8" s="1"/>
  <c r="AA3807" i="8"/>
  <c r="AC3807" i="8" s="1"/>
  <c r="AA3808" i="8"/>
  <c r="AC3808" i="8" s="1"/>
  <c r="AA3809" i="8"/>
  <c r="AC3809" i="8" s="1"/>
  <c r="AA3810" i="8"/>
  <c r="AC3810" i="8" s="1"/>
  <c r="AA3811" i="8"/>
  <c r="AC3811" i="8" s="1"/>
  <c r="AA3812" i="8"/>
  <c r="AC3812" i="8" s="1"/>
  <c r="AA3813" i="8"/>
  <c r="AC3813" i="8" s="1"/>
  <c r="AA3814" i="8"/>
  <c r="AC3814" i="8" s="1"/>
  <c r="AA3815" i="8"/>
  <c r="AC3815" i="8" s="1"/>
  <c r="AA3816" i="8"/>
  <c r="AC3816" i="8" s="1"/>
  <c r="AA3817" i="8"/>
  <c r="AC3817" i="8" s="1"/>
  <c r="AA3818" i="8"/>
  <c r="AC3818" i="8" s="1"/>
  <c r="AA3819" i="8"/>
  <c r="AC3819" i="8" s="1"/>
  <c r="AA3820" i="8"/>
  <c r="AC3820" i="8" s="1"/>
  <c r="AA3821" i="8"/>
  <c r="AC3821" i="8" s="1"/>
  <c r="AA3822" i="8"/>
  <c r="AC3822" i="8" s="1"/>
  <c r="AA3823" i="8"/>
  <c r="AC3823" i="8" s="1"/>
  <c r="AA3824" i="8"/>
  <c r="AC3824" i="8" s="1"/>
  <c r="AA3825" i="8"/>
  <c r="AC3825" i="8" s="1"/>
  <c r="AA3826" i="8"/>
  <c r="AC3826" i="8" s="1"/>
  <c r="AA3827" i="8"/>
  <c r="AC3827" i="8" s="1"/>
  <c r="AA3828" i="8"/>
  <c r="AC3828" i="8" s="1"/>
  <c r="AA3829" i="8"/>
  <c r="AC3829" i="8" s="1"/>
  <c r="AA3830" i="8"/>
  <c r="AC3830" i="8" s="1"/>
  <c r="AA3831" i="8"/>
  <c r="AC3831" i="8" s="1"/>
  <c r="AA3832" i="8"/>
  <c r="AC3832" i="8" s="1"/>
  <c r="AA3833" i="8"/>
  <c r="AC3833" i="8" s="1"/>
  <c r="AA3834" i="8"/>
  <c r="AC3834" i="8" s="1"/>
  <c r="AA3835" i="8"/>
  <c r="AC3835" i="8" s="1"/>
  <c r="AA3836" i="8"/>
  <c r="AC3836" i="8" s="1"/>
  <c r="AA3837" i="8"/>
  <c r="AC3837" i="8" s="1"/>
  <c r="AA3838" i="8"/>
  <c r="AC3838" i="8" s="1"/>
  <c r="AA3839" i="8"/>
  <c r="AC3839" i="8" s="1"/>
  <c r="AA3840" i="8"/>
  <c r="AC3840" i="8" s="1"/>
  <c r="AA3841" i="8"/>
  <c r="AC3841" i="8" s="1"/>
  <c r="AA3842" i="8"/>
  <c r="AC3842" i="8" s="1"/>
  <c r="AA3843" i="8"/>
  <c r="AC3843" i="8" s="1"/>
  <c r="AA3844" i="8"/>
  <c r="AC3844" i="8" s="1"/>
  <c r="AA3845" i="8"/>
  <c r="AC3845" i="8" s="1"/>
  <c r="AA3846" i="8"/>
  <c r="AC3846" i="8" s="1"/>
  <c r="AA3847" i="8"/>
  <c r="AC3847" i="8" s="1"/>
  <c r="AA3848" i="8"/>
  <c r="AC3848" i="8" s="1"/>
  <c r="AA3849" i="8"/>
  <c r="AC3849" i="8" s="1"/>
  <c r="AA3850" i="8"/>
  <c r="AC3850" i="8" s="1"/>
  <c r="AA3851" i="8"/>
  <c r="AC3851" i="8" s="1"/>
  <c r="AA3852" i="8"/>
  <c r="AC3852" i="8" s="1"/>
  <c r="AA3853" i="8"/>
  <c r="AC3853" i="8" s="1"/>
  <c r="AA3854" i="8"/>
  <c r="AC3854" i="8" s="1"/>
  <c r="AA3855" i="8"/>
  <c r="AC3855" i="8" s="1"/>
  <c r="AA3856" i="8"/>
  <c r="AC3856" i="8" s="1"/>
  <c r="AA3857" i="8"/>
  <c r="AC3857" i="8" s="1"/>
  <c r="AA3858" i="8"/>
  <c r="AC3858" i="8" s="1"/>
  <c r="AA3859" i="8"/>
  <c r="AC3859" i="8" s="1"/>
  <c r="AA3860" i="8"/>
  <c r="AC3860" i="8" s="1"/>
  <c r="AA3861" i="8"/>
  <c r="AC3861" i="8" s="1"/>
  <c r="AA3862" i="8"/>
  <c r="AC3862" i="8" s="1"/>
  <c r="AA3863" i="8"/>
  <c r="AC3863" i="8" s="1"/>
  <c r="AA3864" i="8"/>
  <c r="AC3864" i="8" s="1"/>
  <c r="AA3865" i="8"/>
  <c r="AC3865" i="8" s="1"/>
  <c r="AA3866" i="8"/>
  <c r="AC3866" i="8" s="1"/>
  <c r="AA3867" i="8"/>
  <c r="AC3867" i="8" s="1"/>
  <c r="AA3868" i="8"/>
  <c r="AC3868" i="8" s="1"/>
  <c r="AA3869" i="8"/>
  <c r="AC3869" i="8" s="1"/>
  <c r="AA3870" i="8"/>
  <c r="AC3870" i="8" s="1"/>
  <c r="AA3871" i="8"/>
  <c r="AC3871" i="8" s="1"/>
  <c r="AA3872" i="8"/>
  <c r="AC3872" i="8" s="1"/>
  <c r="AA3873" i="8"/>
  <c r="AC3873" i="8" s="1"/>
  <c r="AA3874" i="8"/>
  <c r="AC3874" i="8" s="1"/>
  <c r="AA3875" i="8"/>
  <c r="AC3875" i="8" s="1"/>
  <c r="AA3876" i="8"/>
  <c r="AC3876" i="8" s="1"/>
  <c r="AA3877" i="8"/>
  <c r="AC3877" i="8" s="1"/>
  <c r="AA3878" i="8"/>
  <c r="AC3878" i="8" s="1"/>
  <c r="AA3879" i="8"/>
  <c r="AC3879" i="8" s="1"/>
  <c r="AA3880" i="8"/>
  <c r="AC3880" i="8" s="1"/>
  <c r="AA3881" i="8"/>
  <c r="AC3881" i="8" s="1"/>
  <c r="AA3882" i="8"/>
  <c r="AC3882" i="8" s="1"/>
  <c r="AA3883" i="8"/>
  <c r="AC3883" i="8" s="1"/>
  <c r="AA3884" i="8"/>
  <c r="AC3884" i="8" s="1"/>
  <c r="AA3885" i="8"/>
  <c r="AC3885" i="8" s="1"/>
  <c r="AA3886" i="8"/>
  <c r="AC3886" i="8" s="1"/>
  <c r="AA3887" i="8"/>
  <c r="AC3887" i="8" s="1"/>
  <c r="AA3888" i="8"/>
  <c r="AC3888" i="8" s="1"/>
  <c r="AA3889" i="8"/>
  <c r="AC3889" i="8" s="1"/>
  <c r="AA3890" i="8"/>
  <c r="AC3890" i="8" s="1"/>
  <c r="AA3891" i="8"/>
  <c r="AC3891" i="8" s="1"/>
  <c r="AA3892" i="8"/>
  <c r="AC3892" i="8" s="1"/>
  <c r="AA3893" i="8"/>
  <c r="AC3893" i="8" s="1"/>
  <c r="AA3894" i="8"/>
  <c r="AC3894" i="8" s="1"/>
  <c r="AA3895" i="8"/>
  <c r="AC3895" i="8" s="1"/>
  <c r="AA3896" i="8"/>
  <c r="AC3896" i="8" s="1"/>
  <c r="AA3897" i="8"/>
  <c r="AC3897" i="8" s="1"/>
  <c r="AA3898" i="8"/>
  <c r="AC3898" i="8" s="1"/>
  <c r="AA3899" i="8"/>
  <c r="AC3899" i="8" s="1"/>
  <c r="AA3900" i="8"/>
  <c r="AC3900" i="8" s="1"/>
  <c r="AA3901" i="8"/>
  <c r="AC3901" i="8" s="1"/>
  <c r="AA3902" i="8"/>
  <c r="AC3902" i="8" s="1"/>
  <c r="AA3903" i="8"/>
  <c r="AC3903" i="8" s="1"/>
  <c r="AA3904" i="8"/>
  <c r="AC3904" i="8" s="1"/>
  <c r="AA3905" i="8"/>
  <c r="AC3905" i="8" s="1"/>
  <c r="AA3906" i="8"/>
  <c r="AC3906" i="8" s="1"/>
  <c r="AA3907" i="8"/>
  <c r="AC3907" i="8" s="1"/>
  <c r="AA3908" i="8"/>
  <c r="AC3908" i="8" s="1"/>
  <c r="AA3909" i="8"/>
  <c r="AC3909" i="8" s="1"/>
  <c r="AA3910" i="8"/>
  <c r="AC3910" i="8" s="1"/>
  <c r="AA3911" i="8"/>
  <c r="AC3911" i="8" s="1"/>
  <c r="AA3912" i="8"/>
  <c r="AC3912" i="8" s="1"/>
  <c r="AA3913" i="8"/>
  <c r="AC3913" i="8" s="1"/>
  <c r="AA3914" i="8"/>
  <c r="AC3914" i="8" s="1"/>
  <c r="AA3915" i="8"/>
  <c r="AC3915" i="8" s="1"/>
  <c r="AA3916" i="8"/>
  <c r="AC3916" i="8" s="1"/>
  <c r="AA3917" i="8"/>
  <c r="AC3917" i="8" s="1"/>
  <c r="AA3918" i="8"/>
  <c r="AC3918" i="8" s="1"/>
  <c r="AA3919" i="8"/>
  <c r="AC3919" i="8" s="1"/>
  <c r="AA3920" i="8"/>
  <c r="AC3920" i="8" s="1"/>
  <c r="AA3921" i="8"/>
  <c r="AC3921" i="8" s="1"/>
  <c r="AA3922" i="8"/>
  <c r="AC3922" i="8" s="1"/>
  <c r="AA3923" i="8"/>
  <c r="AC3923" i="8" s="1"/>
  <c r="AA3924" i="8"/>
  <c r="AC3924" i="8" s="1"/>
  <c r="AA3925" i="8"/>
  <c r="AC3925" i="8" s="1"/>
  <c r="AA3926" i="8"/>
  <c r="AC3926" i="8" s="1"/>
  <c r="AA3927" i="8"/>
  <c r="AC3927" i="8" s="1"/>
  <c r="AA3928" i="8"/>
  <c r="AC3928" i="8" s="1"/>
  <c r="AA3929" i="8"/>
  <c r="AC3929" i="8" s="1"/>
  <c r="AA3930" i="8"/>
  <c r="AC3930" i="8" s="1"/>
  <c r="AA3931" i="8"/>
  <c r="AC3931" i="8" s="1"/>
  <c r="AA3932" i="8"/>
  <c r="AC3932" i="8" s="1"/>
  <c r="AA3933" i="8"/>
  <c r="AC3933" i="8" s="1"/>
  <c r="AA3934" i="8"/>
  <c r="AC3934" i="8" s="1"/>
  <c r="AA3935" i="8"/>
  <c r="AC3935" i="8" s="1"/>
  <c r="AA3936" i="8"/>
  <c r="AC3936" i="8" s="1"/>
  <c r="AA3937" i="8"/>
  <c r="AC3937" i="8" s="1"/>
  <c r="AA3938" i="8"/>
  <c r="AC3938" i="8" s="1"/>
  <c r="AA3939" i="8"/>
  <c r="AC3939" i="8" s="1"/>
  <c r="AA3940" i="8"/>
  <c r="AC3940" i="8" s="1"/>
  <c r="AA3941" i="8"/>
  <c r="AC3941" i="8" s="1"/>
  <c r="AA3942" i="8"/>
  <c r="AC3942" i="8" s="1"/>
  <c r="AA3943" i="8"/>
  <c r="AC3943" i="8" s="1"/>
  <c r="AA3944" i="8"/>
  <c r="AC3944" i="8" s="1"/>
  <c r="AA3945" i="8"/>
  <c r="AC3945" i="8" s="1"/>
  <c r="AA3946" i="8"/>
  <c r="AC3946" i="8" s="1"/>
  <c r="AA3947" i="8"/>
  <c r="AC3947" i="8" s="1"/>
  <c r="AA3948" i="8"/>
  <c r="AC3948" i="8" s="1"/>
  <c r="AA3949" i="8"/>
  <c r="AC3949" i="8" s="1"/>
  <c r="AA3950" i="8"/>
  <c r="AC3950" i="8" s="1"/>
  <c r="AA3951" i="8"/>
  <c r="AC3951" i="8" s="1"/>
  <c r="AA3952" i="8"/>
  <c r="AC3952" i="8" s="1"/>
  <c r="AA3953" i="8"/>
  <c r="AC3953" i="8" s="1"/>
  <c r="AA3954" i="8"/>
  <c r="AC3954" i="8" s="1"/>
  <c r="AA3955" i="8"/>
  <c r="AC3955" i="8" s="1"/>
  <c r="AA3956" i="8"/>
  <c r="AC3956" i="8" s="1"/>
  <c r="AA3957" i="8"/>
  <c r="AC3957" i="8" s="1"/>
  <c r="AA3958" i="8"/>
  <c r="AC3958" i="8" s="1"/>
  <c r="AA3959" i="8"/>
  <c r="AC3959" i="8" s="1"/>
  <c r="AA3960" i="8"/>
  <c r="AC3960" i="8" s="1"/>
  <c r="AA3961" i="8"/>
  <c r="AC3961" i="8" s="1"/>
  <c r="AA3962" i="8"/>
  <c r="AC3962" i="8" s="1"/>
  <c r="AA3963" i="8"/>
  <c r="AC3963" i="8" s="1"/>
  <c r="AA3964" i="8"/>
  <c r="AC3964" i="8" s="1"/>
  <c r="AA3965" i="8"/>
  <c r="AC3965" i="8" s="1"/>
  <c r="AA3966" i="8"/>
  <c r="AC3966" i="8" s="1"/>
  <c r="AA3967" i="8"/>
  <c r="AC3967" i="8" s="1"/>
  <c r="AA3968" i="8"/>
  <c r="AC3968" i="8" s="1"/>
  <c r="AA3969" i="8"/>
  <c r="AC3969" i="8" s="1"/>
  <c r="AA3970" i="8"/>
  <c r="AC3970" i="8" s="1"/>
  <c r="AA3971" i="8"/>
  <c r="AC3971" i="8" s="1"/>
  <c r="AA3972" i="8"/>
  <c r="AC3972" i="8" s="1"/>
  <c r="AA3973" i="8"/>
  <c r="AC3973" i="8" s="1"/>
  <c r="AA3974" i="8"/>
  <c r="AC3974" i="8" s="1"/>
  <c r="AA3975" i="8"/>
  <c r="AC3975" i="8" s="1"/>
  <c r="AA3976" i="8"/>
  <c r="AC3976" i="8" s="1"/>
  <c r="AA3977" i="8"/>
  <c r="AC3977" i="8" s="1"/>
  <c r="AA3978" i="8"/>
  <c r="AC3978" i="8" s="1"/>
  <c r="AA3979" i="8"/>
  <c r="AC3979" i="8" s="1"/>
  <c r="AA3980" i="8"/>
  <c r="AC3980" i="8" s="1"/>
  <c r="AA3981" i="8"/>
  <c r="AC3981" i="8" s="1"/>
  <c r="AA3982" i="8"/>
  <c r="AC3982" i="8" s="1"/>
  <c r="AA3983" i="8"/>
  <c r="AC3983" i="8" s="1"/>
  <c r="AA3984" i="8"/>
  <c r="AC3984" i="8" s="1"/>
  <c r="AA3985" i="8"/>
  <c r="AC3985" i="8" s="1"/>
  <c r="AA3986" i="8"/>
  <c r="AC3986" i="8" s="1"/>
  <c r="AA3987" i="8"/>
  <c r="AC3987" i="8" s="1"/>
  <c r="AA3988" i="8"/>
  <c r="AC3988" i="8" s="1"/>
  <c r="AA3989" i="8"/>
  <c r="AC3989" i="8" s="1"/>
  <c r="AA3990" i="8"/>
  <c r="AC3990" i="8" s="1"/>
  <c r="AA3991" i="8"/>
  <c r="AC3991" i="8" s="1"/>
  <c r="AA3992" i="8"/>
  <c r="AC3992" i="8" s="1"/>
  <c r="AA3993" i="8"/>
  <c r="AC3993" i="8" s="1"/>
  <c r="AA3994" i="8"/>
  <c r="AC3994" i="8" s="1"/>
  <c r="AA3995" i="8"/>
  <c r="AC3995" i="8" s="1"/>
  <c r="AA3996" i="8"/>
  <c r="AC3996" i="8" s="1"/>
  <c r="AA3997" i="8"/>
  <c r="AC3997" i="8" s="1"/>
  <c r="AA3998" i="8"/>
  <c r="AC3998" i="8" s="1"/>
  <c r="AA3999" i="8"/>
  <c r="AC3999" i="8" s="1"/>
  <c r="AA4000" i="8"/>
  <c r="AC4000" i="8" s="1"/>
  <c r="AA4001" i="8"/>
  <c r="AC4001" i="8" s="1"/>
  <c r="AA4002" i="8"/>
  <c r="AC4002" i="8" s="1"/>
  <c r="AA4003" i="8"/>
  <c r="AC4003" i="8" s="1"/>
  <c r="AA4004" i="8"/>
  <c r="AC4004" i="8" s="1"/>
  <c r="AA4005" i="8"/>
  <c r="AC4005" i="8" s="1"/>
  <c r="AA4006" i="8"/>
  <c r="AC4006" i="8" s="1"/>
  <c r="AA4007" i="8"/>
  <c r="AC4007" i="8" s="1"/>
  <c r="AA4008" i="8"/>
  <c r="AC4008" i="8" s="1"/>
  <c r="AA4009" i="8"/>
  <c r="AC4009" i="8" s="1"/>
  <c r="AA4010" i="8"/>
  <c r="AC4010" i="8" s="1"/>
  <c r="AA4011" i="8"/>
  <c r="AC4011" i="8" s="1"/>
  <c r="AA4012" i="8"/>
  <c r="AC4012" i="8" s="1"/>
  <c r="AA4013" i="8"/>
  <c r="AC4013" i="8" s="1"/>
  <c r="AA4014" i="8"/>
  <c r="AC4014" i="8" s="1"/>
  <c r="AA4015" i="8"/>
  <c r="AC4015" i="8" s="1"/>
  <c r="AA4016" i="8"/>
  <c r="AC4016" i="8" s="1"/>
  <c r="AA4017" i="8"/>
  <c r="AC4017" i="8" s="1"/>
  <c r="AA4018" i="8"/>
  <c r="AC4018" i="8" s="1"/>
  <c r="AA4019" i="8"/>
  <c r="AC4019" i="8" s="1"/>
  <c r="AA4020" i="8"/>
  <c r="AC4020" i="8" s="1"/>
  <c r="AA4021" i="8"/>
  <c r="AC4021" i="8" s="1"/>
  <c r="AA4022" i="8"/>
  <c r="AC4022" i="8" s="1"/>
  <c r="AA4023" i="8"/>
  <c r="AC4023" i="8" s="1"/>
  <c r="AA4024" i="8"/>
  <c r="AC4024" i="8" s="1"/>
  <c r="AA4025" i="8"/>
  <c r="AC4025" i="8" s="1"/>
  <c r="AA4026" i="8"/>
  <c r="AC4026" i="8" s="1"/>
  <c r="AA4027" i="8"/>
  <c r="AC4027" i="8" s="1"/>
  <c r="AA4028" i="8"/>
  <c r="AC4028" i="8" s="1"/>
  <c r="AA4029" i="8"/>
  <c r="AC4029" i="8" s="1"/>
  <c r="AA4030" i="8"/>
  <c r="AC4030" i="8" s="1"/>
  <c r="AA4031" i="8"/>
  <c r="AC4031" i="8" s="1"/>
  <c r="AA4032" i="8"/>
  <c r="AC4032" i="8" s="1"/>
  <c r="AA4033" i="8"/>
  <c r="AC4033" i="8" s="1"/>
  <c r="AA4034" i="8"/>
  <c r="AC4034" i="8" s="1"/>
  <c r="AA4035" i="8"/>
  <c r="AC4035" i="8" s="1"/>
  <c r="AA4036" i="8"/>
  <c r="AC4036" i="8" s="1"/>
  <c r="AA4037" i="8"/>
  <c r="AC4037" i="8" s="1"/>
  <c r="AA4038" i="8"/>
  <c r="AC4038" i="8" s="1"/>
  <c r="AA4039" i="8"/>
  <c r="AC4039" i="8" s="1"/>
  <c r="AA4040" i="8"/>
  <c r="AC4040" i="8" s="1"/>
  <c r="AA4041" i="8"/>
  <c r="AC4041" i="8" s="1"/>
  <c r="AA4042" i="8"/>
  <c r="AC4042" i="8" s="1"/>
  <c r="AA4043" i="8"/>
  <c r="AC4043" i="8" s="1"/>
  <c r="AA4044" i="8"/>
  <c r="AC4044" i="8" s="1"/>
  <c r="AA4045" i="8"/>
  <c r="AC4045" i="8" s="1"/>
  <c r="AA4046" i="8"/>
  <c r="AC4046" i="8" s="1"/>
  <c r="AA4047" i="8"/>
  <c r="AC4047" i="8" s="1"/>
  <c r="AA4048" i="8"/>
  <c r="AC4048" i="8" s="1"/>
  <c r="AA4049" i="8"/>
  <c r="AC4049" i="8" s="1"/>
  <c r="AA4050" i="8"/>
  <c r="AC4050" i="8" s="1"/>
  <c r="AA4051" i="8"/>
  <c r="AC4051" i="8" s="1"/>
  <c r="AA4052" i="8"/>
  <c r="AC4052" i="8" s="1"/>
  <c r="AA4053" i="8"/>
  <c r="AC4053" i="8" s="1"/>
  <c r="AA4054" i="8"/>
  <c r="AC4054" i="8" s="1"/>
  <c r="AA4055" i="8"/>
  <c r="AC4055" i="8" s="1"/>
  <c r="AA4056" i="8"/>
  <c r="AC4056" i="8" s="1"/>
  <c r="AA4057" i="8"/>
  <c r="AC4057" i="8" s="1"/>
  <c r="AA4058" i="8"/>
  <c r="AC4058" i="8" s="1"/>
  <c r="AA4059" i="8"/>
  <c r="AC4059" i="8" s="1"/>
  <c r="AA4060" i="8"/>
  <c r="AC4060" i="8" s="1"/>
  <c r="AA4061" i="8"/>
  <c r="AC4061" i="8" s="1"/>
  <c r="AA4062" i="8"/>
  <c r="AC4062" i="8" s="1"/>
  <c r="AA4063" i="8"/>
  <c r="AC4063" i="8" s="1"/>
  <c r="AA4064" i="8"/>
  <c r="AC4064" i="8" s="1"/>
  <c r="AA4065" i="8"/>
  <c r="AC4065" i="8" s="1"/>
  <c r="AA4066" i="8"/>
  <c r="AC4066" i="8" s="1"/>
  <c r="AA4067" i="8"/>
  <c r="AC4067" i="8" s="1"/>
  <c r="AA4068" i="8"/>
  <c r="AC4068" i="8" s="1"/>
  <c r="AA4069" i="8"/>
  <c r="AC4069" i="8" s="1"/>
  <c r="AA4070" i="8"/>
  <c r="AC4070" i="8" s="1"/>
  <c r="AA4071" i="8"/>
  <c r="AC4071" i="8" s="1"/>
  <c r="AA4072" i="8"/>
  <c r="AC4072" i="8" s="1"/>
  <c r="AA4073" i="8"/>
  <c r="AC4073" i="8" s="1"/>
  <c r="AA4074" i="8"/>
  <c r="AC4074" i="8" s="1"/>
  <c r="AA4075" i="8"/>
  <c r="AC4075" i="8" s="1"/>
  <c r="AA4076" i="8"/>
  <c r="AC4076" i="8" s="1"/>
  <c r="AA4077" i="8"/>
  <c r="AC4077" i="8" s="1"/>
  <c r="AA4078" i="8"/>
  <c r="AC4078" i="8" s="1"/>
  <c r="AA4079" i="8"/>
  <c r="AC4079" i="8" s="1"/>
  <c r="AA4080" i="8"/>
  <c r="AC4080" i="8" s="1"/>
  <c r="AA4081" i="8"/>
  <c r="AC4081" i="8" s="1"/>
  <c r="AA4082" i="8"/>
  <c r="AC4082" i="8" s="1"/>
  <c r="AA4083" i="8"/>
  <c r="AC4083" i="8" s="1"/>
  <c r="AA4084" i="8"/>
  <c r="AC4084" i="8" s="1"/>
  <c r="AA4085" i="8"/>
  <c r="AC4085" i="8" s="1"/>
  <c r="AA4086" i="8"/>
  <c r="AC4086" i="8" s="1"/>
  <c r="AA4087" i="8"/>
  <c r="AC4087" i="8" s="1"/>
  <c r="AA4088" i="8"/>
  <c r="AC4088" i="8" s="1"/>
  <c r="AA4089" i="8"/>
  <c r="AC4089" i="8" s="1"/>
  <c r="AA4090" i="8"/>
  <c r="AC4090" i="8" s="1"/>
  <c r="AA4091" i="8"/>
  <c r="AC4091" i="8" s="1"/>
  <c r="AA4092" i="8"/>
  <c r="AC4092" i="8" s="1"/>
  <c r="AA4093" i="8"/>
  <c r="AC4093" i="8" s="1"/>
  <c r="AA4094" i="8"/>
  <c r="AC4094" i="8" s="1"/>
  <c r="AA4095" i="8"/>
  <c r="AC4095" i="8" s="1"/>
  <c r="AA4096" i="8"/>
  <c r="AC4096" i="8" s="1"/>
  <c r="AA4097" i="8"/>
  <c r="AC4097" i="8" s="1"/>
  <c r="AA4098" i="8"/>
  <c r="AC4098" i="8" s="1"/>
  <c r="AA4099" i="8"/>
  <c r="AC4099" i="8" s="1"/>
  <c r="AA4100" i="8"/>
  <c r="AC4100" i="8" s="1"/>
  <c r="AA4101" i="8"/>
  <c r="AC4101" i="8" s="1"/>
  <c r="AA4102" i="8"/>
  <c r="AC4102" i="8" s="1"/>
  <c r="AA4103" i="8"/>
  <c r="AC4103" i="8" s="1"/>
  <c r="AA4104" i="8"/>
  <c r="AC4104" i="8" s="1"/>
  <c r="AA4105" i="8"/>
  <c r="AC4105" i="8" s="1"/>
  <c r="AA4106" i="8"/>
  <c r="AC4106" i="8" s="1"/>
  <c r="AA4107" i="8"/>
  <c r="AC4107" i="8" s="1"/>
  <c r="AA4108" i="8"/>
  <c r="AC4108" i="8" s="1"/>
  <c r="AA4109" i="8"/>
  <c r="AC4109" i="8" s="1"/>
  <c r="AA4110" i="8"/>
  <c r="AC4110" i="8" s="1"/>
  <c r="AA4111" i="8"/>
  <c r="AC4111" i="8" s="1"/>
  <c r="AA4112" i="8"/>
  <c r="AC4112" i="8" s="1"/>
  <c r="AA4113" i="8"/>
  <c r="AC4113" i="8" s="1"/>
  <c r="AA4114" i="8"/>
  <c r="AC4114" i="8" s="1"/>
  <c r="AA4115" i="8"/>
  <c r="AC4115" i="8" s="1"/>
  <c r="AA4116" i="8"/>
  <c r="AC4116" i="8" s="1"/>
  <c r="AA4117" i="8"/>
  <c r="AC4117" i="8" s="1"/>
  <c r="AA4118" i="8"/>
  <c r="AC4118" i="8" s="1"/>
  <c r="AA4119" i="8"/>
  <c r="AC4119" i="8" s="1"/>
  <c r="AA4120" i="8"/>
  <c r="AC4120" i="8" s="1"/>
  <c r="AA4121" i="8"/>
  <c r="AC4121" i="8" s="1"/>
  <c r="AA4122" i="8"/>
  <c r="AC4122" i="8" s="1"/>
  <c r="AA4123" i="8"/>
  <c r="AC4123" i="8" s="1"/>
  <c r="AA4124" i="8"/>
  <c r="AC4124" i="8" s="1"/>
  <c r="AA4125" i="8"/>
  <c r="AC4125" i="8" s="1"/>
  <c r="AA4126" i="8"/>
  <c r="AC4126" i="8" s="1"/>
  <c r="AA4127" i="8"/>
  <c r="AC4127" i="8" s="1"/>
  <c r="AA4128" i="8"/>
  <c r="AC4128" i="8" s="1"/>
  <c r="AA4129" i="8"/>
  <c r="AC4129" i="8" s="1"/>
  <c r="AA4130" i="8"/>
  <c r="AC4130" i="8" s="1"/>
  <c r="AA4131" i="8"/>
  <c r="AC4131" i="8" s="1"/>
  <c r="AA4132" i="8"/>
  <c r="AC4132" i="8" s="1"/>
  <c r="AA4133" i="8"/>
  <c r="AC4133" i="8" s="1"/>
  <c r="AA4134" i="8"/>
  <c r="AC4134" i="8" s="1"/>
  <c r="AA4135" i="8"/>
  <c r="AC4135" i="8" s="1"/>
  <c r="AA4136" i="8"/>
  <c r="AC4136" i="8" s="1"/>
  <c r="AA4137" i="8"/>
  <c r="AC4137" i="8" s="1"/>
  <c r="AA4138" i="8"/>
  <c r="AC4138" i="8" s="1"/>
  <c r="AA4139" i="8"/>
  <c r="AC4139" i="8" s="1"/>
  <c r="AA4140" i="8"/>
  <c r="AC4140" i="8" s="1"/>
  <c r="AA4141" i="8"/>
  <c r="AC4141" i="8" s="1"/>
  <c r="AA4142" i="8"/>
  <c r="AC4142" i="8" s="1"/>
  <c r="AA4143" i="8"/>
  <c r="AC4143" i="8" s="1"/>
  <c r="AA4144" i="8"/>
  <c r="AC4144" i="8" s="1"/>
  <c r="AA4145" i="8"/>
  <c r="AC4145" i="8" s="1"/>
  <c r="AA4146" i="8"/>
  <c r="AC4146" i="8" s="1"/>
  <c r="AA4147" i="8"/>
  <c r="AC4147" i="8" s="1"/>
  <c r="AA4148" i="8"/>
  <c r="AC4148" i="8" s="1"/>
  <c r="AA4149" i="8"/>
  <c r="AC4149" i="8" s="1"/>
  <c r="AA4150" i="8"/>
  <c r="AC4150" i="8" s="1"/>
  <c r="AA4151" i="8"/>
  <c r="AC4151" i="8" s="1"/>
  <c r="AA4152" i="8"/>
  <c r="AC4152" i="8" s="1"/>
  <c r="AA4153" i="8"/>
  <c r="AC4153" i="8" s="1"/>
  <c r="AA4154" i="8"/>
  <c r="AC4154" i="8" s="1"/>
  <c r="AA4155" i="8"/>
  <c r="AC4155" i="8" s="1"/>
  <c r="AA4156" i="8"/>
  <c r="AC4156" i="8" s="1"/>
  <c r="AA4157" i="8"/>
  <c r="AC4157" i="8" s="1"/>
  <c r="AA4158" i="8"/>
  <c r="AC4158" i="8" s="1"/>
  <c r="AA4159" i="8"/>
  <c r="AC4159" i="8" s="1"/>
  <c r="AA4160" i="8"/>
  <c r="AC4160" i="8" s="1"/>
  <c r="AA4161" i="8"/>
  <c r="AC4161" i="8" s="1"/>
  <c r="AA4162" i="8"/>
  <c r="AC4162" i="8" s="1"/>
  <c r="AA4163" i="8"/>
  <c r="AC4163" i="8" s="1"/>
  <c r="AA4164" i="8"/>
  <c r="AC4164" i="8" s="1"/>
  <c r="AA4165" i="8"/>
  <c r="AC4165" i="8" s="1"/>
  <c r="AA4166" i="8"/>
  <c r="AC4166" i="8" s="1"/>
  <c r="AA4167" i="8"/>
  <c r="AC4167" i="8" s="1"/>
  <c r="AA4168" i="8"/>
  <c r="AC4168" i="8" s="1"/>
  <c r="AA4169" i="8"/>
  <c r="AC4169" i="8" s="1"/>
  <c r="AA4170" i="8"/>
  <c r="AC4170" i="8" s="1"/>
  <c r="AA4171" i="8"/>
  <c r="AC4171" i="8" s="1"/>
  <c r="AA4172" i="8"/>
  <c r="AC4172" i="8" s="1"/>
  <c r="AA4173" i="8"/>
  <c r="AC4173" i="8" s="1"/>
  <c r="AA4174" i="8"/>
  <c r="AC4174" i="8" s="1"/>
  <c r="AA4175" i="8"/>
  <c r="AC4175" i="8" s="1"/>
  <c r="AA4176" i="8"/>
  <c r="AC4176" i="8" s="1"/>
  <c r="AA4177" i="8"/>
  <c r="AC4177" i="8" s="1"/>
  <c r="AA4178" i="8"/>
  <c r="AC4178" i="8" s="1"/>
  <c r="AA4179" i="8"/>
  <c r="AC4179" i="8" s="1"/>
  <c r="AA4180" i="8"/>
  <c r="AC4180" i="8" s="1"/>
  <c r="AA4181" i="8"/>
  <c r="AC4181" i="8" s="1"/>
  <c r="AA4182" i="8"/>
  <c r="AC4182" i="8" s="1"/>
  <c r="AA4183" i="8"/>
  <c r="AC4183" i="8" s="1"/>
  <c r="AA4184" i="8"/>
  <c r="AC4184" i="8" s="1"/>
  <c r="AA4185" i="8"/>
  <c r="AC4185" i="8" s="1"/>
  <c r="AA4186" i="8"/>
  <c r="AC4186" i="8" s="1"/>
  <c r="AA4187" i="8"/>
  <c r="AC4187" i="8" s="1"/>
  <c r="AA4188" i="8"/>
  <c r="AC4188" i="8" s="1"/>
  <c r="AA4189" i="8"/>
  <c r="AC4189" i="8" s="1"/>
  <c r="AA4190" i="8"/>
  <c r="AC4190" i="8" s="1"/>
  <c r="AA4191" i="8"/>
  <c r="AC4191" i="8" s="1"/>
  <c r="AA4192" i="8"/>
  <c r="AC4192" i="8" s="1"/>
  <c r="AA4193" i="8"/>
  <c r="AC4193" i="8" s="1"/>
  <c r="AA4194" i="8"/>
  <c r="AC4194" i="8" s="1"/>
  <c r="AA4195" i="8"/>
  <c r="AC4195" i="8" s="1"/>
  <c r="AA4196" i="8"/>
  <c r="AC4196" i="8" s="1"/>
  <c r="AA4197" i="8"/>
  <c r="AC4197" i="8" s="1"/>
  <c r="AA4198" i="8"/>
  <c r="AC4198" i="8" s="1"/>
  <c r="AA4199" i="8"/>
  <c r="AC4199" i="8" s="1"/>
  <c r="AA4200" i="8"/>
  <c r="AC4200" i="8" s="1"/>
  <c r="AA4201" i="8"/>
  <c r="AC4201" i="8" s="1"/>
  <c r="AA4202" i="8"/>
  <c r="AC4202" i="8" s="1"/>
  <c r="AA4203" i="8"/>
  <c r="AC4203" i="8" s="1"/>
  <c r="AA4204" i="8"/>
  <c r="AC4204" i="8" s="1"/>
  <c r="AA4205" i="8"/>
  <c r="AC4205" i="8" s="1"/>
  <c r="AA4206" i="8"/>
  <c r="AC4206" i="8" s="1"/>
  <c r="AA4207" i="8"/>
  <c r="AC4207" i="8" s="1"/>
  <c r="AA4208" i="8"/>
  <c r="AC4208" i="8" s="1"/>
  <c r="AA4209" i="8"/>
  <c r="AC4209" i="8" s="1"/>
  <c r="AA4210" i="8"/>
  <c r="AC4210" i="8" s="1"/>
  <c r="AA4211" i="8"/>
  <c r="AC4211" i="8" s="1"/>
  <c r="AA4212" i="8"/>
  <c r="AC4212" i="8" s="1"/>
  <c r="AA4213" i="8"/>
  <c r="AC4213" i="8" s="1"/>
  <c r="AA4214" i="8"/>
  <c r="AC4214" i="8" s="1"/>
  <c r="AA4215" i="8"/>
  <c r="AC4215" i="8" s="1"/>
  <c r="AA4216" i="8"/>
  <c r="AC4216" i="8" s="1"/>
  <c r="AA4217" i="8"/>
  <c r="AC4217" i="8" s="1"/>
  <c r="AA4218" i="8"/>
  <c r="AC4218" i="8" s="1"/>
  <c r="AA4219" i="8"/>
  <c r="AC4219" i="8" s="1"/>
  <c r="AA4220" i="8"/>
  <c r="AC4220" i="8" s="1"/>
  <c r="AA4221" i="8"/>
  <c r="AC4221" i="8" s="1"/>
  <c r="AA4222" i="8"/>
  <c r="AC4222" i="8" s="1"/>
  <c r="AA4223" i="8"/>
  <c r="AC4223" i="8" s="1"/>
  <c r="AA4224" i="8"/>
  <c r="AC4224" i="8" s="1"/>
  <c r="AA4225" i="8"/>
  <c r="AC4225" i="8" s="1"/>
  <c r="AA4226" i="8"/>
  <c r="AC4226" i="8" s="1"/>
  <c r="AA4227" i="8"/>
  <c r="AC4227" i="8" s="1"/>
  <c r="AA4228" i="8"/>
  <c r="AC4228" i="8" s="1"/>
  <c r="AA4229" i="8"/>
  <c r="AC4229" i="8" s="1"/>
  <c r="AA4230" i="8"/>
  <c r="AC4230" i="8" s="1"/>
  <c r="AA4231" i="8"/>
  <c r="AC4231" i="8" s="1"/>
  <c r="AA4232" i="8"/>
  <c r="AC4232" i="8" s="1"/>
  <c r="AA4233" i="8"/>
  <c r="AC4233" i="8" s="1"/>
  <c r="AA4234" i="8"/>
  <c r="AC4234" i="8" s="1"/>
  <c r="AA4235" i="8"/>
  <c r="AC4235" i="8" s="1"/>
  <c r="AA4236" i="8"/>
  <c r="AC4236" i="8" s="1"/>
  <c r="AA4237" i="8"/>
  <c r="AC4237" i="8" s="1"/>
  <c r="AA4238" i="8"/>
  <c r="AC4238" i="8" s="1"/>
  <c r="AA4239" i="8"/>
  <c r="AC4239" i="8" s="1"/>
  <c r="AA4240" i="8"/>
  <c r="AC4240" i="8" s="1"/>
  <c r="AA4241" i="8"/>
  <c r="AC4241" i="8" s="1"/>
  <c r="AA4242" i="8"/>
  <c r="AC4242" i="8" s="1"/>
  <c r="AA4243" i="8"/>
  <c r="AC4243" i="8" s="1"/>
  <c r="AA4244" i="8"/>
  <c r="AC4244" i="8" s="1"/>
  <c r="AA4245" i="8"/>
  <c r="AC4245" i="8" s="1"/>
  <c r="AA4246" i="8"/>
  <c r="AC4246" i="8" s="1"/>
  <c r="AA4247" i="8"/>
  <c r="AC4247" i="8" s="1"/>
  <c r="AA4248" i="8"/>
  <c r="AC4248" i="8" s="1"/>
  <c r="AA4249" i="8"/>
  <c r="AC4249" i="8" s="1"/>
  <c r="AA4250" i="8"/>
  <c r="AC4250" i="8" s="1"/>
  <c r="AA4251" i="8"/>
  <c r="AC4251" i="8" s="1"/>
  <c r="AA4252" i="8"/>
  <c r="AC4252" i="8" s="1"/>
  <c r="AA4253" i="8"/>
  <c r="AC4253" i="8" s="1"/>
  <c r="AA4254" i="8"/>
  <c r="AC4254" i="8" s="1"/>
  <c r="AA4255" i="8"/>
  <c r="AC4255" i="8" s="1"/>
  <c r="AA4256" i="8"/>
  <c r="AC4256" i="8" s="1"/>
  <c r="AA4257" i="8"/>
  <c r="AC4257" i="8" s="1"/>
  <c r="AA4258" i="8"/>
  <c r="AC4258" i="8" s="1"/>
  <c r="AA4259" i="8"/>
  <c r="AC4259" i="8" s="1"/>
  <c r="AA4260" i="8"/>
  <c r="AC4260" i="8" s="1"/>
  <c r="AA4261" i="8"/>
  <c r="AC4261" i="8" s="1"/>
  <c r="AA4262" i="8"/>
  <c r="AC4262" i="8" s="1"/>
  <c r="AA4263" i="8"/>
  <c r="AC4263" i="8" s="1"/>
  <c r="AA4264" i="8"/>
  <c r="AC4264" i="8" s="1"/>
  <c r="AA4265" i="8"/>
  <c r="AC4265" i="8" s="1"/>
  <c r="AA4266" i="8"/>
  <c r="AC4266" i="8" s="1"/>
  <c r="AA4267" i="8"/>
  <c r="AC4267" i="8" s="1"/>
  <c r="AA4268" i="8"/>
  <c r="AC4268" i="8" s="1"/>
  <c r="AA4269" i="8"/>
  <c r="AC4269" i="8" s="1"/>
  <c r="AA4270" i="8"/>
  <c r="AC4270" i="8" s="1"/>
  <c r="AA4271" i="8"/>
  <c r="AC4271" i="8" s="1"/>
  <c r="AA4272" i="8"/>
  <c r="AC4272" i="8" s="1"/>
  <c r="AA4273" i="8"/>
  <c r="AC4273" i="8" s="1"/>
  <c r="AA4274" i="8"/>
  <c r="AC4274" i="8" s="1"/>
  <c r="AA4275" i="8"/>
  <c r="AC4275" i="8" s="1"/>
  <c r="AA4276" i="8"/>
  <c r="AC4276" i="8" s="1"/>
  <c r="AA4277" i="8"/>
  <c r="AC4277" i="8" s="1"/>
  <c r="AA4278" i="8"/>
  <c r="AC4278" i="8" s="1"/>
  <c r="AA4279" i="8"/>
  <c r="AC4279" i="8" s="1"/>
  <c r="AA4280" i="8"/>
  <c r="AC4280" i="8" s="1"/>
  <c r="AA4281" i="8"/>
  <c r="AC4281" i="8" s="1"/>
  <c r="AA4282" i="8"/>
  <c r="AC4282" i="8" s="1"/>
  <c r="AA4283" i="8"/>
  <c r="AC4283" i="8" s="1"/>
  <c r="AA4284" i="8"/>
  <c r="AC4284" i="8" s="1"/>
  <c r="AA4285" i="8"/>
  <c r="AC4285" i="8" s="1"/>
  <c r="AA4286" i="8"/>
  <c r="AC4286" i="8" s="1"/>
  <c r="AA4287" i="8"/>
  <c r="AC4287" i="8" s="1"/>
  <c r="AA4288" i="8"/>
  <c r="AC4288" i="8" s="1"/>
  <c r="AA4289" i="8"/>
  <c r="AC4289" i="8" s="1"/>
  <c r="AA4290" i="8"/>
  <c r="AC4290" i="8" s="1"/>
  <c r="AA4291" i="8"/>
  <c r="AC4291" i="8" s="1"/>
  <c r="AA4292" i="8"/>
  <c r="AC4292" i="8" s="1"/>
  <c r="AA4293" i="8"/>
  <c r="AC4293" i="8" s="1"/>
  <c r="AA4294" i="8"/>
  <c r="AC4294" i="8" s="1"/>
  <c r="AA4295" i="8"/>
  <c r="AC4295" i="8" s="1"/>
  <c r="AA4296" i="8"/>
  <c r="AC4296" i="8" s="1"/>
  <c r="AA4297" i="8"/>
  <c r="AC4297" i="8" s="1"/>
  <c r="AA4298" i="8"/>
  <c r="AC4298" i="8" s="1"/>
  <c r="AA4299" i="8"/>
  <c r="AC4299" i="8" s="1"/>
  <c r="AA4300" i="8"/>
  <c r="AC4300" i="8" s="1"/>
  <c r="AA4301" i="8"/>
  <c r="AC4301" i="8" s="1"/>
  <c r="AA4302" i="8"/>
  <c r="AC4302" i="8" s="1"/>
  <c r="AA4303" i="8"/>
  <c r="AC4303" i="8" s="1"/>
  <c r="AA4304" i="8"/>
  <c r="AC4304" i="8" s="1"/>
  <c r="AA4305" i="8"/>
  <c r="AC4305" i="8" s="1"/>
  <c r="AA4306" i="8"/>
  <c r="AC4306" i="8" s="1"/>
  <c r="AA4307" i="8"/>
  <c r="AC4307" i="8" s="1"/>
  <c r="AA4308" i="8"/>
  <c r="AC4308" i="8" s="1"/>
  <c r="AA4309" i="8"/>
  <c r="AC4309" i="8" s="1"/>
  <c r="AA4310" i="8"/>
  <c r="AC4310" i="8" s="1"/>
  <c r="AA4311" i="8"/>
  <c r="AC4311" i="8" s="1"/>
  <c r="AA4312" i="8"/>
  <c r="AC4312" i="8" s="1"/>
  <c r="AA4313" i="8"/>
  <c r="AC4313" i="8" s="1"/>
  <c r="AA4314" i="8"/>
  <c r="AC4314" i="8" s="1"/>
  <c r="AA4315" i="8"/>
  <c r="AC4315" i="8" s="1"/>
  <c r="AA4316" i="8"/>
  <c r="AC4316" i="8" s="1"/>
  <c r="AA4317" i="8"/>
  <c r="AC4317" i="8" s="1"/>
  <c r="AA4318" i="8"/>
  <c r="AC4318" i="8" s="1"/>
  <c r="AA4319" i="8"/>
  <c r="AC4319" i="8" s="1"/>
  <c r="AA4320" i="8"/>
  <c r="AC4320" i="8" s="1"/>
  <c r="AA4321" i="8"/>
  <c r="AC4321" i="8" s="1"/>
  <c r="AA4322" i="8"/>
  <c r="AC4322" i="8" s="1"/>
  <c r="AA4323" i="8"/>
  <c r="AC4323" i="8" s="1"/>
  <c r="AA4324" i="8"/>
  <c r="AC4324" i="8" s="1"/>
  <c r="AA4325" i="8"/>
  <c r="AC4325" i="8" s="1"/>
  <c r="AA4326" i="8"/>
  <c r="AC4326" i="8" s="1"/>
  <c r="AA4327" i="8"/>
  <c r="AC4327" i="8" s="1"/>
  <c r="AA4328" i="8"/>
  <c r="AC4328" i="8" s="1"/>
  <c r="AA4329" i="8"/>
  <c r="AC4329" i="8" s="1"/>
  <c r="AA4330" i="8"/>
  <c r="AC4330" i="8" s="1"/>
  <c r="AA4331" i="8"/>
  <c r="AC4331" i="8" s="1"/>
  <c r="AA4332" i="8"/>
  <c r="AC4332" i="8" s="1"/>
  <c r="AA4333" i="8"/>
  <c r="AC4333" i="8" s="1"/>
  <c r="AA4334" i="8"/>
  <c r="AC4334" i="8" s="1"/>
  <c r="AA4335" i="8"/>
  <c r="AC4335" i="8" s="1"/>
  <c r="AA4336" i="8"/>
  <c r="AC4336" i="8" s="1"/>
  <c r="AA4337" i="8"/>
  <c r="AC4337" i="8" s="1"/>
  <c r="AA4338" i="8"/>
  <c r="AC4338" i="8" s="1"/>
  <c r="AA4339" i="8"/>
  <c r="AC4339" i="8" s="1"/>
  <c r="AA4340" i="8"/>
  <c r="AC4340" i="8" s="1"/>
  <c r="AA4341" i="8"/>
  <c r="AC4341" i="8" s="1"/>
  <c r="AA4342" i="8"/>
  <c r="AC4342" i="8" s="1"/>
  <c r="AA4343" i="8"/>
  <c r="AC4343" i="8" s="1"/>
  <c r="AA4344" i="8"/>
  <c r="AC4344" i="8" s="1"/>
  <c r="AA4345" i="8"/>
  <c r="AC4345" i="8" s="1"/>
  <c r="AA4346" i="8"/>
  <c r="AC4346" i="8" s="1"/>
  <c r="AA4347" i="8"/>
  <c r="AC4347" i="8" s="1"/>
  <c r="AA4348" i="8"/>
  <c r="AC4348" i="8" s="1"/>
  <c r="AA4349" i="8"/>
  <c r="AC4349" i="8" s="1"/>
  <c r="AA4350" i="8"/>
  <c r="AC4350" i="8" s="1"/>
  <c r="AA4351" i="8"/>
  <c r="AC4351" i="8" s="1"/>
  <c r="AA4352" i="8"/>
  <c r="AC4352" i="8" s="1"/>
  <c r="AA4353" i="8"/>
  <c r="AC4353" i="8" s="1"/>
  <c r="AA4354" i="8"/>
  <c r="AC4354" i="8" s="1"/>
  <c r="AA4355" i="8"/>
  <c r="AC4355" i="8" s="1"/>
  <c r="AA4356" i="8"/>
  <c r="AC4356" i="8" s="1"/>
  <c r="AA4357" i="8"/>
  <c r="AC4357" i="8" s="1"/>
  <c r="AA4358" i="8"/>
  <c r="AC4358" i="8" s="1"/>
  <c r="AA4359" i="8"/>
  <c r="AC4359" i="8" s="1"/>
  <c r="AA4360" i="8"/>
  <c r="AC4360" i="8" s="1"/>
  <c r="AA4361" i="8"/>
  <c r="AC4361" i="8" s="1"/>
  <c r="AA4362" i="8"/>
  <c r="AC4362" i="8" s="1"/>
  <c r="AA4363" i="8"/>
  <c r="AC4363" i="8" s="1"/>
  <c r="AA4364" i="8"/>
  <c r="AC4364" i="8" s="1"/>
  <c r="AA4365" i="8"/>
  <c r="AC4365" i="8" s="1"/>
  <c r="AA4366" i="8"/>
  <c r="AC4366" i="8" s="1"/>
  <c r="AA4367" i="8"/>
  <c r="AC4367" i="8" s="1"/>
  <c r="AA4368" i="8"/>
  <c r="AC4368" i="8" s="1"/>
  <c r="AA4369" i="8"/>
  <c r="AC4369" i="8" s="1"/>
  <c r="AA4370" i="8"/>
  <c r="AC4370" i="8" s="1"/>
  <c r="AA4371" i="8"/>
  <c r="AC4371" i="8" s="1"/>
  <c r="AA4372" i="8"/>
  <c r="AC4372" i="8" s="1"/>
  <c r="AA4373" i="8"/>
  <c r="AC4373" i="8" s="1"/>
  <c r="AA4374" i="8"/>
  <c r="AC4374" i="8" s="1"/>
  <c r="AA4375" i="8"/>
  <c r="AC4375" i="8" s="1"/>
  <c r="AA4376" i="8"/>
  <c r="AC4376" i="8" s="1"/>
  <c r="AA4377" i="8"/>
  <c r="AC4377" i="8" s="1"/>
  <c r="AA4378" i="8"/>
  <c r="AC4378" i="8" s="1"/>
  <c r="AA4379" i="8"/>
  <c r="AC4379" i="8" s="1"/>
  <c r="AA4380" i="8"/>
  <c r="AC4380" i="8" s="1"/>
  <c r="AA4381" i="8"/>
  <c r="AC4381" i="8" s="1"/>
  <c r="AA4382" i="8"/>
  <c r="AC4382" i="8" s="1"/>
  <c r="AA4383" i="8"/>
  <c r="AC4383" i="8" s="1"/>
  <c r="AA4384" i="8"/>
  <c r="AC4384" i="8" s="1"/>
  <c r="AA4385" i="8"/>
  <c r="AC4385" i="8" s="1"/>
  <c r="AA4386" i="8"/>
  <c r="AC4386" i="8" s="1"/>
  <c r="AA4387" i="8"/>
  <c r="AC4387" i="8" s="1"/>
  <c r="AA4388" i="8"/>
  <c r="AC4388" i="8" s="1"/>
  <c r="AA4389" i="8"/>
  <c r="AC4389" i="8" s="1"/>
  <c r="AA4390" i="8"/>
  <c r="AC4390" i="8" s="1"/>
  <c r="AA4391" i="8"/>
  <c r="AC4391" i="8" s="1"/>
  <c r="AA4392" i="8"/>
  <c r="AC4392" i="8" s="1"/>
  <c r="AA4393" i="8"/>
  <c r="AC4393" i="8" s="1"/>
  <c r="AA4394" i="8"/>
  <c r="AC4394" i="8" s="1"/>
  <c r="AA4395" i="8"/>
  <c r="AC4395" i="8" s="1"/>
  <c r="AA4396" i="8"/>
  <c r="AC4396" i="8" s="1"/>
  <c r="AA4397" i="8"/>
  <c r="AC4397" i="8" s="1"/>
  <c r="AA4398" i="8"/>
  <c r="AC4398" i="8" s="1"/>
  <c r="AA4399" i="8"/>
  <c r="AC4399" i="8" s="1"/>
  <c r="AA4400" i="8"/>
  <c r="AC4400" i="8" s="1"/>
  <c r="AA4401" i="8"/>
  <c r="AC4401" i="8" s="1"/>
  <c r="AA4402" i="8"/>
  <c r="AC4402" i="8" s="1"/>
  <c r="AA4403" i="8"/>
  <c r="AC4403" i="8" s="1"/>
  <c r="AA4404" i="8"/>
  <c r="AC4404" i="8" s="1"/>
  <c r="AA4405" i="8"/>
  <c r="AC4405" i="8" s="1"/>
  <c r="AA4406" i="8"/>
  <c r="AC4406" i="8" s="1"/>
  <c r="AA4407" i="8"/>
  <c r="AC4407" i="8" s="1"/>
  <c r="AA4408" i="8"/>
  <c r="AC4408" i="8" s="1"/>
  <c r="AA4409" i="8"/>
  <c r="AC4409" i="8" s="1"/>
  <c r="AA4410" i="8"/>
  <c r="AC4410" i="8" s="1"/>
  <c r="AA4411" i="8"/>
  <c r="AC4411" i="8" s="1"/>
  <c r="AA4412" i="8"/>
  <c r="AC4412" i="8" s="1"/>
  <c r="AA4413" i="8"/>
  <c r="AC4413" i="8" s="1"/>
  <c r="AA4414" i="8"/>
  <c r="AC4414" i="8" s="1"/>
  <c r="AA4415" i="8"/>
  <c r="AC4415" i="8" s="1"/>
  <c r="AA4416" i="8"/>
  <c r="AC4416" i="8" s="1"/>
  <c r="AA4417" i="8"/>
  <c r="AC4417" i="8" s="1"/>
  <c r="AA4418" i="8"/>
  <c r="AC4418" i="8" s="1"/>
  <c r="AA4419" i="8"/>
  <c r="AC4419" i="8" s="1"/>
  <c r="AA4420" i="8"/>
  <c r="AC4420" i="8" s="1"/>
  <c r="AA4421" i="8"/>
  <c r="AC4421" i="8" s="1"/>
  <c r="AA4422" i="8"/>
  <c r="AC4422" i="8" s="1"/>
  <c r="AA4423" i="8"/>
  <c r="AC4423" i="8" s="1"/>
  <c r="AA4424" i="8"/>
  <c r="AC4424" i="8" s="1"/>
  <c r="AA4425" i="8"/>
  <c r="AC4425" i="8" s="1"/>
  <c r="AA4426" i="8"/>
  <c r="AC4426" i="8" s="1"/>
  <c r="AA4427" i="8"/>
  <c r="AC4427" i="8" s="1"/>
  <c r="AA4428" i="8"/>
  <c r="AC4428" i="8" s="1"/>
  <c r="AA4429" i="8"/>
  <c r="AC4429" i="8" s="1"/>
  <c r="AA4430" i="8"/>
  <c r="AC4430" i="8" s="1"/>
  <c r="AA4431" i="8"/>
  <c r="AC4431" i="8" s="1"/>
  <c r="AA4432" i="8"/>
  <c r="AC4432" i="8" s="1"/>
  <c r="AA4433" i="8"/>
  <c r="AC4433" i="8" s="1"/>
  <c r="AA4434" i="8"/>
  <c r="AC4434" i="8" s="1"/>
  <c r="AA4435" i="8"/>
  <c r="AC4435" i="8" s="1"/>
  <c r="AA4436" i="8"/>
  <c r="AC4436" i="8" s="1"/>
  <c r="AA4437" i="8"/>
  <c r="AC4437" i="8" s="1"/>
  <c r="AA4438" i="8"/>
  <c r="AC4438" i="8" s="1"/>
  <c r="AA4439" i="8"/>
  <c r="AC4439" i="8" s="1"/>
  <c r="AA4440" i="8"/>
  <c r="AC4440" i="8" s="1"/>
  <c r="AA4441" i="8"/>
  <c r="AC4441" i="8" s="1"/>
  <c r="AA4442" i="8"/>
  <c r="AC4442" i="8" s="1"/>
  <c r="AA4443" i="8"/>
  <c r="AC4443" i="8" s="1"/>
  <c r="AA4444" i="8"/>
  <c r="AC4444" i="8" s="1"/>
  <c r="AA4445" i="8"/>
  <c r="AC4445" i="8" s="1"/>
  <c r="AA4446" i="8"/>
  <c r="AC4446" i="8" s="1"/>
  <c r="AA4447" i="8"/>
  <c r="AC4447" i="8" s="1"/>
  <c r="AA4448" i="8"/>
  <c r="AC4448" i="8" s="1"/>
  <c r="AA4449" i="8"/>
  <c r="AC4449" i="8" s="1"/>
  <c r="AA4450" i="8"/>
  <c r="AC4450" i="8" s="1"/>
  <c r="AA4451" i="8"/>
  <c r="AC4451" i="8" s="1"/>
  <c r="AA4452" i="8"/>
  <c r="AC4452" i="8" s="1"/>
  <c r="AA4453" i="8"/>
  <c r="AC4453" i="8" s="1"/>
  <c r="AA4454" i="8"/>
  <c r="AC4454" i="8" s="1"/>
  <c r="AA4455" i="8"/>
  <c r="AC4455" i="8" s="1"/>
  <c r="AA4456" i="8"/>
  <c r="AC4456" i="8" s="1"/>
  <c r="AA4457" i="8"/>
  <c r="AC4457" i="8" s="1"/>
  <c r="AA4458" i="8"/>
  <c r="AC4458" i="8" s="1"/>
  <c r="AA4459" i="8"/>
  <c r="AC4459" i="8" s="1"/>
  <c r="AA4460" i="8"/>
  <c r="AC4460" i="8" s="1"/>
  <c r="AA4461" i="8"/>
  <c r="AC4461" i="8" s="1"/>
  <c r="AA4462" i="8"/>
  <c r="AC4462" i="8" s="1"/>
  <c r="AA4463" i="8"/>
  <c r="AC4463" i="8" s="1"/>
  <c r="AA4464" i="8"/>
  <c r="AC4464" i="8" s="1"/>
  <c r="AA4465" i="8"/>
  <c r="AC4465" i="8" s="1"/>
  <c r="AA4466" i="8"/>
  <c r="AC4466" i="8" s="1"/>
  <c r="AA4467" i="8"/>
  <c r="AC4467" i="8" s="1"/>
  <c r="AA4468" i="8"/>
  <c r="AC4468" i="8" s="1"/>
  <c r="AA4469" i="8"/>
  <c r="AC4469" i="8" s="1"/>
  <c r="AA4470" i="8"/>
  <c r="AC4470" i="8" s="1"/>
  <c r="AA4471" i="8"/>
  <c r="AC4471" i="8" s="1"/>
  <c r="AA4472" i="8"/>
  <c r="AC4472" i="8" s="1"/>
  <c r="AA4473" i="8"/>
  <c r="AC4473" i="8" s="1"/>
  <c r="AA4474" i="8"/>
  <c r="AC4474" i="8" s="1"/>
  <c r="AA4475" i="8"/>
  <c r="AC4475" i="8" s="1"/>
  <c r="AA4476" i="8"/>
  <c r="AC4476" i="8" s="1"/>
  <c r="AA4477" i="8"/>
  <c r="AC4477" i="8" s="1"/>
  <c r="AA4478" i="8"/>
  <c r="AC4478" i="8" s="1"/>
  <c r="AA4479" i="8"/>
  <c r="AC4479" i="8" s="1"/>
  <c r="AA4480" i="8"/>
  <c r="AC4480" i="8" s="1"/>
  <c r="AA4481" i="8"/>
  <c r="AC4481" i="8" s="1"/>
  <c r="AA4482" i="8"/>
  <c r="AC4482" i="8" s="1"/>
  <c r="AA4483" i="8"/>
  <c r="AC4483" i="8" s="1"/>
  <c r="AA4484" i="8"/>
  <c r="AC4484" i="8" s="1"/>
  <c r="AA4485" i="8"/>
  <c r="AC4485" i="8" s="1"/>
  <c r="AA4486" i="8"/>
  <c r="AC4486" i="8" s="1"/>
  <c r="AA4487" i="8"/>
  <c r="AC4487" i="8" s="1"/>
  <c r="AA4488" i="8"/>
  <c r="AC4488" i="8" s="1"/>
  <c r="AA4489" i="8"/>
  <c r="AC4489" i="8" s="1"/>
  <c r="AA4490" i="8"/>
  <c r="AC4490" i="8" s="1"/>
  <c r="AA4491" i="8"/>
  <c r="AC4491" i="8" s="1"/>
  <c r="AA4492" i="8"/>
  <c r="AC4492" i="8" s="1"/>
  <c r="AA4493" i="8"/>
  <c r="AC4493" i="8" s="1"/>
  <c r="AA4494" i="8"/>
  <c r="AC4494" i="8" s="1"/>
  <c r="AA4495" i="8"/>
  <c r="AC4495" i="8" s="1"/>
  <c r="AA4496" i="8"/>
  <c r="AC4496" i="8" s="1"/>
  <c r="AA4497" i="8"/>
  <c r="AC4497" i="8" s="1"/>
  <c r="AA4498" i="8"/>
  <c r="AC4498" i="8" s="1"/>
  <c r="AA4499" i="8"/>
  <c r="AC4499" i="8" s="1"/>
  <c r="AA4500" i="8"/>
  <c r="AC4500" i="8" s="1"/>
  <c r="AA4501" i="8"/>
  <c r="AC4501" i="8" s="1"/>
  <c r="AA4502" i="8"/>
  <c r="AC4502" i="8" s="1"/>
  <c r="AA4503" i="8"/>
  <c r="AC4503" i="8" s="1"/>
  <c r="AA4504" i="8"/>
  <c r="AC4504" i="8" s="1"/>
  <c r="AA4505" i="8"/>
  <c r="AC4505" i="8" s="1"/>
  <c r="AA4506" i="8"/>
  <c r="AC4506" i="8" s="1"/>
  <c r="AA4507" i="8"/>
  <c r="AC4507" i="8" s="1"/>
  <c r="AA4508" i="8"/>
  <c r="AC4508" i="8" s="1"/>
  <c r="AA4509" i="8"/>
  <c r="AC4509" i="8" s="1"/>
  <c r="AA4510" i="8"/>
  <c r="AC4510" i="8" s="1"/>
  <c r="AA4511" i="8"/>
  <c r="AC4511" i="8" s="1"/>
  <c r="AA4512" i="8"/>
  <c r="AC4512" i="8" s="1"/>
  <c r="AA4513" i="8"/>
  <c r="AC4513" i="8" s="1"/>
  <c r="AA4514" i="8"/>
  <c r="AC4514" i="8" s="1"/>
  <c r="AA4515" i="8"/>
  <c r="AC4515" i="8" s="1"/>
  <c r="AA4516" i="8"/>
  <c r="AC4516" i="8" s="1"/>
  <c r="AA4517" i="8"/>
  <c r="AC4517" i="8" s="1"/>
  <c r="AA4518" i="8"/>
  <c r="AC4518" i="8" s="1"/>
  <c r="AA4519" i="8"/>
  <c r="AC4519" i="8" s="1"/>
  <c r="AA4520" i="8"/>
  <c r="AC4520" i="8" s="1"/>
  <c r="AA4521" i="8"/>
  <c r="AC4521" i="8" s="1"/>
  <c r="AA4522" i="8"/>
  <c r="AC4522" i="8" s="1"/>
  <c r="AA4523" i="8"/>
  <c r="AC4523" i="8" s="1"/>
  <c r="AA4524" i="8"/>
  <c r="AC4524" i="8" s="1"/>
  <c r="AA4525" i="8"/>
  <c r="AC4525" i="8" s="1"/>
  <c r="AA4526" i="8"/>
  <c r="AC4526" i="8" s="1"/>
  <c r="AA4527" i="8"/>
  <c r="AC4527" i="8" s="1"/>
  <c r="AA4528" i="8"/>
  <c r="AC4528" i="8" s="1"/>
  <c r="AA4529" i="8"/>
  <c r="AC4529" i="8" s="1"/>
  <c r="AA4530" i="8"/>
  <c r="AC4530" i="8" s="1"/>
  <c r="AA4531" i="8"/>
  <c r="AC4531" i="8" s="1"/>
  <c r="AA4532" i="8"/>
  <c r="AC4532" i="8" s="1"/>
  <c r="AA4533" i="8"/>
  <c r="AC4533" i="8" s="1"/>
  <c r="AA4534" i="8"/>
  <c r="AC4534" i="8" s="1"/>
  <c r="AA4535" i="8"/>
  <c r="AC4535" i="8" s="1"/>
  <c r="AA4536" i="8"/>
  <c r="AC4536" i="8" s="1"/>
  <c r="AA4537" i="8"/>
  <c r="AC4537" i="8" s="1"/>
  <c r="AA4538" i="8"/>
  <c r="AC4538" i="8" s="1"/>
  <c r="AA4539" i="8"/>
  <c r="AC4539" i="8" s="1"/>
  <c r="AA4540" i="8"/>
  <c r="AC4540" i="8" s="1"/>
  <c r="AA4541" i="8"/>
  <c r="AC4541" i="8" s="1"/>
  <c r="AA4542" i="8"/>
  <c r="AC4542" i="8" s="1"/>
  <c r="AA4543" i="8"/>
  <c r="AC4543" i="8" s="1"/>
  <c r="AA4544" i="8"/>
  <c r="AC4544" i="8" s="1"/>
  <c r="AA4545" i="8"/>
  <c r="AC4545" i="8" s="1"/>
  <c r="AA4546" i="8"/>
  <c r="AC4546" i="8" s="1"/>
  <c r="AA4547" i="8"/>
  <c r="AC4547" i="8" s="1"/>
  <c r="AA4548" i="8"/>
  <c r="AC4548" i="8" s="1"/>
  <c r="AA4549" i="8"/>
  <c r="AC4549" i="8" s="1"/>
  <c r="AA4550" i="8"/>
  <c r="AC4550" i="8" s="1"/>
  <c r="AA4551" i="8"/>
  <c r="AC4551" i="8" s="1"/>
  <c r="AA4552" i="8"/>
  <c r="AC4552" i="8" s="1"/>
  <c r="AA4553" i="8"/>
  <c r="AC4553" i="8" s="1"/>
  <c r="AA4554" i="8"/>
  <c r="AC4554" i="8" s="1"/>
  <c r="AA4555" i="8"/>
  <c r="AC4555" i="8" s="1"/>
  <c r="AA4556" i="8"/>
  <c r="AC4556" i="8" s="1"/>
  <c r="AA4557" i="8"/>
  <c r="AC4557" i="8" s="1"/>
  <c r="AA4558" i="8"/>
  <c r="AC4558" i="8" s="1"/>
  <c r="AA4559" i="8"/>
  <c r="AC4559" i="8" s="1"/>
  <c r="AA4560" i="8"/>
  <c r="AC4560" i="8" s="1"/>
  <c r="AA4561" i="8"/>
  <c r="AC4561" i="8" s="1"/>
  <c r="AA4562" i="8"/>
  <c r="AC4562" i="8" s="1"/>
  <c r="AA4563" i="8"/>
  <c r="AC4563" i="8" s="1"/>
  <c r="AA4564" i="8"/>
  <c r="AC4564" i="8" s="1"/>
  <c r="AA4565" i="8"/>
  <c r="AC4565" i="8" s="1"/>
  <c r="AA4566" i="8"/>
  <c r="AC4566" i="8" s="1"/>
  <c r="AA4567" i="8"/>
  <c r="AC4567" i="8" s="1"/>
  <c r="AA4568" i="8"/>
  <c r="AC4568" i="8" s="1"/>
  <c r="AA4569" i="8"/>
  <c r="AC4569" i="8" s="1"/>
  <c r="AA4570" i="8"/>
  <c r="AC4570" i="8" s="1"/>
  <c r="AA4571" i="8"/>
  <c r="AC4571" i="8" s="1"/>
  <c r="AA4572" i="8"/>
  <c r="AC4572" i="8" s="1"/>
  <c r="AA4573" i="8"/>
  <c r="AC4573" i="8" s="1"/>
  <c r="AA4574" i="8"/>
  <c r="AC4574" i="8" s="1"/>
  <c r="AA4575" i="8"/>
  <c r="AC4575" i="8" s="1"/>
  <c r="AA4576" i="8"/>
  <c r="AC4576" i="8" s="1"/>
  <c r="AA4577" i="8"/>
  <c r="AC4577" i="8" s="1"/>
  <c r="AA4578" i="8"/>
  <c r="AC4578" i="8" s="1"/>
  <c r="AA4579" i="8"/>
  <c r="AC4579" i="8" s="1"/>
  <c r="AA4580" i="8"/>
  <c r="AC4580" i="8" s="1"/>
  <c r="AA4581" i="8"/>
  <c r="AC4581" i="8" s="1"/>
  <c r="AA4582" i="8"/>
  <c r="AC4582" i="8" s="1"/>
  <c r="AA4583" i="8"/>
  <c r="AC4583" i="8" s="1"/>
  <c r="AA4584" i="8"/>
  <c r="AC4584" i="8" s="1"/>
  <c r="AA4585" i="8"/>
  <c r="AC4585" i="8" s="1"/>
  <c r="AA4586" i="8"/>
  <c r="AC4586" i="8" s="1"/>
  <c r="AA4587" i="8"/>
  <c r="AC4587" i="8" s="1"/>
  <c r="AA4588" i="8"/>
  <c r="AC4588" i="8" s="1"/>
  <c r="AA4589" i="8"/>
  <c r="AC4589" i="8" s="1"/>
  <c r="AA4590" i="8"/>
  <c r="AC4590" i="8" s="1"/>
  <c r="AA4591" i="8"/>
  <c r="AC4591" i="8" s="1"/>
  <c r="AA4592" i="8"/>
  <c r="AC4592" i="8" s="1"/>
  <c r="AA4593" i="8"/>
  <c r="AC4593" i="8" s="1"/>
  <c r="AA4594" i="8"/>
  <c r="AC4594" i="8" s="1"/>
  <c r="AA4595" i="8"/>
  <c r="AC4595" i="8" s="1"/>
  <c r="AA4596" i="8"/>
  <c r="AC4596" i="8" s="1"/>
  <c r="AA4597" i="8"/>
  <c r="AC4597" i="8" s="1"/>
  <c r="AA4598" i="8"/>
  <c r="AC4598" i="8" s="1"/>
  <c r="AA4599" i="8"/>
  <c r="AC4599" i="8" s="1"/>
  <c r="AA4600" i="8"/>
  <c r="AC4600" i="8" s="1"/>
  <c r="AA4601" i="8"/>
  <c r="AC4601" i="8" s="1"/>
  <c r="AA4602" i="8"/>
  <c r="AC4602" i="8" s="1"/>
  <c r="AA4603" i="8"/>
  <c r="AC4603" i="8" s="1"/>
  <c r="AA4604" i="8"/>
  <c r="AC4604" i="8" s="1"/>
  <c r="AA4605" i="8"/>
  <c r="AC4605" i="8" s="1"/>
  <c r="AA4606" i="8"/>
  <c r="AC4606" i="8" s="1"/>
  <c r="AA4607" i="8"/>
  <c r="AC4607" i="8" s="1"/>
  <c r="AA4608" i="8"/>
  <c r="AC4608" i="8" s="1"/>
  <c r="AA4609" i="8"/>
  <c r="AC4609" i="8" s="1"/>
  <c r="AA4610" i="8"/>
  <c r="AC4610" i="8" s="1"/>
  <c r="AA4611" i="8"/>
  <c r="AC4611" i="8" s="1"/>
  <c r="AA4612" i="8"/>
  <c r="AC4612" i="8" s="1"/>
  <c r="AA4613" i="8"/>
  <c r="AC4613" i="8" s="1"/>
  <c r="AA4614" i="8"/>
  <c r="AC4614" i="8" s="1"/>
  <c r="AA4615" i="8"/>
  <c r="AC4615" i="8" s="1"/>
  <c r="AA4616" i="8"/>
  <c r="AC4616" i="8" s="1"/>
  <c r="AA4617" i="8"/>
  <c r="AC4617" i="8" s="1"/>
  <c r="AA4618" i="8"/>
  <c r="AC4618" i="8" s="1"/>
  <c r="AA4619" i="8"/>
  <c r="AC4619" i="8" s="1"/>
  <c r="AA4620" i="8"/>
  <c r="AC4620" i="8" s="1"/>
  <c r="AA4621" i="8"/>
  <c r="AC4621" i="8" s="1"/>
  <c r="AA4622" i="8"/>
  <c r="AC4622" i="8" s="1"/>
  <c r="AA4623" i="8"/>
  <c r="AC4623" i="8" s="1"/>
  <c r="AA4624" i="8"/>
  <c r="AC4624" i="8" s="1"/>
  <c r="AA4625" i="8"/>
  <c r="AC4625" i="8" s="1"/>
  <c r="AA4626" i="8"/>
  <c r="AC4626" i="8" s="1"/>
  <c r="AA4627" i="8"/>
  <c r="AC4627" i="8" s="1"/>
  <c r="AA4628" i="8"/>
  <c r="AC4628" i="8" s="1"/>
  <c r="AA4629" i="8"/>
  <c r="AC4629" i="8" s="1"/>
  <c r="AA4630" i="8"/>
  <c r="AC4630" i="8" s="1"/>
  <c r="AA4631" i="8"/>
  <c r="AC4631" i="8" s="1"/>
  <c r="AA4632" i="8"/>
  <c r="AC4632" i="8" s="1"/>
  <c r="AA4633" i="8"/>
  <c r="AC4633" i="8" s="1"/>
  <c r="AA4634" i="8"/>
  <c r="AC4634" i="8" s="1"/>
  <c r="AA4635" i="8"/>
  <c r="AC4635" i="8" s="1"/>
  <c r="AA4636" i="8"/>
  <c r="AC4636" i="8" s="1"/>
  <c r="AA4637" i="8"/>
  <c r="AC4637" i="8" s="1"/>
  <c r="AA4638" i="8"/>
  <c r="AC4638" i="8" s="1"/>
  <c r="AA4639" i="8"/>
  <c r="AC4639" i="8" s="1"/>
  <c r="AA4640" i="8"/>
  <c r="AC4640" i="8" s="1"/>
  <c r="AA4641" i="8"/>
  <c r="AC4641" i="8" s="1"/>
  <c r="AA4642" i="8"/>
  <c r="AC4642" i="8" s="1"/>
  <c r="AA4643" i="8"/>
  <c r="AC4643" i="8" s="1"/>
  <c r="AA4644" i="8"/>
  <c r="AC4644" i="8" s="1"/>
  <c r="AA4645" i="8"/>
  <c r="AC4645" i="8" s="1"/>
  <c r="AA4646" i="8"/>
  <c r="AC4646" i="8" s="1"/>
  <c r="AA4647" i="8"/>
  <c r="AC4647" i="8" s="1"/>
  <c r="AA4648" i="8"/>
  <c r="AC4648" i="8" s="1"/>
  <c r="AA4649" i="8"/>
  <c r="AC4649" i="8" s="1"/>
  <c r="AA4650" i="8"/>
  <c r="AC4650" i="8" s="1"/>
  <c r="AA4651" i="8"/>
  <c r="AC4651" i="8" s="1"/>
  <c r="AA4652" i="8"/>
  <c r="AC4652" i="8" s="1"/>
  <c r="AA4653" i="8"/>
  <c r="AC4653" i="8" s="1"/>
  <c r="AA4654" i="8"/>
  <c r="AC4654" i="8" s="1"/>
  <c r="AA4655" i="8"/>
  <c r="AC4655" i="8" s="1"/>
  <c r="AA4656" i="8"/>
  <c r="AC4656" i="8" s="1"/>
  <c r="AA4657" i="8"/>
  <c r="AC4657" i="8" s="1"/>
  <c r="AA4658" i="8"/>
  <c r="AC4658" i="8" s="1"/>
  <c r="AA4659" i="8"/>
  <c r="AC4659" i="8" s="1"/>
  <c r="AA4660" i="8"/>
  <c r="AC4660" i="8" s="1"/>
  <c r="AA4661" i="8"/>
  <c r="AC4661" i="8" s="1"/>
  <c r="AA4662" i="8"/>
  <c r="AC4662" i="8" s="1"/>
  <c r="AA4663" i="8"/>
  <c r="AC4663" i="8" s="1"/>
  <c r="AA4664" i="8"/>
  <c r="AC4664" i="8" s="1"/>
  <c r="AA4665" i="8"/>
  <c r="AC4665" i="8" s="1"/>
  <c r="AA4666" i="8"/>
  <c r="AC4666" i="8" s="1"/>
  <c r="AA4667" i="8"/>
  <c r="AC4667" i="8" s="1"/>
  <c r="AA4668" i="8"/>
  <c r="AC4668" i="8" s="1"/>
  <c r="AA4669" i="8"/>
  <c r="AC4669" i="8" s="1"/>
  <c r="AA4670" i="8"/>
  <c r="AC4670" i="8" s="1"/>
  <c r="AA4671" i="8"/>
  <c r="AC4671" i="8" s="1"/>
  <c r="AA4672" i="8"/>
  <c r="AC4672" i="8" s="1"/>
  <c r="AA4673" i="8"/>
  <c r="AC4673" i="8" s="1"/>
  <c r="AA4674" i="8"/>
  <c r="AC4674" i="8" s="1"/>
  <c r="AA4675" i="8"/>
  <c r="AC4675" i="8" s="1"/>
  <c r="AA4676" i="8"/>
  <c r="AC4676" i="8" s="1"/>
  <c r="AA4677" i="8"/>
  <c r="AC4677" i="8" s="1"/>
  <c r="AA4678" i="8"/>
  <c r="AC4678" i="8" s="1"/>
  <c r="AA4679" i="8"/>
  <c r="AC4679" i="8" s="1"/>
  <c r="AA4680" i="8"/>
  <c r="AC4680" i="8" s="1"/>
  <c r="AA4681" i="8"/>
  <c r="AC4681" i="8" s="1"/>
  <c r="AA4682" i="8"/>
  <c r="AC4682" i="8" s="1"/>
  <c r="AA4683" i="8"/>
  <c r="AC4683" i="8" s="1"/>
  <c r="AA4684" i="8"/>
  <c r="AC4684" i="8" s="1"/>
  <c r="AA4685" i="8"/>
  <c r="AC4685" i="8" s="1"/>
  <c r="AA4686" i="8"/>
  <c r="AC4686" i="8" s="1"/>
  <c r="AA4687" i="8"/>
  <c r="AC4687" i="8" s="1"/>
  <c r="AA4688" i="8"/>
  <c r="AC4688" i="8" s="1"/>
  <c r="AA4689" i="8"/>
  <c r="AC4689" i="8" s="1"/>
  <c r="AA4690" i="8"/>
  <c r="AC4690" i="8" s="1"/>
  <c r="AA4691" i="8"/>
  <c r="AC4691" i="8" s="1"/>
  <c r="AA4692" i="8"/>
  <c r="AC4692" i="8" s="1"/>
  <c r="AA4693" i="8"/>
  <c r="AC4693" i="8" s="1"/>
  <c r="AA4694" i="8"/>
  <c r="AC4694" i="8" s="1"/>
  <c r="AA4695" i="8"/>
  <c r="AC4695" i="8" s="1"/>
  <c r="AA4696" i="8"/>
  <c r="AC4696" i="8" s="1"/>
  <c r="AA4697" i="8"/>
  <c r="AC4697" i="8" s="1"/>
  <c r="AA4698" i="8"/>
  <c r="AC4698" i="8" s="1"/>
  <c r="AA4699" i="8"/>
  <c r="AC4699" i="8" s="1"/>
  <c r="AA4700" i="8"/>
  <c r="AC4700" i="8" s="1"/>
  <c r="AA4701" i="8"/>
  <c r="AC4701" i="8" s="1"/>
  <c r="AA4702" i="8"/>
  <c r="AC4702" i="8" s="1"/>
  <c r="AA4703" i="8"/>
  <c r="AC4703" i="8" s="1"/>
  <c r="AA4704" i="8"/>
  <c r="AC4704" i="8" s="1"/>
  <c r="AA4705" i="8"/>
  <c r="AC4705" i="8" s="1"/>
  <c r="AA4706" i="8"/>
  <c r="AC4706" i="8" s="1"/>
  <c r="AA4707" i="8"/>
  <c r="AC4707" i="8" s="1"/>
  <c r="AA4708" i="8"/>
  <c r="AC4708" i="8" s="1"/>
  <c r="AA4709" i="8"/>
  <c r="AC4709" i="8" s="1"/>
  <c r="AA4710" i="8"/>
  <c r="AC4710" i="8" s="1"/>
  <c r="AA4711" i="8"/>
  <c r="AC4711" i="8" s="1"/>
  <c r="AA4712" i="8"/>
  <c r="AC4712" i="8" s="1"/>
  <c r="AA4713" i="8"/>
  <c r="AC4713" i="8" s="1"/>
  <c r="AA4714" i="8"/>
  <c r="AC4714" i="8" s="1"/>
  <c r="AA4715" i="8"/>
  <c r="AC4715" i="8" s="1"/>
  <c r="AA4716" i="8"/>
  <c r="AC4716" i="8" s="1"/>
  <c r="AA4717" i="8"/>
  <c r="AC4717" i="8" s="1"/>
  <c r="AA4718" i="8"/>
  <c r="AC4718" i="8" s="1"/>
  <c r="AA4719" i="8"/>
  <c r="AC4719" i="8" s="1"/>
  <c r="AA4720" i="8"/>
  <c r="AC4720" i="8" s="1"/>
  <c r="AA4721" i="8"/>
  <c r="AC4721" i="8" s="1"/>
  <c r="AA4722" i="8"/>
  <c r="AC4722" i="8" s="1"/>
  <c r="AA4723" i="8"/>
  <c r="AC4723" i="8" s="1"/>
  <c r="AA4724" i="8"/>
  <c r="AC4724" i="8" s="1"/>
  <c r="AA4725" i="8"/>
  <c r="AC4725" i="8" s="1"/>
  <c r="AA4726" i="8"/>
  <c r="AC4726" i="8" s="1"/>
  <c r="AA4727" i="8"/>
  <c r="AC4727" i="8" s="1"/>
  <c r="AA4728" i="8"/>
  <c r="AC4728" i="8" s="1"/>
  <c r="AA4729" i="8"/>
  <c r="AC4729" i="8" s="1"/>
  <c r="AA4730" i="8"/>
  <c r="AC4730" i="8" s="1"/>
  <c r="AA4731" i="8"/>
  <c r="AC4731" i="8" s="1"/>
  <c r="AA4732" i="8"/>
  <c r="AC4732" i="8" s="1"/>
  <c r="AA4733" i="8"/>
  <c r="AC4733" i="8" s="1"/>
  <c r="AA4734" i="8"/>
  <c r="AC4734" i="8" s="1"/>
  <c r="AA4735" i="8"/>
  <c r="AC4735" i="8" s="1"/>
  <c r="AA4736" i="8"/>
  <c r="AC4736" i="8" s="1"/>
  <c r="AA4737" i="8"/>
  <c r="AC4737" i="8" s="1"/>
  <c r="AA4738" i="8"/>
  <c r="AC4738" i="8" s="1"/>
  <c r="AA4739" i="8"/>
  <c r="AC4739" i="8" s="1"/>
  <c r="AA4740" i="8"/>
  <c r="AC4740" i="8" s="1"/>
  <c r="AA4741" i="8"/>
  <c r="AC4741" i="8" s="1"/>
  <c r="AA4742" i="8"/>
  <c r="AC4742" i="8" s="1"/>
  <c r="AA4743" i="8"/>
  <c r="AC4743" i="8" s="1"/>
  <c r="AA4744" i="8"/>
  <c r="AC4744" i="8" s="1"/>
  <c r="AA4745" i="8"/>
  <c r="AC4745" i="8" s="1"/>
  <c r="AA4746" i="8"/>
  <c r="AC4746" i="8" s="1"/>
  <c r="AA4747" i="8"/>
  <c r="AC4747" i="8" s="1"/>
  <c r="AA4748" i="8"/>
  <c r="AC4748" i="8" s="1"/>
  <c r="AA4749" i="8"/>
  <c r="AC4749" i="8" s="1"/>
  <c r="AA4750" i="8"/>
  <c r="AC4750" i="8" s="1"/>
  <c r="AA4751" i="8"/>
  <c r="AC4751" i="8" s="1"/>
  <c r="AA4752" i="8"/>
  <c r="AC4752" i="8" s="1"/>
  <c r="AA4753" i="8"/>
  <c r="AC4753" i="8" s="1"/>
  <c r="AA4754" i="8"/>
  <c r="AC4754" i="8" s="1"/>
  <c r="AA4755" i="8"/>
  <c r="AC4755" i="8" s="1"/>
  <c r="AA4756" i="8"/>
  <c r="AC4756" i="8" s="1"/>
  <c r="AA4757" i="8"/>
  <c r="AC4757" i="8" s="1"/>
  <c r="AA4758" i="8"/>
  <c r="AC4758" i="8" s="1"/>
  <c r="AA4759" i="8"/>
  <c r="AC4759" i="8" s="1"/>
  <c r="AA4760" i="8"/>
  <c r="AC4760" i="8" s="1"/>
  <c r="AA4761" i="8"/>
  <c r="AC4761" i="8" s="1"/>
  <c r="AA4762" i="8"/>
  <c r="AC4762" i="8" s="1"/>
  <c r="AA4763" i="8"/>
  <c r="AC4763" i="8" s="1"/>
  <c r="AA4764" i="8"/>
  <c r="AC4764" i="8" s="1"/>
  <c r="AA4765" i="8"/>
  <c r="AC4765" i="8" s="1"/>
  <c r="AA4766" i="8"/>
  <c r="AC4766" i="8" s="1"/>
  <c r="AA4767" i="8"/>
  <c r="AC4767" i="8" s="1"/>
  <c r="AA4768" i="8"/>
  <c r="AC4768" i="8" s="1"/>
  <c r="AA4769" i="8"/>
  <c r="AC4769" i="8" s="1"/>
  <c r="AA4770" i="8"/>
  <c r="AC4770" i="8" s="1"/>
  <c r="AA4771" i="8"/>
  <c r="AC4771" i="8" s="1"/>
  <c r="AA4772" i="8"/>
  <c r="AC4772" i="8" s="1"/>
  <c r="AA4773" i="8"/>
  <c r="AC4773" i="8" s="1"/>
  <c r="AA4774" i="8"/>
  <c r="AC4774" i="8" s="1"/>
  <c r="AA4775" i="8"/>
  <c r="AC4775" i="8" s="1"/>
  <c r="AA4776" i="8"/>
  <c r="AC4776" i="8" s="1"/>
  <c r="AA4777" i="8"/>
  <c r="AC4777" i="8" s="1"/>
  <c r="AA4778" i="8"/>
  <c r="AC4778" i="8" s="1"/>
  <c r="AA4779" i="8"/>
  <c r="AC4779" i="8" s="1"/>
  <c r="AA4780" i="8"/>
  <c r="AC4780" i="8" s="1"/>
  <c r="AA4781" i="8"/>
  <c r="AC4781" i="8" s="1"/>
  <c r="AA4782" i="8"/>
  <c r="AC4782" i="8" s="1"/>
  <c r="AA4783" i="8"/>
  <c r="AC4783" i="8" s="1"/>
  <c r="AA4784" i="8"/>
  <c r="AC4784" i="8" s="1"/>
  <c r="AA4785" i="8"/>
  <c r="AC4785" i="8" s="1"/>
  <c r="AA4786" i="8"/>
  <c r="AC4786" i="8" s="1"/>
  <c r="AA4787" i="8"/>
  <c r="AC4787" i="8" s="1"/>
  <c r="AA4788" i="8"/>
  <c r="AC4788" i="8" s="1"/>
  <c r="AA4789" i="8"/>
  <c r="AC4789" i="8" s="1"/>
  <c r="AA4790" i="8"/>
  <c r="AC4790" i="8" s="1"/>
  <c r="AA4791" i="8"/>
  <c r="AC4791" i="8" s="1"/>
  <c r="AA4792" i="8"/>
  <c r="AC4792" i="8" s="1"/>
  <c r="AA4793" i="8"/>
  <c r="AC4793" i="8" s="1"/>
  <c r="AA4794" i="8"/>
  <c r="AC4794" i="8" s="1"/>
  <c r="AA4795" i="8"/>
  <c r="AC4795" i="8" s="1"/>
  <c r="AA4796" i="8"/>
  <c r="AC4796" i="8" s="1"/>
  <c r="AA4797" i="8"/>
  <c r="AC4797" i="8" s="1"/>
  <c r="AA4798" i="8"/>
  <c r="AC4798" i="8" s="1"/>
  <c r="AA4799" i="8"/>
  <c r="AC4799" i="8" s="1"/>
  <c r="AA4800" i="8"/>
  <c r="AC4800" i="8" s="1"/>
  <c r="AA4801" i="8"/>
  <c r="AC4801" i="8" s="1"/>
  <c r="AA4802" i="8"/>
  <c r="AC4802" i="8" s="1"/>
  <c r="AA4803" i="8"/>
  <c r="AC4803" i="8" s="1"/>
  <c r="AA4804" i="8"/>
  <c r="AC4804" i="8" s="1"/>
  <c r="AA4805" i="8"/>
  <c r="AC4805" i="8" s="1"/>
  <c r="AA4806" i="8"/>
  <c r="AC4806" i="8" s="1"/>
  <c r="AA4807" i="8"/>
  <c r="AC4807" i="8" s="1"/>
  <c r="AA4808" i="8"/>
  <c r="AC4808" i="8" s="1"/>
  <c r="AA4809" i="8"/>
  <c r="AC4809" i="8" s="1"/>
  <c r="AA4810" i="8"/>
  <c r="AC4810" i="8" s="1"/>
  <c r="AA4811" i="8"/>
  <c r="AC4811" i="8" s="1"/>
  <c r="AA4812" i="8"/>
  <c r="AC4812" i="8" s="1"/>
  <c r="AA4813" i="8"/>
  <c r="AC4813" i="8" s="1"/>
  <c r="AA4814" i="8"/>
  <c r="AC4814" i="8" s="1"/>
  <c r="AA4815" i="8"/>
  <c r="AC4815" i="8" s="1"/>
  <c r="AA4816" i="8"/>
  <c r="AC4816" i="8" s="1"/>
  <c r="AA4817" i="8"/>
  <c r="AC4817" i="8" s="1"/>
  <c r="AA4818" i="8"/>
  <c r="AC4818" i="8" s="1"/>
  <c r="AA4819" i="8"/>
  <c r="AC4819" i="8" s="1"/>
  <c r="AA4820" i="8"/>
  <c r="AC4820" i="8" s="1"/>
  <c r="AA4821" i="8"/>
  <c r="AC4821" i="8" s="1"/>
  <c r="AA4822" i="8"/>
  <c r="AC4822" i="8" s="1"/>
  <c r="AA4823" i="8"/>
  <c r="AC4823" i="8" s="1"/>
  <c r="AA4824" i="8"/>
  <c r="AC4824" i="8" s="1"/>
  <c r="AA4825" i="8"/>
  <c r="AC4825" i="8" s="1"/>
  <c r="AA4826" i="8"/>
  <c r="AC4826" i="8" s="1"/>
  <c r="AA4827" i="8"/>
  <c r="AC4827" i="8" s="1"/>
  <c r="AA4828" i="8"/>
  <c r="AC4828" i="8" s="1"/>
  <c r="AA4829" i="8"/>
  <c r="AC4829" i="8" s="1"/>
  <c r="AA4830" i="8"/>
  <c r="AC4830" i="8" s="1"/>
  <c r="AA4831" i="8"/>
  <c r="AC4831" i="8" s="1"/>
  <c r="AA4832" i="8"/>
  <c r="AC4832" i="8" s="1"/>
  <c r="AA4833" i="8"/>
  <c r="AC4833" i="8" s="1"/>
  <c r="AA4834" i="8"/>
  <c r="AC4834" i="8" s="1"/>
  <c r="AA4835" i="8"/>
  <c r="AC4835" i="8" s="1"/>
  <c r="AA4836" i="8"/>
  <c r="AC4836" i="8" s="1"/>
  <c r="AA4837" i="8"/>
  <c r="AC4837" i="8" s="1"/>
  <c r="AA4838" i="8"/>
  <c r="AC4838" i="8" s="1"/>
  <c r="AA4839" i="8"/>
  <c r="AC4839" i="8" s="1"/>
  <c r="AA4840" i="8"/>
  <c r="AC4840" i="8" s="1"/>
  <c r="AA4841" i="8"/>
  <c r="AC4841" i="8" s="1"/>
  <c r="AA4842" i="8"/>
  <c r="AC4842" i="8" s="1"/>
  <c r="AA4843" i="8"/>
  <c r="AC4843" i="8" s="1"/>
  <c r="AA4844" i="8"/>
  <c r="AC4844" i="8" s="1"/>
  <c r="AA4845" i="8"/>
  <c r="AC4845" i="8" s="1"/>
  <c r="AA4846" i="8"/>
  <c r="AC4846" i="8" s="1"/>
  <c r="AA4847" i="8"/>
  <c r="AC4847" i="8" s="1"/>
  <c r="AA4848" i="8"/>
  <c r="AC4848" i="8" s="1"/>
  <c r="AA4849" i="8"/>
  <c r="AC4849" i="8" s="1"/>
  <c r="AA4850" i="8"/>
  <c r="AC4850" i="8" s="1"/>
  <c r="AA4851" i="8"/>
  <c r="AC4851" i="8" s="1"/>
  <c r="AA4852" i="8"/>
  <c r="AC4852" i="8" s="1"/>
  <c r="AA4853" i="8"/>
  <c r="AC4853" i="8" s="1"/>
  <c r="AA4854" i="8"/>
  <c r="AC4854" i="8" s="1"/>
  <c r="AA4855" i="8"/>
  <c r="AC4855" i="8" s="1"/>
  <c r="AA4856" i="8"/>
  <c r="AC4856" i="8" s="1"/>
  <c r="AA4857" i="8"/>
  <c r="AC4857" i="8" s="1"/>
  <c r="AA4858" i="8"/>
  <c r="AC4858" i="8" s="1"/>
  <c r="AA4859" i="8"/>
  <c r="AC4859" i="8" s="1"/>
  <c r="AA4860" i="8"/>
  <c r="AC4860" i="8" s="1"/>
  <c r="AA4861" i="8"/>
  <c r="AC4861" i="8" s="1"/>
  <c r="AA4862" i="8"/>
  <c r="AC4862" i="8" s="1"/>
  <c r="AA4863" i="8"/>
  <c r="AC4863" i="8" s="1"/>
  <c r="AA4864" i="8"/>
  <c r="AC4864" i="8" s="1"/>
  <c r="AA4865" i="8"/>
  <c r="AC4865" i="8" s="1"/>
  <c r="AA4866" i="8"/>
  <c r="AC4866" i="8" s="1"/>
  <c r="AA4867" i="8"/>
  <c r="AC4867" i="8" s="1"/>
  <c r="AA4868" i="8"/>
  <c r="AC4868" i="8" s="1"/>
  <c r="AA4869" i="8"/>
  <c r="AC4869" i="8" s="1"/>
  <c r="AA4870" i="8"/>
  <c r="AC4870" i="8" s="1"/>
  <c r="AA4871" i="8"/>
  <c r="AC4871" i="8" s="1"/>
  <c r="AA4872" i="8"/>
  <c r="AC4872" i="8" s="1"/>
  <c r="AA4873" i="8"/>
  <c r="AC4873" i="8" s="1"/>
  <c r="AA4874" i="8"/>
  <c r="AC4874" i="8" s="1"/>
  <c r="AA4875" i="8"/>
  <c r="AC4875" i="8" s="1"/>
  <c r="AA4876" i="8"/>
  <c r="AC4876" i="8" s="1"/>
  <c r="AA4877" i="8"/>
  <c r="AC4877" i="8" s="1"/>
  <c r="AA4878" i="8"/>
  <c r="AC4878" i="8" s="1"/>
  <c r="AA4879" i="8"/>
  <c r="AC4879" i="8" s="1"/>
  <c r="AA4880" i="8"/>
  <c r="AC4880" i="8" s="1"/>
  <c r="AA4881" i="8"/>
  <c r="AC4881" i="8" s="1"/>
  <c r="AA4882" i="8"/>
  <c r="AC4882" i="8" s="1"/>
  <c r="AA4883" i="8"/>
  <c r="AC4883" i="8" s="1"/>
  <c r="AA4884" i="8"/>
  <c r="AC4884" i="8" s="1"/>
  <c r="AA4885" i="8"/>
  <c r="AC4885" i="8" s="1"/>
  <c r="AA4886" i="8"/>
  <c r="AC4886" i="8" s="1"/>
  <c r="AA4887" i="8"/>
  <c r="AC4887" i="8" s="1"/>
  <c r="AA4888" i="8"/>
  <c r="AC4888" i="8" s="1"/>
  <c r="AA4889" i="8"/>
  <c r="AC4889" i="8" s="1"/>
  <c r="AA4890" i="8"/>
  <c r="AC4890" i="8" s="1"/>
  <c r="AA4891" i="8"/>
  <c r="AC4891" i="8" s="1"/>
  <c r="AA4892" i="8"/>
  <c r="AC4892" i="8" s="1"/>
  <c r="AA4893" i="8"/>
  <c r="AC4893" i="8" s="1"/>
  <c r="AA4894" i="8"/>
  <c r="AC4894" i="8" s="1"/>
  <c r="AA4895" i="8"/>
  <c r="AC4895" i="8" s="1"/>
  <c r="AA4896" i="8"/>
  <c r="AC4896" i="8" s="1"/>
  <c r="AA4897" i="8"/>
  <c r="AC4897" i="8" s="1"/>
  <c r="AA4898" i="8"/>
  <c r="AC4898" i="8" s="1"/>
  <c r="AA4899" i="8"/>
  <c r="AC4899" i="8" s="1"/>
  <c r="AA4900" i="8"/>
  <c r="AC4900" i="8" s="1"/>
  <c r="AA4901" i="8"/>
  <c r="AC4901" i="8" s="1"/>
  <c r="AA4902" i="8"/>
  <c r="AC4902" i="8" s="1"/>
  <c r="AA4903" i="8"/>
  <c r="AC4903" i="8" s="1"/>
  <c r="AA4904" i="8"/>
  <c r="AC4904" i="8" s="1"/>
  <c r="AA4905" i="8"/>
  <c r="AC4905" i="8" s="1"/>
  <c r="AA4906" i="8"/>
  <c r="AC4906" i="8" s="1"/>
  <c r="AA4907" i="8"/>
  <c r="AC4907" i="8" s="1"/>
  <c r="AA4908" i="8"/>
  <c r="AC4908" i="8" s="1"/>
  <c r="AA4909" i="8"/>
  <c r="AC4909" i="8" s="1"/>
  <c r="AA4910" i="8"/>
  <c r="AC4910" i="8" s="1"/>
  <c r="AA4911" i="8"/>
  <c r="AC4911" i="8" s="1"/>
  <c r="AA4912" i="8"/>
  <c r="AC4912" i="8" s="1"/>
  <c r="AA4913" i="8"/>
  <c r="AC4913" i="8" s="1"/>
  <c r="AA4914" i="8"/>
  <c r="AC4914" i="8" s="1"/>
  <c r="AA4915" i="8"/>
  <c r="AC4915" i="8" s="1"/>
  <c r="AA4916" i="8"/>
  <c r="AC4916" i="8" s="1"/>
  <c r="AA4917" i="8"/>
  <c r="AC4917" i="8" s="1"/>
  <c r="AA4918" i="8"/>
  <c r="AC4918" i="8" s="1"/>
  <c r="AA4919" i="8"/>
  <c r="AC4919" i="8" s="1"/>
  <c r="AA4920" i="8"/>
  <c r="AC4920" i="8" s="1"/>
  <c r="AA4921" i="8"/>
  <c r="AC4921" i="8" s="1"/>
  <c r="AA4922" i="8"/>
  <c r="AC4922" i="8" s="1"/>
  <c r="AA4923" i="8"/>
  <c r="AC4923" i="8" s="1"/>
  <c r="AA4924" i="8"/>
  <c r="AC4924" i="8" s="1"/>
  <c r="AA4925" i="8"/>
  <c r="AC4925" i="8" s="1"/>
  <c r="AA4926" i="8"/>
  <c r="AC4926" i="8" s="1"/>
  <c r="AA4927" i="8"/>
  <c r="AC4927" i="8" s="1"/>
  <c r="AA4928" i="8"/>
  <c r="AC4928" i="8" s="1"/>
  <c r="AA4929" i="8"/>
  <c r="AC4929" i="8" s="1"/>
  <c r="AA4930" i="8"/>
  <c r="AC4930" i="8" s="1"/>
  <c r="AA4931" i="8"/>
  <c r="AC4931" i="8" s="1"/>
  <c r="AA4932" i="8"/>
  <c r="AC4932" i="8" s="1"/>
  <c r="AA4933" i="8"/>
  <c r="AC4933" i="8" s="1"/>
  <c r="AA4934" i="8"/>
  <c r="AC4934" i="8" s="1"/>
  <c r="AA4935" i="8"/>
  <c r="AC4935" i="8" s="1"/>
  <c r="AA4936" i="8"/>
  <c r="AC4936" i="8" s="1"/>
  <c r="AA4937" i="8"/>
  <c r="AC4937" i="8" s="1"/>
  <c r="AA4938" i="8"/>
  <c r="AC4938" i="8" s="1"/>
  <c r="AA4939" i="8"/>
  <c r="AC4939" i="8" s="1"/>
  <c r="AA4940" i="8"/>
  <c r="AC4940" i="8" s="1"/>
  <c r="AA4941" i="8"/>
  <c r="AC4941" i="8" s="1"/>
  <c r="AA4942" i="8"/>
  <c r="AC4942" i="8" s="1"/>
  <c r="AA4943" i="8"/>
  <c r="AC4943" i="8" s="1"/>
  <c r="AA4944" i="8"/>
  <c r="AC4944" i="8" s="1"/>
  <c r="AA4945" i="8"/>
  <c r="AC4945" i="8" s="1"/>
  <c r="AA4946" i="8"/>
  <c r="AC4946" i="8" s="1"/>
  <c r="AA4947" i="8"/>
  <c r="AC4947" i="8" s="1"/>
  <c r="AA4948" i="8"/>
  <c r="AC4948" i="8" s="1"/>
  <c r="AA4949" i="8"/>
  <c r="AC4949" i="8" s="1"/>
  <c r="AA4950" i="8"/>
  <c r="AC4950" i="8" s="1"/>
  <c r="AA4951" i="8"/>
  <c r="AC4951" i="8" s="1"/>
  <c r="AA4952" i="8"/>
  <c r="AC4952" i="8" s="1"/>
  <c r="AA4953" i="8"/>
  <c r="AC4953" i="8" s="1"/>
  <c r="AA4954" i="8"/>
  <c r="AC4954" i="8" s="1"/>
  <c r="AA4955" i="8"/>
  <c r="AC4955" i="8" s="1"/>
  <c r="AA4956" i="8"/>
  <c r="AC4956" i="8" s="1"/>
  <c r="AA4957" i="8"/>
  <c r="AC4957" i="8" s="1"/>
  <c r="AA4958" i="8"/>
  <c r="AC4958" i="8" s="1"/>
  <c r="AA4959" i="8"/>
  <c r="AC4959" i="8" s="1"/>
  <c r="AA4960" i="8"/>
  <c r="AC4960" i="8" s="1"/>
  <c r="AA4961" i="8"/>
  <c r="AC4961" i="8" s="1"/>
  <c r="AA4962" i="8"/>
  <c r="AC4962" i="8" s="1"/>
  <c r="AA4963" i="8"/>
  <c r="AC4963" i="8" s="1"/>
  <c r="AA4964" i="8"/>
  <c r="AC4964" i="8" s="1"/>
  <c r="AA4965" i="8"/>
  <c r="AC4965" i="8" s="1"/>
  <c r="AA4966" i="8"/>
  <c r="AC4966" i="8" s="1"/>
  <c r="AA4967" i="8"/>
  <c r="AC4967" i="8" s="1"/>
  <c r="AA4968" i="8"/>
  <c r="AC4968" i="8" s="1"/>
  <c r="AA4969" i="8"/>
  <c r="AC4969" i="8" s="1"/>
  <c r="AA4970" i="8"/>
  <c r="AC4970" i="8" s="1"/>
  <c r="AA4971" i="8"/>
  <c r="AC4971" i="8" s="1"/>
  <c r="AA4972" i="8"/>
  <c r="AC4972" i="8" s="1"/>
  <c r="AA4973" i="8"/>
  <c r="AC4973" i="8" s="1"/>
  <c r="AA4974" i="8"/>
  <c r="AC4974" i="8" s="1"/>
  <c r="AA4975" i="8"/>
  <c r="AC4975" i="8" s="1"/>
  <c r="AA4976" i="8"/>
  <c r="AC4976" i="8" s="1"/>
  <c r="AA4977" i="8"/>
  <c r="AC4977" i="8" s="1"/>
  <c r="AA4978" i="8"/>
  <c r="AC4978" i="8" s="1"/>
  <c r="AA4979" i="8"/>
  <c r="AC4979" i="8" s="1"/>
  <c r="AA4980" i="8"/>
  <c r="AC4980" i="8" s="1"/>
  <c r="AA4981" i="8"/>
  <c r="AC4981" i="8" s="1"/>
  <c r="AA4982" i="8"/>
  <c r="AC4982" i="8" s="1"/>
  <c r="AA4983" i="8"/>
  <c r="AC4983" i="8" s="1"/>
  <c r="AA4984" i="8"/>
  <c r="AC4984" i="8" s="1"/>
  <c r="AA4985" i="8"/>
  <c r="AC4985" i="8" s="1"/>
  <c r="AA4986" i="8"/>
  <c r="AC4986" i="8" s="1"/>
  <c r="AA4987" i="8"/>
  <c r="AC4987" i="8" s="1"/>
  <c r="AA4988" i="8"/>
  <c r="AC4988" i="8" s="1"/>
  <c r="AA4989" i="8"/>
  <c r="AC4989" i="8" s="1"/>
  <c r="AA4990" i="8"/>
  <c r="AC4990" i="8" s="1"/>
  <c r="AA4991" i="8"/>
  <c r="AC4991" i="8" s="1"/>
  <c r="AA4992" i="8"/>
  <c r="AC4992" i="8" s="1"/>
  <c r="AA4993" i="8"/>
  <c r="AC4993" i="8" s="1"/>
  <c r="AA4994" i="8"/>
  <c r="AC4994" i="8" s="1"/>
  <c r="AA4995" i="8"/>
  <c r="AC4995" i="8" s="1"/>
  <c r="AA4996" i="8"/>
  <c r="AC4996" i="8" s="1"/>
  <c r="AA4997" i="8"/>
  <c r="AC4997" i="8" s="1"/>
  <c r="AA4998" i="8"/>
  <c r="AC4998" i="8" s="1"/>
  <c r="AA4999" i="8"/>
  <c r="AC4999" i="8" s="1"/>
  <c r="AA5000" i="8"/>
  <c r="AC5000" i="8" s="1"/>
  <c r="AA5001" i="8"/>
  <c r="AC5001" i="8" s="1"/>
  <c r="AA5002" i="8"/>
  <c r="AC5002" i="8" s="1"/>
  <c r="AA5003" i="8"/>
  <c r="AC5003" i="8" s="1"/>
  <c r="AA5004" i="8"/>
  <c r="AC5004" i="8" s="1"/>
  <c r="AA5005" i="8"/>
  <c r="AC5005" i="8" s="1"/>
  <c r="AA5006" i="8"/>
  <c r="AC5006" i="8" s="1"/>
  <c r="AA5007" i="8"/>
  <c r="AC5007" i="8" s="1"/>
  <c r="AA5008" i="8"/>
  <c r="AC5008" i="8" s="1"/>
  <c r="AA5009" i="8"/>
  <c r="AC5009" i="8" s="1"/>
  <c r="AA5010" i="8"/>
  <c r="AC5010" i="8" s="1"/>
  <c r="AA5011" i="8"/>
  <c r="AC5011" i="8" s="1"/>
  <c r="AA5012" i="8"/>
  <c r="AC5012" i="8" s="1"/>
  <c r="AA5013" i="8"/>
  <c r="AC5013" i="8" s="1"/>
  <c r="AA5014" i="8"/>
  <c r="AC5014" i="8" s="1"/>
  <c r="AA5015" i="8"/>
  <c r="AC5015" i="8" s="1"/>
  <c r="AA5016" i="8"/>
  <c r="AC5016" i="8" s="1"/>
  <c r="AA5017" i="8"/>
  <c r="AC5017" i="8" s="1"/>
  <c r="AA5018" i="8"/>
  <c r="AC5018" i="8" s="1"/>
  <c r="AA5019" i="8"/>
  <c r="AC5019" i="8" s="1"/>
  <c r="AA5020" i="8"/>
  <c r="AC5020" i="8" s="1"/>
  <c r="AA5021" i="8"/>
  <c r="AC5021" i="8" s="1"/>
  <c r="AA5022" i="8"/>
  <c r="AC5022" i="8" s="1"/>
  <c r="AA5023" i="8"/>
  <c r="AC5023" i="8" s="1"/>
  <c r="AA5024" i="8"/>
  <c r="AC5024" i="8" s="1"/>
  <c r="AA5025" i="8"/>
  <c r="AC5025" i="8" s="1"/>
  <c r="AA5026" i="8"/>
  <c r="AC5026" i="8" s="1"/>
  <c r="AA5027" i="8"/>
  <c r="AC5027" i="8" s="1"/>
  <c r="AA5028" i="8"/>
  <c r="AC5028" i="8" s="1"/>
  <c r="AA5029" i="8"/>
  <c r="AC5029" i="8" s="1"/>
  <c r="AA5030" i="8"/>
  <c r="AC5030" i="8" s="1"/>
  <c r="AA5031" i="8"/>
  <c r="AC5031" i="8" s="1"/>
  <c r="AA5032" i="8"/>
  <c r="AC5032" i="8" s="1"/>
  <c r="AA5033" i="8"/>
  <c r="AC5033" i="8" s="1"/>
  <c r="AA5034" i="8"/>
  <c r="AC5034" i="8" s="1"/>
  <c r="AA5035" i="8"/>
  <c r="AC5035" i="8" s="1"/>
  <c r="AA5036" i="8"/>
  <c r="AC5036" i="8" s="1"/>
  <c r="AA5037" i="8"/>
  <c r="AC5037" i="8" s="1"/>
  <c r="AA5038" i="8"/>
  <c r="AC5038" i="8" s="1"/>
  <c r="AA5039" i="8"/>
  <c r="AC5039" i="8" s="1"/>
  <c r="AA5040" i="8"/>
  <c r="AC5040" i="8" s="1"/>
  <c r="AA5041" i="8"/>
  <c r="AC5041" i="8" s="1"/>
  <c r="AA5042" i="8"/>
  <c r="AC5042" i="8" s="1"/>
  <c r="AA5043" i="8"/>
  <c r="AC5043" i="8" s="1"/>
  <c r="AA5044" i="8"/>
  <c r="AC5044" i="8" s="1"/>
  <c r="AA5045" i="8"/>
  <c r="AC5045" i="8" s="1"/>
  <c r="AA5046" i="8"/>
  <c r="AC5046" i="8" s="1"/>
  <c r="AA5047" i="8"/>
  <c r="AC5047" i="8" s="1"/>
  <c r="AA5048" i="8"/>
  <c r="AC5048" i="8" s="1"/>
  <c r="AA5049" i="8"/>
  <c r="AC5049" i="8" s="1"/>
  <c r="AA5050" i="8"/>
  <c r="AC5050" i="8" s="1"/>
  <c r="AA5051" i="8"/>
  <c r="AC5051" i="8" s="1"/>
  <c r="AA5052" i="8"/>
  <c r="AC5052" i="8" s="1"/>
  <c r="AA5053" i="8"/>
  <c r="AC5053" i="8" s="1"/>
  <c r="AA5054" i="8"/>
  <c r="AC5054" i="8" s="1"/>
  <c r="AA5055" i="8"/>
  <c r="AC5055" i="8" s="1"/>
  <c r="AA5056" i="8"/>
  <c r="AC5056" i="8" s="1"/>
  <c r="AA5057" i="8"/>
  <c r="AC5057" i="8" s="1"/>
  <c r="AA5058" i="8"/>
  <c r="AC5058" i="8" s="1"/>
  <c r="AA5059" i="8"/>
  <c r="AC5059" i="8" s="1"/>
  <c r="AA5060" i="8"/>
  <c r="AC5060" i="8" s="1"/>
  <c r="AA5061" i="8"/>
  <c r="AC5061" i="8" s="1"/>
  <c r="AA5062" i="8"/>
  <c r="AC5062" i="8" s="1"/>
  <c r="AA5063" i="8"/>
  <c r="AC5063" i="8" s="1"/>
  <c r="AA5064" i="8"/>
  <c r="AC5064" i="8" s="1"/>
  <c r="AA5065" i="8"/>
  <c r="AC5065" i="8" s="1"/>
  <c r="AA5066" i="8"/>
  <c r="AC5066" i="8" s="1"/>
  <c r="AA5067" i="8"/>
  <c r="AC5067" i="8" s="1"/>
  <c r="AA5068" i="8"/>
  <c r="AC5068" i="8" s="1"/>
  <c r="AA5069" i="8"/>
  <c r="AC5069" i="8" s="1"/>
  <c r="AA5070" i="8"/>
  <c r="AC5070" i="8" s="1"/>
  <c r="AA5071" i="8"/>
  <c r="AC5071" i="8" s="1"/>
  <c r="AA5072" i="8"/>
  <c r="AC5072" i="8" s="1"/>
  <c r="AA5073" i="8"/>
  <c r="AC5073" i="8" s="1"/>
  <c r="AA5074" i="8"/>
  <c r="AC5074" i="8" s="1"/>
  <c r="AA5075" i="8"/>
  <c r="AC5075" i="8" s="1"/>
  <c r="AA5076" i="8"/>
  <c r="AC5076" i="8" s="1"/>
  <c r="AA5077" i="8"/>
  <c r="AC5077" i="8" s="1"/>
  <c r="AA5078" i="8"/>
  <c r="AC5078" i="8" s="1"/>
  <c r="AA5079" i="8"/>
  <c r="AC5079" i="8" s="1"/>
  <c r="AA5080" i="8"/>
  <c r="AC5080" i="8" s="1"/>
  <c r="AA5081" i="8"/>
  <c r="AC5081" i="8" s="1"/>
  <c r="AA5082" i="8"/>
  <c r="AC5082" i="8" s="1"/>
  <c r="AA5083" i="8"/>
  <c r="AC5083" i="8" s="1"/>
  <c r="AA5084" i="8"/>
  <c r="AC5084" i="8" s="1"/>
  <c r="AA5085" i="8"/>
  <c r="AC5085" i="8" s="1"/>
  <c r="AA5086" i="8"/>
  <c r="AC5086" i="8" s="1"/>
  <c r="AA5087" i="8"/>
  <c r="AC5087" i="8" s="1"/>
  <c r="AA5088" i="8"/>
  <c r="AC5088" i="8" s="1"/>
  <c r="AA5089" i="8"/>
  <c r="AC5089" i="8" s="1"/>
  <c r="AA5090" i="8"/>
  <c r="AC5090" i="8" s="1"/>
  <c r="AA5091" i="8"/>
  <c r="AC5091" i="8" s="1"/>
  <c r="AA5092" i="8"/>
  <c r="AC5092" i="8" s="1"/>
  <c r="AA5093" i="8"/>
  <c r="AC5093" i="8" s="1"/>
  <c r="AA5094" i="8"/>
  <c r="AC5094" i="8" s="1"/>
  <c r="AA5095" i="8"/>
  <c r="AC5095" i="8" s="1"/>
  <c r="AA5096" i="8"/>
  <c r="AC5096" i="8" s="1"/>
  <c r="AA5097" i="8"/>
  <c r="AC5097" i="8" s="1"/>
  <c r="AA5098" i="8"/>
  <c r="AC5098" i="8" s="1"/>
  <c r="AA5099" i="8"/>
  <c r="AC5099" i="8" s="1"/>
  <c r="AA5100" i="8"/>
  <c r="AC5100" i="8" s="1"/>
  <c r="AA5101" i="8"/>
  <c r="AC5101" i="8" s="1"/>
  <c r="AA5102" i="8"/>
  <c r="AC5102" i="8" s="1"/>
  <c r="AA5103" i="8"/>
  <c r="AC5103" i="8" s="1"/>
  <c r="AA5104" i="8"/>
  <c r="AC5104" i="8" s="1"/>
  <c r="AA5105" i="8"/>
  <c r="AC5105" i="8" s="1"/>
  <c r="AA5106" i="8"/>
  <c r="AC5106" i="8" s="1"/>
  <c r="AA5107" i="8"/>
  <c r="AC5107" i="8" s="1"/>
  <c r="AA5108" i="8"/>
  <c r="AC5108" i="8" s="1"/>
  <c r="AA5109" i="8"/>
  <c r="AC5109" i="8" s="1"/>
  <c r="AA5110" i="8"/>
  <c r="AC5110" i="8" s="1"/>
  <c r="AA5111" i="8"/>
  <c r="AC5111" i="8" s="1"/>
  <c r="AA5112" i="8"/>
  <c r="AC5112" i="8" s="1"/>
  <c r="AA5113" i="8"/>
  <c r="AC5113" i="8" s="1"/>
  <c r="AA5114" i="8"/>
  <c r="AC5114" i="8" s="1"/>
  <c r="AA5115" i="8"/>
  <c r="AC5115" i="8" s="1"/>
  <c r="AA5116" i="8"/>
  <c r="AC5116" i="8" s="1"/>
  <c r="AA5117" i="8"/>
  <c r="AC5117" i="8" s="1"/>
  <c r="AA5118" i="8"/>
  <c r="AC5118" i="8" s="1"/>
  <c r="AA5119" i="8"/>
  <c r="AC5119" i="8" s="1"/>
  <c r="AA5120" i="8"/>
  <c r="AC5120" i="8" s="1"/>
  <c r="AA5121" i="8"/>
  <c r="AC5121" i="8" s="1"/>
  <c r="AA5122" i="8"/>
  <c r="AC5122" i="8" s="1"/>
  <c r="AA5123" i="8"/>
  <c r="AC5123" i="8" s="1"/>
  <c r="AA5124" i="8"/>
  <c r="AC5124" i="8" s="1"/>
  <c r="AA5125" i="8"/>
  <c r="AC5125" i="8" s="1"/>
  <c r="AA5126" i="8"/>
  <c r="AC5126" i="8" s="1"/>
  <c r="AA5127" i="8"/>
  <c r="AC5127" i="8" s="1"/>
  <c r="AA5128" i="8"/>
  <c r="AC5128" i="8" s="1"/>
  <c r="AA5129" i="8"/>
  <c r="AC5129" i="8" s="1"/>
  <c r="AA5130" i="8"/>
  <c r="AC5130" i="8" s="1"/>
  <c r="AA5131" i="8"/>
  <c r="AC5131" i="8" s="1"/>
  <c r="AA5132" i="8"/>
  <c r="AC5132" i="8" s="1"/>
  <c r="AA5133" i="8"/>
  <c r="AC5133" i="8" s="1"/>
  <c r="AA5134" i="8"/>
  <c r="AC5134" i="8" s="1"/>
  <c r="AA5135" i="8"/>
  <c r="AC5135" i="8" s="1"/>
  <c r="AA5136" i="8"/>
  <c r="AC5136" i="8" s="1"/>
  <c r="AA5137" i="8"/>
  <c r="AC5137" i="8" s="1"/>
  <c r="AA5138" i="8"/>
  <c r="AC5138" i="8" s="1"/>
  <c r="AA5139" i="8"/>
  <c r="AC5139" i="8" s="1"/>
  <c r="AA5140" i="8"/>
  <c r="AC5140" i="8" s="1"/>
  <c r="AA5141" i="8"/>
  <c r="AC5141" i="8" s="1"/>
  <c r="AA5142" i="8"/>
  <c r="AC5142" i="8" s="1"/>
  <c r="AA5143" i="8"/>
  <c r="AC5143" i="8" s="1"/>
  <c r="AA5144" i="8"/>
  <c r="AC5144" i="8" s="1"/>
  <c r="AA5145" i="8"/>
  <c r="AC5145" i="8" s="1"/>
  <c r="AA5146" i="8"/>
  <c r="AC5146" i="8" s="1"/>
  <c r="AA5147" i="8"/>
  <c r="AC5147" i="8" s="1"/>
  <c r="AA5148" i="8"/>
  <c r="AC5148" i="8" s="1"/>
  <c r="AA5149" i="8"/>
  <c r="AC5149" i="8" s="1"/>
  <c r="AA5150" i="8"/>
  <c r="AC5150" i="8" s="1"/>
  <c r="AA5151" i="8"/>
  <c r="AC5151" i="8" s="1"/>
  <c r="AA5152" i="8"/>
  <c r="AC5152" i="8" s="1"/>
  <c r="AA5153" i="8"/>
  <c r="AC5153" i="8" s="1"/>
  <c r="AA5154" i="8"/>
  <c r="AC5154" i="8" s="1"/>
  <c r="AA5155" i="8"/>
  <c r="AC5155" i="8" s="1"/>
  <c r="AA5156" i="8"/>
  <c r="AC5156" i="8" s="1"/>
  <c r="AA5157" i="8"/>
  <c r="AC5157" i="8" s="1"/>
  <c r="AA5158" i="8"/>
  <c r="AC5158" i="8" s="1"/>
  <c r="AA5159" i="8"/>
  <c r="AC5159" i="8" s="1"/>
  <c r="AA5160" i="8"/>
  <c r="AC5160" i="8" s="1"/>
  <c r="AA5161" i="8"/>
  <c r="AC5161" i="8" s="1"/>
  <c r="AA5162" i="8"/>
  <c r="AC5162" i="8" s="1"/>
  <c r="AA5163" i="8"/>
  <c r="AC5163" i="8" s="1"/>
  <c r="AA5164" i="8"/>
  <c r="AC5164" i="8" s="1"/>
  <c r="AA5165" i="8"/>
  <c r="AC5165" i="8" s="1"/>
  <c r="AA5166" i="8"/>
  <c r="AC5166" i="8" s="1"/>
  <c r="AA5167" i="8"/>
  <c r="AC5167" i="8" s="1"/>
  <c r="AA5168" i="8"/>
  <c r="AC5168" i="8" s="1"/>
  <c r="AA5169" i="8"/>
  <c r="AC5169" i="8" s="1"/>
  <c r="AA5170" i="8"/>
  <c r="AC5170" i="8" s="1"/>
  <c r="AA5171" i="8"/>
  <c r="AC5171" i="8" s="1"/>
  <c r="AA5172" i="8"/>
  <c r="AC5172" i="8" s="1"/>
  <c r="AA5173" i="8"/>
  <c r="AC5173" i="8" s="1"/>
  <c r="AA5174" i="8"/>
  <c r="AC5174" i="8" s="1"/>
  <c r="AA5175" i="8"/>
  <c r="AC5175" i="8" s="1"/>
  <c r="AA5176" i="8"/>
  <c r="AC5176" i="8" s="1"/>
  <c r="AA5177" i="8"/>
  <c r="AC5177" i="8" s="1"/>
  <c r="AA5178" i="8"/>
  <c r="AC5178" i="8" s="1"/>
  <c r="AA5179" i="8"/>
  <c r="AC5179" i="8" s="1"/>
  <c r="AA5180" i="8"/>
  <c r="AC5180" i="8" s="1"/>
  <c r="AA5181" i="8"/>
  <c r="AC5181" i="8" s="1"/>
  <c r="AA5182" i="8"/>
  <c r="AC5182" i="8" s="1"/>
  <c r="AA5183" i="8"/>
  <c r="AC5183" i="8" s="1"/>
  <c r="AA5184" i="8"/>
  <c r="AC5184" i="8" s="1"/>
  <c r="AA5185" i="8"/>
  <c r="AC5185" i="8" s="1"/>
  <c r="AA5186" i="8"/>
  <c r="AC5186" i="8" s="1"/>
  <c r="AA5187" i="8"/>
  <c r="AC5187" i="8" s="1"/>
  <c r="AA5188" i="8"/>
  <c r="AC5188" i="8" s="1"/>
  <c r="AA5189" i="8"/>
  <c r="AC5189" i="8" s="1"/>
  <c r="AA5190" i="8"/>
  <c r="AC5190" i="8" s="1"/>
  <c r="AA5191" i="8"/>
  <c r="AC5191" i="8" s="1"/>
  <c r="AA5192" i="8"/>
  <c r="AC5192" i="8" s="1"/>
  <c r="AA5193" i="8"/>
  <c r="AC5193" i="8" s="1"/>
  <c r="AA5194" i="8"/>
  <c r="AC5194" i="8" s="1"/>
  <c r="AA5195" i="8"/>
  <c r="AC5195" i="8" s="1"/>
  <c r="AA5196" i="8"/>
  <c r="AC5196" i="8" s="1"/>
  <c r="AA5197" i="8"/>
  <c r="AC5197" i="8" s="1"/>
  <c r="AA5198" i="8"/>
  <c r="AC5198" i="8" s="1"/>
  <c r="AA5199" i="8"/>
  <c r="AC5199" i="8" s="1"/>
  <c r="AA5200" i="8"/>
  <c r="AC5200" i="8" s="1"/>
  <c r="AA5201" i="8"/>
  <c r="AC5201" i="8" s="1"/>
  <c r="AA5202" i="8"/>
  <c r="AC5202" i="8" s="1"/>
  <c r="AA5203" i="8"/>
  <c r="AC5203" i="8" s="1"/>
  <c r="AA5204" i="8"/>
  <c r="AC5204" i="8" s="1"/>
  <c r="AA5205" i="8"/>
  <c r="AC5205" i="8" s="1"/>
  <c r="AA5206" i="8"/>
  <c r="AC5206" i="8" s="1"/>
  <c r="AA5207" i="8"/>
  <c r="AC5207" i="8" s="1"/>
  <c r="AA5208" i="8"/>
  <c r="AC5208" i="8" s="1"/>
  <c r="AA5209" i="8"/>
  <c r="AC5209" i="8" s="1"/>
  <c r="AA5210" i="8"/>
  <c r="AC5210" i="8" s="1"/>
  <c r="AA5211" i="8"/>
  <c r="AC5211" i="8" s="1"/>
  <c r="AA5212" i="8"/>
  <c r="AC5212" i="8" s="1"/>
  <c r="AA5213" i="8"/>
  <c r="AC5213" i="8" s="1"/>
  <c r="AA5214" i="8"/>
  <c r="AC5214" i="8" s="1"/>
  <c r="AA5215" i="8"/>
  <c r="AC5215" i="8" s="1"/>
  <c r="AA5216" i="8"/>
  <c r="AC5216" i="8" s="1"/>
  <c r="AA5217" i="8"/>
  <c r="AC5217" i="8" s="1"/>
  <c r="AA5218" i="8"/>
  <c r="AC5218" i="8" s="1"/>
  <c r="AA5219" i="8"/>
  <c r="AC5219" i="8" s="1"/>
  <c r="AA5220" i="8"/>
  <c r="AC5220" i="8" s="1"/>
  <c r="AA5221" i="8"/>
  <c r="AC5221" i="8" s="1"/>
  <c r="AA5222" i="8"/>
  <c r="AC5222" i="8" s="1"/>
  <c r="AA5223" i="8"/>
  <c r="AC5223" i="8" s="1"/>
  <c r="AA5224" i="8"/>
  <c r="AC5224" i="8" s="1"/>
  <c r="AA5225" i="8"/>
  <c r="AC5225" i="8" s="1"/>
  <c r="AA5226" i="8"/>
  <c r="AC5226" i="8" s="1"/>
  <c r="AA5227" i="8"/>
  <c r="AC5227" i="8" s="1"/>
  <c r="AA5228" i="8"/>
  <c r="AC5228" i="8" s="1"/>
  <c r="AA5229" i="8"/>
  <c r="AC5229" i="8" s="1"/>
  <c r="AA5230" i="8"/>
  <c r="AC5230" i="8" s="1"/>
  <c r="AA5231" i="8"/>
  <c r="AC5231" i="8" s="1"/>
  <c r="AA5232" i="8"/>
  <c r="AC5232" i="8" s="1"/>
  <c r="AA5233" i="8"/>
  <c r="AC5233" i="8" s="1"/>
  <c r="AA5234" i="8"/>
  <c r="AC5234" i="8" s="1"/>
  <c r="AA5235" i="8"/>
  <c r="AC5235" i="8" s="1"/>
  <c r="AA5236" i="8"/>
  <c r="AC5236" i="8" s="1"/>
  <c r="AA5237" i="8"/>
  <c r="AC5237" i="8" s="1"/>
  <c r="AA5238" i="8"/>
  <c r="AC5238" i="8" s="1"/>
  <c r="AA5239" i="8"/>
  <c r="AC5239" i="8" s="1"/>
  <c r="AA5240" i="8"/>
  <c r="AC5240" i="8" s="1"/>
  <c r="AA5241" i="8"/>
  <c r="AC5241" i="8" s="1"/>
  <c r="AA5242" i="8"/>
  <c r="AC5242" i="8" s="1"/>
  <c r="AA5243" i="8"/>
  <c r="AC5243" i="8" s="1"/>
  <c r="AA5244" i="8"/>
  <c r="AC5244" i="8" s="1"/>
  <c r="AA5245" i="8"/>
  <c r="AC5245" i="8" s="1"/>
  <c r="AA5246" i="8"/>
  <c r="AC5246" i="8" s="1"/>
  <c r="AA5247" i="8"/>
  <c r="AC5247" i="8" s="1"/>
  <c r="AA5248" i="8"/>
  <c r="AC5248" i="8" s="1"/>
  <c r="AA5249" i="8"/>
  <c r="AC5249" i="8" s="1"/>
  <c r="AA5250" i="8"/>
  <c r="AC5250" i="8" s="1"/>
  <c r="AA5251" i="8"/>
  <c r="AC5251" i="8" s="1"/>
  <c r="AA5252" i="8"/>
  <c r="AC5252" i="8" s="1"/>
  <c r="AA5253" i="8"/>
  <c r="AC5253" i="8" s="1"/>
  <c r="AA5254" i="8"/>
  <c r="AC5254" i="8" s="1"/>
  <c r="AA5255" i="8"/>
  <c r="AC5255" i="8" s="1"/>
  <c r="AA5256" i="8"/>
  <c r="AC5256" i="8" s="1"/>
  <c r="AA5257" i="8"/>
  <c r="AC5257" i="8" s="1"/>
  <c r="AA5258" i="8"/>
  <c r="AC5258" i="8" s="1"/>
  <c r="AA5259" i="8"/>
  <c r="AC5259" i="8" s="1"/>
  <c r="AA5260" i="8"/>
  <c r="AC5260" i="8" s="1"/>
  <c r="AA5261" i="8"/>
  <c r="AC5261" i="8" s="1"/>
  <c r="AA5262" i="8"/>
  <c r="AC5262" i="8" s="1"/>
  <c r="AA5263" i="8"/>
  <c r="AC5263" i="8" s="1"/>
  <c r="AA5264" i="8"/>
  <c r="AC5264" i="8" s="1"/>
  <c r="AA5265" i="8"/>
  <c r="AC5265" i="8" s="1"/>
  <c r="AA5266" i="8"/>
  <c r="AC5266" i="8" s="1"/>
  <c r="AA5267" i="8"/>
  <c r="AC5267" i="8" s="1"/>
  <c r="AA5268" i="8"/>
  <c r="AC5268" i="8" s="1"/>
  <c r="AA5269" i="8"/>
  <c r="AC5269" i="8" s="1"/>
  <c r="AA5270" i="8"/>
  <c r="AC5270" i="8" s="1"/>
  <c r="AA5271" i="8"/>
  <c r="AC5271" i="8" s="1"/>
  <c r="AA5272" i="8"/>
  <c r="AC5272" i="8" s="1"/>
  <c r="AA5273" i="8"/>
  <c r="AC5273" i="8" s="1"/>
  <c r="AA5274" i="8"/>
  <c r="AC5274" i="8" s="1"/>
  <c r="AA5275" i="8"/>
  <c r="AC5275" i="8" s="1"/>
  <c r="AA5276" i="8"/>
  <c r="AC5276" i="8" s="1"/>
  <c r="AA5277" i="8"/>
  <c r="AC5277" i="8" s="1"/>
  <c r="AA5278" i="8"/>
  <c r="AC5278" i="8" s="1"/>
  <c r="AA5279" i="8"/>
  <c r="AC5279" i="8" s="1"/>
  <c r="AA5280" i="8"/>
  <c r="AC5280" i="8" s="1"/>
  <c r="AA5281" i="8"/>
  <c r="AC5281" i="8" s="1"/>
  <c r="AA5282" i="8"/>
  <c r="AC5282" i="8" s="1"/>
  <c r="AA5283" i="8"/>
  <c r="AC5283" i="8" s="1"/>
  <c r="AA5284" i="8"/>
  <c r="AC5284" i="8" s="1"/>
  <c r="AA5285" i="8"/>
  <c r="AC5285" i="8" s="1"/>
  <c r="AA5286" i="8"/>
  <c r="AC5286" i="8" s="1"/>
  <c r="AA5287" i="8"/>
  <c r="AC5287" i="8" s="1"/>
  <c r="AA5288" i="8"/>
  <c r="AC5288" i="8" s="1"/>
  <c r="AA5289" i="8"/>
  <c r="AC5289" i="8" s="1"/>
  <c r="AA5290" i="8"/>
  <c r="AC5290" i="8" s="1"/>
  <c r="AA5291" i="8"/>
  <c r="AC5291" i="8" s="1"/>
  <c r="AA5292" i="8"/>
  <c r="AC5292" i="8" s="1"/>
  <c r="AA5293" i="8"/>
  <c r="AC5293" i="8" s="1"/>
  <c r="AA5294" i="8"/>
  <c r="AC5294" i="8" s="1"/>
  <c r="AA5295" i="8"/>
  <c r="AC5295" i="8" s="1"/>
  <c r="AA5296" i="8"/>
  <c r="AC5296" i="8" s="1"/>
  <c r="AA5297" i="8"/>
  <c r="AC5297" i="8" s="1"/>
  <c r="AA5298" i="8"/>
  <c r="AC5298" i="8" s="1"/>
  <c r="AA5299" i="8"/>
  <c r="AC5299" i="8" s="1"/>
  <c r="AA5300" i="8"/>
  <c r="AC5300" i="8" s="1"/>
  <c r="AA5301" i="8"/>
  <c r="AC5301" i="8" s="1"/>
  <c r="AA5302" i="8"/>
  <c r="AC5302" i="8" s="1"/>
  <c r="AA5303" i="8"/>
  <c r="AC5303" i="8" s="1"/>
  <c r="AA5304" i="8"/>
  <c r="AC5304" i="8" s="1"/>
  <c r="AA5305" i="8"/>
  <c r="AC5305" i="8" s="1"/>
  <c r="AA5306" i="8"/>
  <c r="AC5306" i="8" s="1"/>
  <c r="AA5307" i="8"/>
  <c r="AC5307" i="8" s="1"/>
  <c r="AA5308" i="8"/>
  <c r="AC5308" i="8" s="1"/>
  <c r="AA5309" i="8"/>
  <c r="AC5309" i="8" s="1"/>
  <c r="AA5310" i="8"/>
  <c r="AC5310" i="8" s="1"/>
  <c r="AA5311" i="8"/>
  <c r="AC5311" i="8" s="1"/>
  <c r="AA5312" i="8"/>
  <c r="AC5312" i="8" s="1"/>
  <c r="AA5313" i="8"/>
  <c r="AC5313" i="8" s="1"/>
  <c r="AA5314" i="8"/>
  <c r="AC5314" i="8" s="1"/>
  <c r="AA5315" i="8"/>
  <c r="AC5315" i="8" s="1"/>
  <c r="AA5316" i="8"/>
  <c r="AC5316" i="8" s="1"/>
  <c r="AA5317" i="8"/>
  <c r="AC5317" i="8" s="1"/>
  <c r="AA5318" i="8"/>
  <c r="AC5318" i="8" s="1"/>
  <c r="AA5319" i="8"/>
  <c r="AC5319" i="8" s="1"/>
  <c r="AA5320" i="8"/>
  <c r="AC5320" i="8" s="1"/>
  <c r="AA5321" i="8"/>
  <c r="AC5321" i="8" s="1"/>
  <c r="AA5322" i="8"/>
  <c r="AC5322" i="8" s="1"/>
  <c r="AA5323" i="8"/>
  <c r="AC5323" i="8" s="1"/>
  <c r="AA5324" i="8"/>
  <c r="AC5324" i="8" s="1"/>
  <c r="AA5325" i="8"/>
  <c r="AC5325" i="8" s="1"/>
  <c r="AA5326" i="8"/>
  <c r="AC5326" i="8" s="1"/>
  <c r="AA5327" i="8"/>
  <c r="AC5327" i="8" s="1"/>
  <c r="AA5328" i="8"/>
  <c r="AC5328" i="8" s="1"/>
  <c r="AA5329" i="8"/>
  <c r="AC5329" i="8" s="1"/>
  <c r="AA5330" i="8"/>
  <c r="AC5330" i="8" s="1"/>
  <c r="AA5331" i="8"/>
  <c r="AC5331" i="8" s="1"/>
  <c r="AA5332" i="8"/>
  <c r="AC5332" i="8" s="1"/>
  <c r="AA5333" i="8"/>
  <c r="AC5333" i="8" s="1"/>
  <c r="AA5334" i="8"/>
  <c r="AC5334" i="8" s="1"/>
  <c r="AA5335" i="8"/>
  <c r="AC5335" i="8" s="1"/>
  <c r="AA5336" i="8"/>
  <c r="AC5336" i="8" s="1"/>
  <c r="AA5337" i="8"/>
  <c r="AC5337" i="8" s="1"/>
  <c r="AA5338" i="8"/>
  <c r="AC5338" i="8" s="1"/>
  <c r="AA5339" i="8"/>
  <c r="AC5339" i="8" s="1"/>
  <c r="AA5340" i="8"/>
  <c r="AC5340" i="8" s="1"/>
  <c r="AA5341" i="8"/>
  <c r="AC5341" i="8" s="1"/>
  <c r="AA5342" i="8"/>
  <c r="AC5342" i="8" s="1"/>
  <c r="AA5343" i="8"/>
  <c r="AC5343" i="8" s="1"/>
  <c r="AA5344" i="8"/>
  <c r="AC5344" i="8" s="1"/>
  <c r="AA5345" i="8"/>
  <c r="AC5345" i="8" s="1"/>
  <c r="AA5346" i="8"/>
  <c r="AC5346" i="8" s="1"/>
  <c r="AA5347" i="8"/>
  <c r="AC5347" i="8" s="1"/>
  <c r="AA5348" i="8"/>
  <c r="AC5348" i="8" s="1"/>
  <c r="AA5349" i="8"/>
  <c r="AC5349" i="8" s="1"/>
  <c r="AA5350" i="8"/>
  <c r="AC5350" i="8" s="1"/>
  <c r="AA5351" i="8"/>
  <c r="AC5351" i="8" s="1"/>
  <c r="AA5352" i="8"/>
  <c r="AC5352" i="8" s="1"/>
  <c r="AA5353" i="8"/>
  <c r="AC5353" i="8" s="1"/>
  <c r="AA5354" i="8"/>
  <c r="AC5354" i="8" s="1"/>
  <c r="AA5355" i="8"/>
  <c r="AC5355" i="8" s="1"/>
  <c r="AA5356" i="8"/>
  <c r="AC5356" i="8" s="1"/>
  <c r="AA5357" i="8"/>
  <c r="AC5357" i="8" s="1"/>
  <c r="AA5358" i="8"/>
  <c r="AC5358" i="8" s="1"/>
  <c r="AA5359" i="8"/>
  <c r="AC5359" i="8" s="1"/>
  <c r="AA5360" i="8"/>
  <c r="AC5360" i="8" s="1"/>
  <c r="AA5361" i="8"/>
  <c r="AC5361" i="8" s="1"/>
  <c r="AA5362" i="8"/>
  <c r="AC5362" i="8" s="1"/>
  <c r="AA5363" i="8"/>
  <c r="AC5363" i="8" s="1"/>
  <c r="AA5364" i="8"/>
  <c r="AC5364" i="8" s="1"/>
  <c r="AA5365" i="8"/>
  <c r="AC5365" i="8" s="1"/>
  <c r="AA5366" i="8"/>
  <c r="AC5366" i="8" s="1"/>
  <c r="AA5367" i="8"/>
  <c r="AC5367" i="8" s="1"/>
  <c r="AA5368" i="8"/>
  <c r="AC5368" i="8" s="1"/>
  <c r="AA5369" i="8"/>
  <c r="AC5369" i="8" s="1"/>
  <c r="AA5370" i="8"/>
  <c r="AC5370" i="8" s="1"/>
  <c r="AA5371" i="8"/>
  <c r="AC5371" i="8" s="1"/>
  <c r="AA5372" i="8"/>
  <c r="AC5372" i="8" s="1"/>
  <c r="AA5373" i="8"/>
  <c r="AC5373" i="8" s="1"/>
  <c r="AA5374" i="8"/>
  <c r="AC5374" i="8" s="1"/>
  <c r="AA5375" i="8"/>
  <c r="AC5375" i="8" s="1"/>
  <c r="AA5376" i="8"/>
  <c r="AC5376" i="8" s="1"/>
  <c r="AA5377" i="8"/>
  <c r="AC5377" i="8" s="1"/>
  <c r="AA5378" i="8"/>
  <c r="AC5378" i="8" s="1"/>
  <c r="AA5379" i="8"/>
  <c r="AC5379" i="8" s="1"/>
  <c r="AA5380" i="8"/>
  <c r="AC5380" i="8" s="1"/>
  <c r="AA5381" i="8"/>
  <c r="AC5381" i="8" s="1"/>
  <c r="AA5382" i="8"/>
  <c r="AC5382" i="8" s="1"/>
  <c r="AA5383" i="8"/>
  <c r="AC5383" i="8" s="1"/>
  <c r="AA5384" i="8"/>
  <c r="AC5384" i="8" s="1"/>
  <c r="AA5385" i="8"/>
  <c r="AC5385" i="8" s="1"/>
  <c r="AA5386" i="8"/>
  <c r="AC5386" i="8" s="1"/>
  <c r="AA5387" i="8"/>
  <c r="AC5387" i="8" s="1"/>
  <c r="AA5388" i="8"/>
  <c r="AC5388" i="8" s="1"/>
  <c r="AA5389" i="8"/>
  <c r="AC5389" i="8" s="1"/>
  <c r="AA5390" i="8"/>
  <c r="AC5390" i="8" s="1"/>
  <c r="AA5391" i="8"/>
  <c r="AC5391" i="8" s="1"/>
  <c r="AA5392" i="8"/>
  <c r="AC5392" i="8" s="1"/>
  <c r="AA5393" i="8"/>
  <c r="AC5393" i="8" s="1"/>
  <c r="AA5394" i="8"/>
  <c r="AC5394" i="8" s="1"/>
  <c r="AA5395" i="8"/>
  <c r="AC5395" i="8" s="1"/>
  <c r="AA5396" i="8"/>
  <c r="AC5396" i="8" s="1"/>
  <c r="AA5397" i="8"/>
  <c r="AC5397" i="8" s="1"/>
  <c r="AA5398" i="8"/>
  <c r="AC5398" i="8" s="1"/>
  <c r="AA5399" i="8"/>
  <c r="AC5399" i="8" s="1"/>
  <c r="AA5400" i="8"/>
  <c r="AC5400" i="8" s="1"/>
  <c r="AA5401" i="8"/>
  <c r="AC5401" i="8" s="1"/>
  <c r="AA5402" i="8"/>
  <c r="AC5402" i="8" s="1"/>
  <c r="AA5403" i="8"/>
  <c r="AC5403" i="8" s="1"/>
  <c r="AA5404" i="8"/>
  <c r="AC5404" i="8" s="1"/>
  <c r="AA5405" i="8"/>
  <c r="AC5405" i="8" s="1"/>
  <c r="AA5406" i="8"/>
  <c r="AC5406" i="8" s="1"/>
  <c r="AA5407" i="8"/>
  <c r="AC5407" i="8" s="1"/>
  <c r="AA5408" i="8"/>
  <c r="AC5408" i="8" s="1"/>
  <c r="AA5409" i="8"/>
  <c r="AC5409" i="8" s="1"/>
  <c r="AA5410" i="8"/>
  <c r="AC5410" i="8" s="1"/>
  <c r="AA5411" i="8"/>
  <c r="AC5411" i="8" s="1"/>
  <c r="AA5412" i="8"/>
  <c r="AC5412" i="8" s="1"/>
  <c r="AA5413" i="8"/>
  <c r="AC5413" i="8" s="1"/>
  <c r="AA5414" i="8"/>
  <c r="AC5414" i="8" s="1"/>
  <c r="AA5415" i="8"/>
  <c r="AC5415" i="8" s="1"/>
  <c r="AA5416" i="8"/>
  <c r="AC5416" i="8" s="1"/>
  <c r="AA5417" i="8"/>
  <c r="AC5417" i="8" s="1"/>
  <c r="AA5418" i="8"/>
  <c r="AC5418" i="8" s="1"/>
  <c r="AA5419" i="8"/>
  <c r="AC5419" i="8" s="1"/>
  <c r="AA5420" i="8"/>
  <c r="AC5420" i="8" s="1"/>
  <c r="AA5421" i="8"/>
  <c r="AC5421" i="8" s="1"/>
  <c r="AA5422" i="8"/>
  <c r="AC5422" i="8" s="1"/>
  <c r="AA5423" i="8"/>
  <c r="AC5423" i="8" s="1"/>
  <c r="AA5424" i="8"/>
  <c r="AC5424" i="8" s="1"/>
  <c r="AA5425" i="8"/>
  <c r="AC5425" i="8" s="1"/>
  <c r="AA5426" i="8"/>
  <c r="AC5426" i="8" s="1"/>
  <c r="AA5427" i="8"/>
  <c r="AC5427" i="8" s="1"/>
  <c r="AA5428" i="8"/>
  <c r="AC5428" i="8" s="1"/>
  <c r="AA5429" i="8"/>
  <c r="AC5429" i="8" s="1"/>
  <c r="AA5430" i="8"/>
  <c r="AC5430" i="8" s="1"/>
  <c r="AA5431" i="8"/>
  <c r="AC5431" i="8" s="1"/>
  <c r="AA5432" i="8"/>
  <c r="AC5432" i="8" s="1"/>
  <c r="AA5433" i="8"/>
  <c r="AC5433" i="8" s="1"/>
  <c r="AA5434" i="8"/>
  <c r="AC5434" i="8" s="1"/>
  <c r="AA5435" i="8"/>
  <c r="AC5435" i="8" s="1"/>
  <c r="AA5436" i="8"/>
  <c r="AC5436" i="8" s="1"/>
  <c r="AA5437" i="8"/>
  <c r="AC5437" i="8" s="1"/>
  <c r="AA5438" i="8"/>
  <c r="AC5438" i="8" s="1"/>
  <c r="AA5439" i="8"/>
  <c r="AC5439" i="8" s="1"/>
  <c r="AA5440" i="8"/>
  <c r="AC5440" i="8" s="1"/>
  <c r="AA5441" i="8"/>
  <c r="AC5441" i="8" s="1"/>
  <c r="AA5442" i="8"/>
  <c r="AC5442" i="8" s="1"/>
  <c r="AA5443" i="8"/>
  <c r="AC5443" i="8" s="1"/>
  <c r="AA5444" i="8"/>
  <c r="AC5444" i="8" s="1"/>
  <c r="AA5445" i="8"/>
  <c r="AC5445" i="8" s="1"/>
  <c r="AA5446" i="8"/>
  <c r="AC5446" i="8" s="1"/>
  <c r="AA5447" i="8"/>
  <c r="AC5447" i="8" s="1"/>
  <c r="AA5448" i="8"/>
  <c r="AC5448" i="8" s="1"/>
  <c r="AA5449" i="8"/>
  <c r="AC5449" i="8" s="1"/>
  <c r="AA5450" i="8"/>
  <c r="AC5450" i="8" s="1"/>
  <c r="AA5451" i="8"/>
  <c r="AC5451" i="8" s="1"/>
  <c r="AA5452" i="8"/>
  <c r="AC5452" i="8" s="1"/>
  <c r="AA5453" i="8"/>
  <c r="AC5453" i="8" s="1"/>
  <c r="AA5454" i="8"/>
  <c r="AC5454" i="8" s="1"/>
  <c r="AA5455" i="8"/>
  <c r="AC5455" i="8" s="1"/>
  <c r="AA5456" i="8"/>
  <c r="AC5456" i="8" s="1"/>
  <c r="AA5457" i="8"/>
  <c r="AC5457" i="8" s="1"/>
  <c r="AA5458" i="8"/>
  <c r="AC5458" i="8" s="1"/>
  <c r="AA5459" i="8"/>
  <c r="AC5459" i="8" s="1"/>
  <c r="AA5460" i="8"/>
  <c r="AC5460" i="8" s="1"/>
  <c r="AA5461" i="8"/>
  <c r="AC5461" i="8" s="1"/>
  <c r="AA5462" i="8"/>
  <c r="AC5462" i="8" s="1"/>
  <c r="AA5463" i="8"/>
  <c r="AC5463" i="8" s="1"/>
  <c r="AA5464" i="8"/>
  <c r="AC5464" i="8" s="1"/>
  <c r="AA5465" i="8"/>
  <c r="AC5465" i="8" s="1"/>
  <c r="AA5466" i="8"/>
  <c r="AC5466" i="8" s="1"/>
  <c r="AA5467" i="8"/>
  <c r="AC5467" i="8" s="1"/>
  <c r="AA5468" i="8"/>
  <c r="AC5468" i="8" s="1"/>
  <c r="AA5469" i="8"/>
  <c r="AC5469" i="8" s="1"/>
  <c r="AA5470" i="8"/>
  <c r="AC5470" i="8" s="1"/>
  <c r="AA5471" i="8"/>
  <c r="AC5471" i="8" s="1"/>
  <c r="AA5472" i="8"/>
  <c r="AC5472" i="8" s="1"/>
  <c r="AA5473" i="8"/>
  <c r="AC5473" i="8" s="1"/>
  <c r="AA5474" i="8"/>
  <c r="AC5474" i="8" s="1"/>
  <c r="AA5475" i="8"/>
  <c r="AC5475" i="8" s="1"/>
  <c r="AA5476" i="8"/>
  <c r="AC5476" i="8" s="1"/>
  <c r="AA5477" i="8"/>
  <c r="AC5477" i="8" s="1"/>
  <c r="AA5478" i="8"/>
  <c r="AC5478" i="8" s="1"/>
  <c r="AA5479" i="8"/>
  <c r="AC5479" i="8" s="1"/>
  <c r="AA5480" i="8"/>
  <c r="AC5480" i="8" s="1"/>
  <c r="AA5481" i="8"/>
  <c r="AC5481" i="8" s="1"/>
  <c r="AA5482" i="8"/>
  <c r="AC5482" i="8" s="1"/>
  <c r="AA5483" i="8"/>
  <c r="AC5483" i="8" s="1"/>
  <c r="AA5484" i="8"/>
  <c r="AC5484" i="8" s="1"/>
  <c r="AA5485" i="8"/>
  <c r="AC5485" i="8" s="1"/>
  <c r="AA5486" i="8"/>
  <c r="AC5486" i="8" s="1"/>
  <c r="AA5487" i="8"/>
  <c r="AC5487" i="8" s="1"/>
  <c r="AA5488" i="8"/>
  <c r="AC5488" i="8" s="1"/>
  <c r="AA5489" i="8"/>
  <c r="AC5489" i="8" s="1"/>
  <c r="AA5490" i="8"/>
  <c r="AC5490" i="8" s="1"/>
  <c r="AA5491" i="8"/>
  <c r="AC5491" i="8" s="1"/>
  <c r="AA5492" i="8"/>
  <c r="AC5492" i="8" s="1"/>
  <c r="AA5493" i="8"/>
  <c r="AC5493" i="8" s="1"/>
  <c r="AA5494" i="8"/>
  <c r="AC5494" i="8" s="1"/>
  <c r="AA5495" i="8"/>
  <c r="AC5495" i="8" s="1"/>
  <c r="AA5496" i="8"/>
  <c r="AC5496" i="8" s="1"/>
  <c r="AA5497" i="8"/>
  <c r="AC5497" i="8" s="1"/>
  <c r="AA5498" i="8"/>
  <c r="AC5498" i="8" s="1"/>
  <c r="AA5499" i="8"/>
  <c r="AC5499" i="8" s="1"/>
  <c r="AA5500" i="8"/>
  <c r="AC5500" i="8" s="1"/>
  <c r="AA5501" i="8"/>
  <c r="AC5501" i="8" s="1"/>
  <c r="AA5502" i="8"/>
  <c r="AC5502" i="8" s="1"/>
  <c r="AA5503" i="8"/>
  <c r="AC5503" i="8" s="1"/>
  <c r="AA5504" i="8"/>
  <c r="AC5504" i="8" s="1"/>
  <c r="AA5505" i="8"/>
  <c r="AC5505" i="8" s="1"/>
  <c r="AA5506" i="8"/>
  <c r="AC5506" i="8" s="1"/>
  <c r="AA5507" i="8"/>
  <c r="AC5507" i="8" s="1"/>
  <c r="AA5508" i="8"/>
  <c r="AC5508" i="8" s="1"/>
  <c r="AA5509" i="8"/>
  <c r="AC5509" i="8" s="1"/>
  <c r="AA5510" i="8"/>
  <c r="AC5510" i="8" s="1"/>
  <c r="AA5511" i="8"/>
  <c r="AC5511" i="8" s="1"/>
  <c r="AA5512" i="8"/>
  <c r="AC5512" i="8" s="1"/>
  <c r="AA5513" i="8"/>
  <c r="AC5513" i="8" s="1"/>
  <c r="AA5514" i="8"/>
  <c r="AC5514" i="8" s="1"/>
  <c r="AA5515" i="8"/>
  <c r="AC5515" i="8" s="1"/>
  <c r="AA5516" i="8"/>
  <c r="AC5516" i="8" s="1"/>
  <c r="AA5517" i="8"/>
  <c r="AC5517" i="8" s="1"/>
  <c r="AA5518" i="8"/>
  <c r="AC5518" i="8" s="1"/>
  <c r="AA5519" i="8"/>
  <c r="AC5519" i="8" s="1"/>
  <c r="AA5520" i="8"/>
  <c r="AC5520" i="8" s="1"/>
  <c r="AA5521" i="8"/>
  <c r="AC5521" i="8" s="1"/>
  <c r="AA5522" i="8"/>
  <c r="AC5522" i="8" s="1"/>
  <c r="AA5523" i="8"/>
  <c r="AC5523" i="8" s="1"/>
  <c r="AA5524" i="8"/>
  <c r="AC5524" i="8" s="1"/>
  <c r="AA5525" i="8"/>
  <c r="AC5525" i="8" s="1"/>
  <c r="AA5526" i="8"/>
  <c r="AC5526" i="8" s="1"/>
  <c r="AA5527" i="8"/>
  <c r="AC5527" i="8" s="1"/>
  <c r="AA5528" i="8"/>
  <c r="AC5528" i="8" s="1"/>
  <c r="AA5529" i="8"/>
  <c r="AC5529" i="8" s="1"/>
  <c r="AA5530" i="8"/>
  <c r="AC5530" i="8" s="1"/>
  <c r="AA5531" i="8"/>
  <c r="AC5531" i="8" s="1"/>
  <c r="AA5532" i="8"/>
  <c r="AC5532" i="8" s="1"/>
  <c r="AA5533" i="8"/>
  <c r="AC5533" i="8" s="1"/>
  <c r="AA5534" i="8"/>
  <c r="AC5534" i="8" s="1"/>
  <c r="AA5535" i="8"/>
  <c r="AC5535" i="8" s="1"/>
  <c r="AA5536" i="8"/>
  <c r="AC5536" i="8" s="1"/>
  <c r="AA5537" i="8"/>
  <c r="AC5537" i="8" s="1"/>
  <c r="AA5538" i="8"/>
  <c r="AC5538" i="8" s="1"/>
  <c r="AA5539" i="8"/>
  <c r="AC5539" i="8" s="1"/>
  <c r="AA5540" i="8"/>
  <c r="AC5540" i="8" s="1"/>
  <c r="AA5541" i="8"/>
  <c r="AC5541" i="8" s="1"/>
  <c r="AA5542" i="8"/>
  <c r="AC5542" i="8" s="1"/>
  <c r="AA5543" i="8"/>
  <c r="AC5543" i="8" s="1"/>
  <c r="AA5544" i="8"/>
  <c r="AC5544" i="8" s="1"/>
  <c r="AA5545" i="8"/>
  <c r="AC5545" i="8" s="1"/>
  <c r="AA5546" i="8"/>
  <c r="AC5546" i="8" s="1"/>
  <c r="AA5547" i="8"/>
  <c r="AC5547" i="8" s="1"/>
  <c r="AA5548" i="8"/>
  <c r="AC5548" i="8" s="1"/>
  <c r="AA5549" i="8"/>
  <c r="AC5549" i="8" s="1"/>
  <c r="AA5550" i="8"/>
  <c r="AC5550" i="8" s="1"/>
  <c r="AA5551" i="8"/>
  <c r="AC5551" i="8" s="1"/>
  <c r="AA5552" i="8"/>
  <c r="AC5552" i="8" s="1"/>
  <c r="AA5553" i="8"/>
  <c r="AC5553" i="8" s="1"/>
  <c r="AA5554" i="8"/>
  <c r="AC5554" i="8" s="1"/>
  <c r="AA5555" i="8"/>
  <c r="AC5555" i="8" s="1"/>
  <c r="AA5556" i="8"/>
  <c r="AC5556" i="8" s="1"/>
  <c r="AA5557" i="8"/>
  <c r="AC5557" i="8" s="1"/>
  <c r="AA5558" i="8"/>
  <c r="AC5558" i="8" s="1"/>
  <c r="AA5559" i="8"/>
  <c r="AC5559" i="8" s="1"/>
  <c r="AA5560" i="8"/>
  <c r="AC5560" i="8" s="1"/>
  <c r="AA5561" i="8"/>
  <c r="AC5561" i="8" s="1"/>
  <c r="AA5562" i="8"/>
  <c r="AC5562" i="8" s="1"/>
  <c r="AA5563" i="8"/>
  <c r="AC5563" i="8" s="1"/>
  <c r="AA5564" i="8"/>
  <c r="AC5564" i="8" s="1"/>
  <c r="AA5565" i="8"/>
  <c r="AC5565" i="8" s="1"/>
  <c r="AA5566" i="8"/>
  <c r="AC5566" i="8" s="1"/>
  <c r="AA5567" i="8"/>
  <c r="AC5567" i="8" s="1"/>
  <c r="AA5568" i="8"/>
  <c r="AC5568" i="8" s="1"/>
  <c r="AA5569" i="8"/>
  <c r="AC5569" i="8" s="1"/>
  <c r="AA5570" i="8"/>
  <c r="AC5570" i="8" s="1"/>
  <c r="AA5571" i="8"/>
  <c r="AC5571" i="8" s="1"/>
  <c r="AA5572" i="8"/>
  <c r="AC5572" i="8" s="1"/>
  <c r="AA5573" i="8"/>
  <c r="AC5573" i="8" s="1"/>
  <c r="AA5574" i="8"/>
  <c r="AC5574" i="8" s="1"/>
  <c r="AA5575" i="8"/>
  <c r="AC5575" i="8" s="1"/>
  <c r="AA5576" i="8"/>
  <c r="AC5576" i="8" s="1"/>
  <c r="AA5577" i="8"/>
  <c r="AC5577" i="8" s="1"/>
  <c r="AA5578" i="8"/>
  <c r="AC5578" i="8" s="1"/>
  <c r="AA5579" i="8"/>
  <c r="AC5579" i="8" s="1"/>
  <c r="AA5580" i="8"/>
  <c r="AC5580" i="8" s="1"/>
  <c r="AA5581" i="8"/>
  <c r="AC5581" i="8" s="1"/>
  <c r="AA5582" i="8"/>
  <c r="AC5582" i="8" s="1"/>
  <c r="AA5583" i="8"/>
  <c r="AC5583" i="8" s="1"/>
  <c r="AA5584" i="8"/>
  <c r="AC5584" i="8" s="1"/>
  <c r="AA5585" i="8"/>
  <c r="AC5585" i="8" s="1"/>
  <c r="AA5586" i="8"/>
  <c r="AC5586" i="8" s="1"/>
  <c r="AA5587" i="8"/>
  <c r="AC5587" i="8" s="1"/>
  <c r="AA5588" i="8"/>
  <c r="AC5588" i="8" s="1"/>
  <c r="AA5589" i="8"/>
  <c r="AC5589" i="8" s="1"/>
  <c r="AA5590" i="8"/>
  <c r="AC5590" i="8" s="1"/>
  <c r="AA5591" i="8"/>
  <c r="AC5591" i="8" s="1"/>
  <c r="AA5592" i="8"/>
  <c r="AC5592" i="8" s="1"/>
  <c r="AA5593" i="8"/>
  <c r="AC5593" i="8" s="1"/>
  <c r="AA5594" i="8"/>
  <c r="AC5594" i="8" s="1"/>
  <c r="AA5595" i="8"/>
  <c r="AC5595" i="8" s="1"/>
  <c r="AA5596" i="8"/>
  <c r="AC5596" i="8" s="1"/>
  <c r="AA5597" i="8"/>
  <c r="AC5597" i="8" s="1"/>
  <c r="AA5598" i="8"/>
  <c r="AC5598" i="8" s="1"/>
  <c r="AA5599" i="8"/>
  <c r="AC5599" i="8" s="1"/>
  <c r="AA5600" i="8"/>
  <c r="AC5600" i="8" s="1"/>
  <c r="AA5601" i="8"/>
  <c r="AC5601" i="8" s="1"/>
  <c r="AA5602" i="8"/>
  <c r="AC5602" i="8" s="1"/>
  <c r="AA5603" i="8"/>
  <c r="AC5603" i="8" s="1"/>
  <c r="AA5604" i="8"/>
  <c r="AC5604" i="8" s="1"/>
  <c r="AA5605" i="8"/>
  <c r="AC5605" i="8" s="1"/>
  <c r="AA5606" i="8"/>
  <c r="AC5606" i="8" s="1"/>
  <c r="AA5607" i="8"/>
  <c r="AC5607" i="8" s="1"/>
  <c r="AA5608" i="8"/>
  <c r="AC5608" i="8" s="1"/>
  <c r="AA5609" i="8"/>
  <c r="AC5609" i="8" s="1"/>
  <c r="AA5610" i="8"/>
  <c r="AC5610" i="8" s="1"/>
  <c r="AA5611" i="8"/>
  <c r="AC5611" i="8" s="1"/>
  <c r="AA5612" i="8"/>
  <c r="AC5612" i="8" s="1"/>
  <c r="AA5613" i="8"/>
  <c r="AC5613" i="8" s="1"/>
  <c r="AA5614" i="8"/>
  <c r="AC5614" i="8" s="1"/>
  <c r="AA5615" i="8"/>
  <c r="AC5615" i="8" s="1"/>
  <c r="AA5616" i="8"/>
  <c r="AC5616" i="8" s="1"/>
  <c r="AA5617" i="8"/>
  <c r="AC5617" i="8" s="1"/>
  <c r="AA5618" i="8"/>
  <c r="AC5618" i="8" s="1"/>
  <c r="AA5619" i="8"/>
  <c r="AC5619" i="8" s="1"/>
  <c r="AA5620" i="8"/>
  <c r="AC5620" i="8" s="1"/>
  <c r="AA5621" i="8"/>
  <c r="AC5621" i="8" s="1"/>
  <c r="AA5622" i="8"/>
  <c r="AC5622" i="8" s="1"/>
  <c r="AA5623" i="8"/>
  <c r="AC5623" i="8" s="1"/>
  <c r="AA5624" i="8"/>
  <c r="AC5624" i="8" s="1"/>
  <c r="AA5625" i="8"/>
  <c r="AC5625" i="8" s="1"/>
  <c r="AA5626" i="8"/>
  <c r="AC5626" i="8" s="1"/>
  <c r="AA5627" i="8"/>
  <c r="AC5627" i="8" s="1"/>
  <c r="AA5628" i="8"/>
  <c r="AC5628" i="8" s="1"/>
  <c r="AA5629" i="8"/>
  <c r="AC5629" i="8" s="1"/>
  <c r="AA5630" i="8"/>
  <c r="AC5630" i="8" s="1"/>
  <c r="AA5631" i="8"/>
  <c r="AC5631" i="8" s="1"/>
  <c r="AA5632" i="8"/>
  <c r="AC5632" i="8" s="1"/>
  <c r="AA5633" i="8"/>
  <c r="AC5633" i="8" s="1"/>
  <c r="AA5634" i="8"/>
  <c r="AC5634" i="8" s="1"/>
  <c r="AA5635" i="8"/>
  <c r="AC5635" i="8" s="1"/>
  <c r="AA5636" i="8"/>
  <c r="AC5636" i="8" s="1"/>
  <c r="AA5637" i="8"/>
  <c r="AC5637" i="8" s="1"/>
  <c r="AA5638" i="8"/>
  <c r="AC5638" i="8" s="1"/>
  <c r="AA5639" i="8"/>
  <c r="AC5639" i="8" s="1"/>
  <c r="AA5640" i="8"/>
  <c r="AC5640" i="8" s="1"/>
  <c r="AA5641" i="8"/>
  <c r="AC5641" i="8" s="1"/>
  <c r="AA5642" i="8"/>
  <c r="AC5642" i="8" s="1"/>
  <c r="AA5643" i="8"/>
  <c r="AC5643" i="8" s="1"/>
  <c r="AA5644" i="8"/>
  <c r="AC5644" i="8" s="1"/>
  <c r="AA5645" i="8"/>
  <c r="AC5645" i="8" s="1"/>
  <c r="AA5646" i="8"/>
  <c r="AC5646" i="8" s="1"/>
  <c r="AA5647" i="8"/>
  <c r="AC5647" i="8" s="1"/>
  <c r="AA5648" i="8"/>
  <c r="AC5648" i="8" s="1"/>
  <c r="AA5649" i="8"/>
  <c r="AC5649" i="8" s="1"/>
  <c r="AA5650" i="8"/>
  <c r="AC5650" i="8" s="1"/>
  <c r="AA5651" i="8"/>
  <c r="AC5651" i="8" s="1"/>
  <c r="AA5652" i="8"/>
  <c r="AC5652" i="8" s="1"/>
  <c r="AA5653" i="8"/>
  <c r="AC5653" i="8" s="1"/>
  <c r="AA5654" i="8"/>
  <c r="AC5654" i="8" s="1"/>
  <c r="AA5655" i="8"/>
  <c r="AC5655" i="8" s="1"/>
  <c r="AA5656" i="8"/>
  <c r="AC5656" i="8" s="1"/>
  <c r="AA5657" i="8"/>
  <c r="AC5657" i="8" s="1"/>
  <c r="AA5658" i="8"/>
  <c r="AC5658" i="8" s="1"/>
  <c r="AA5659" i="8"/>
  <c r="AC5659" i="8" s="1"/>
  <c r="AA5660" i="8"/>
  <c r="AC5660" i="8" s="1"/>
  <c r="AA5661" i="8"/>
  <c r="AC5661" i="8" s="1"/>
  <c r="AA5662" i="8"/>
  <c r="AC5662" i="8" s="1"/>
  <c r="AA5663" i="8"/>
  <c r="AC5663" i="8" s="1"/>
  <c r="AA5664" i="8"/>
  <c r="AC5664" i="8" s="1"/>
  <c r="AA5665" i="8"/>
  <c r="AC5665" i="8" s="1"/>
  <c r="AA5666" i="8"/>
  <c r="AC5666" i="8" s="1"/>
  <c r="AA5667" i="8"/>
  <c r="AC5667" i="8" s="1"/>
  <c r="AA5668" i="8"/>
  <c r="AC5668" i="8" s="1"/>
  <c r="AA5669" i="8"/>
  <c r="AC5669" i="8" s="1"/>
  <c r="AA5670" i="8"/>
  <c r="AC5670" i="8" s="1"/>
  <c r="AA5671" i="8"/>
  <c r="AC5671" i="8" s="1"/>
  <c r="AA5672" i="8"/>
  <c r="AC5672" i="8" s="1"/>
  <c r="AA5673" i="8"/>
  <c r="AC5673" i="8" s="1"/>
  <c r="AA5674" i="8"/>
  <c r="AC5674" i="8" s="1"/>
  <c r="AA5675" i="8"/>
  <c r="AC5675" i="8" s="1"/>
  <c r="AA5676" i="8"/>
  <c r="AC5676" i="8" s="1"/>
  <c r="AA5677" i="8"/>
  <c r="AC5677" i="8" s="1"/>
  <c r="AA5678" i="8"/>
  <c r="AC5678" i="8" s="1"/>
  <c r="AA5679" i="8"/>
  <c r="AC5679" i="8" s="1"/>
  <c r="AA5680" i="8"/>
  <c r="AC5680" i="8" s="1"/>
  <c r="AA5681" i="8"/>
  <c r="AC5681" i="8" s="1"/>
  <c r="AA5682" i="8"/>
  <c r="AC5682" i="8" s="1"/>
  <c r="AA5683" i="8"/>
  <c r="AC5683" i="8" s="1"/>
  <c r="AA5684" i="8"/>
  <c r="AC5684" i="8" s="1"/>
  <c r="AA5685" i="8"/>
  <c r="AC5685" i="8" s="1"/>
  <c r="AA5686" i="8"/>
  <c r="AC5686" i="8" s="1"/>
  <c r="AA5687" i="8"/>
  <c r="AC5687" i="8" s="1"/>
  <c r="AA5688" i="8"/>
  <c r="AC5688" i="8" s="1"/>
  <c r="AA5689" i="8"/>
  <c r="AC5689" i="8" s="1"/>
  <c r="AA5690" i="8"/>
  <c r="AC5690" i="8" s="1"/>
  <c r="AA5691" i="8"/>
  <c r="AC5691" i="8" s="1"/>
  <c r="AA5692" i="8"/>
  <c r="AC5692" i="8" s="1"/>
  <c r="AA5693" i="8"/>
  <c r="AC5693" i="8" s="1"/>
  <c r="AA5694" i="8"/>
  <c r="AC5694" i="8" s="1"/>
  <c r="AA5695" i="8"/>
  <c r="AC5695" i="8" s="1"/>
  <c r="AA5696" i="8"/>
  <c r="AC5696" i="8" s="1"/>
  <c r="AA5697" i="8"/>
  <c r="AC5697" i="8" s="1"/>
  <c r="AA5698" i="8"/>
  <c r="AC5698" i="8" s="1"/>
  <c r="AA5699" i="8"/>
  <c r="AC5699" i="8" s="1"/>
  <c r="AA5700" i="8"/>
  <c r="AC5700" i="8" s="1"/>
  <c r="AA5701" i="8"/>
  <c r="AC5701" i="8" s="1"/>
  <c r="AA5702" i="8"/>
  <c r="AC5702" i="8" s="1"/>
  <c r="AA5703" i="8"/>
  <c r="AC5703" i="8" s="1"/>
  <c r="AA5704" i="8"/>
  <c r="AC5704" i="8" s="1"/>
  <c r="AA5705" i="8"/>
  <c r="AC5705" i="8" s="1"/>
  <c r="AA5706" i="8"/>
  <c r="AC5706" i="8" s="1"/>
  <c r="AA5707" i="8"/>
  <c r="AC5707" i="8" s="1"/>
  <c r="AA5708" i="8"/>
  <c r="AC5708" i="8" s="1"/>
  <c r="AA5709" i="8"/>
  <c r="AC5709" i="8" s="1"/>
  <c r="AA5710" i="8"/>
  <c r="AC5710" i="8" s="1"/>
  <c r="AA5711" i="8"/>
  <c r="AC5711" i="8" s="1"/>
  <c r="AA5712" i="8"/>
  <c r="AC5712" i="8" s="1"/>
  <c r="AA5713" i="8"/>
  <c r="AC5713" i="8" s="1"/>
  <c r="AA5714" i="8"/>
  <c r="AC5714" i="8" s="1"/>
  <c r="AA5715" i="8"/>
  <c r="AC5715" i="8" s="1"/>
  <c r="AA5716" i="8"/>
  <c r="AC5716" i="8" s="1"/>
  <c r="AA5717" i="8"/>
  <c r="AC5717" i="8" s="1"/>
  <c r="AA5718" i="8"/>
  <c r="AC5718" i="8" s="1"/>
  <c r="AA5719" i="8"/>
  <c r="AC5719" i="8" s="1"/>
  <c r="AA5720" i="8"/>
  <c r="AC5720" i="8" s="1"/>
  <c r="AA5721" i="8"/>
  <c r="AC5721" i="8" s="1"/>
  <c r="AA5722" i="8"/>
  <c r="AC5722" i="8" s="1"/>
  <c r="AA5723" i="8"/>
  <c r="AC5723" i="8" s="1"/>
  <c r="AA5724" i="8"/>
  <c r="AC5724" i="8" s="1"/>
  <c r="AA5725" i="8"/>
  <c r="AC5725" i="8" s="1"/>
  <c r="AA5726" i="8"/>
  <c r="AC5726" i="8" s="1"/>
  <c r="AA5727" i="8"/>
  <c r="AC5727" i="8" s="1"/>
  <c r="AA5728" i="8"/>
  <c r="AC5728" i="8" s="1"/>
  <c r="AA5729" i="8"/>
  <c r="AC5729" i="8" s="1"/>
  <c r="AA5730" i="8"/>
  <c r="AC5730" i="8" s="1"/>
  <c r="AA5731" i="8"/>
  <c r="AC5731" i="8" s="1"/>
  <c r="AA5732" i="8"/>
  <c r="AC5732" i="8" s="1"/>
  <c r="AA5733" i="8"/>
  <c r="AC5733" i="8" s="1"/>
  <c r="AA5734" i="8"/>
  <c r="AC5734" i="8" s="1"/>
  <c r="AA5735" i="8"/>
  <c r="AC5735" i="8" s="1"/>
  <c r="AA5736" i="8"/>
  <c r="AC5736" i="8" s="1"/>
  <c r="AA5737" i="8"/>
  <c r="AC5737" i="8" s="1"/>
  <c r="AA5738" i="8"/>
  <c r="AC5738" i="8" s="1"/>
  <c r="AA5739" i="8"/>
  <c r="AC5739" i="8" s="1"/>
  <c r="AA5740" i="8"/>
  <c r="AC5740" i="8" s="1"/>
  <c r="AA5741" i="8"/>
  <c r="AC5741" i="8" s="1"/>
  <c r="AA5742" i="8"/>
  <c r="AC5742" i="8" s="1"/>
  <c r="AA5743" i="8"/>
  <c r="AC5743" i="8" s="1"/>
  <c r="AA5744" i="8"/>
  <c r="AC5744" i="8" s="1"/>
  <c r="AA5745" i="8"/>
  <c r="AC5745" i="8" s="1"/>
  <c r="AA5746" i="8"/>
  <c r="AC5746" i="8" s="1"/>
  <c r="AA5747" i="8"/>
  <c r="AC5747" i="8" s="1"/>
  <c r="AA5748" i="8"/>
  <c r="AC5748" i="8" s="1"/>
  <c r="AA5749" i="8"/>
  <c r="AC5749" i="8" s="1"/>
  <c r="AA5750" i="8"/>
  <c r="AC5750" i="8" s="1"/>
  <c r="AA5751" i="8"/>
  <c r="AC5751" i="8" s="1"/>
  <c r="AA5752" i="8"/>
  <c r="AC5752" i="8" s="1"/>
  <c r="AA5753" i="8"/>
  <c r="AC5753" i="8" s="1"/>
  <c r="AA5754" i="8"/>
  <c r="AC5754" i="8" s="1"/>
  <c r="AA5755" i="8"/>
  <c r="AC5755" i="8" s="1"/>
  <c r="AA5756" i="8"/>
  <c r="AC5756" i="8" s="1"/>
  <c r="AA5757" i="8"/>
  <c r="AC5757" i="8" s="1"/>
  <c r="AA5758" i="8"/>
  <c r="AC5758" i="8" s="1"/>
  <c r="AA5759" i="8"/>
  <c r="AC5759" i="8" s="1"/>
  <c r="AA5760" i="8"/>
  <c r="AC5760" i="8" s="1"/>
  <c r="AA5761" i="8"/>
  <c r="AC5761" i="8" s="1"/>
  <c r="AA5762" i="8"/>
  <c r="AC5762" i="8" s="1"/>
  <c r="AA5763" i="8"/>
  <c r="AC5763" i="8" s="1"/>
  <c r="AA5764" i="8"/>
  <c r="AC5764" i="8" s="1"/>
  <c r="AA5765" i="8"/>
  <c r="AC5765" i="8" s="1"/>
  <c r="AA5766" i="8"/>
  <c r="AC5766" i="8" s="1"/>
  <c r="AA5767" i="8"/>
  <c r="AC5767" i="8" s="1"/>
  <c r="AA5768" i="8"/>
  <c r="AC5768" i="8" s="1"/>
  <c r="AA5769" i="8"/>
  <c r="AC5769" i="8" s="1"/>
  <c r="AA5770" i="8"/>
  <c r="AC5770" i="8" s="1"/>
  <c r="AA5771" i="8"/>
  <c r="AC5771" i="8" s="1"/>
  <c r="AA5772" i="8"/>
  <c r="AC5772" i="8" s="1"/>
  <c r="AA5773" i="8"/>
  <c r="AC5773" i="8" s="1"/>
  <c r="AA5774" i="8"/>
  <c r="AC5774" i="8" s="1"/>
  <c r="AA5775" i="8"/>
  <c r="AC5775" i="8" s="1"/>
  <c r="AA5776" i="8"/>
  <c r="AC5776" i="8" s="1"/>
  <c r="AA5777" i="8"/>
  <c r="AC5777" i="8" s="1"/>
  <c r="AA5778" i="8"/>
  <c r="AC5778" i="8" s="1"/>
  <c r="AA5779" i="8"/>
  <c r="AC5779" i="8" s="1"/>
  <c r="AA5780" i="8"/>
  <c r="AC5780" i="8" s="1"/>
  <c r="AA5781" i="8"/>
  <c r="AC5781" i="8" s="1"/>
  <c r="AA5782" i="8"/>
  <c r="AC5782" i="8" s="1"/>
  <c r="AA5783" i="8"/>
  <c r="AC5783" i="8" s="1"/>
  <c r="AA5784" i="8"/>
  <c r="AC5784" i="8" s="1"/>
  <c r="AA5785" i="8"/>
  <c r="AC5785" i="8" s="1"/>
  <c r="AA5786" i="8"/>
  <c r="AC5786" i="8" s="1"/>
  <c r="AA5787" i="8"/>
  <c r="AC5787" i="8" s="1"/>
  <c r="AA5788" i="8"/>
  <c r="AC5788" i="8" s="1"/>
  <c r="AA5789" i="8"/>
  <c r="AC5789" i="8" s="1"/>
  <c r="AA5790" i="8"/>
  <c r="AC5790" i="8" s="1"/>
  <c r="AA5791" i="8"/>
  <c r="AC5791" i="8" s="1"/>
  <c r="AA5792" i="8"/>
  <c r="AC5792" i="8" s="1"/>
  <c r="AA5793" i="8"/>
  <c r="AC5793" i="8" s="1"/>
  <c r="AA5794" i="8"/>
  <c r="AC5794" i="8" s="1"/>
  <c r="AA5795" i="8"/>
  <c r="AC5795" i="8" s="1"/>
  <c r="AA5796" i="8"/>
  <c r="AC5796" i="8" s="1"/>
  <c r="AA5797" i="8"/>
  <c r="AC5797" i="8" s="1"/>
  <c r="AA5798" i="8"/>
  <c r="AC5798" i="8" s="1"/>
  <c r="AA5799" i="8"/>
  <c r="AC5799" i="8" s="1"/>
  <c r="AA5800" i="8"/>
  <c r="AC5800" i="8" s="1"/>
  <c r="AA5801" i="8"/>
  <c r="AC5801" i="8" s="1"/>
  <c r="AA5802" i="8"/>
  <c r="AC5802" i="8" s="1"/>
  <c r="AA5803" i="8"/>
  <c r="AC5803" i="8" s="1"/>
  <c r="AA5804" i="8"/>
  <c r="AC5804" i="8" s="1"/>
  <c r="AA5805" i="8"/>
  <c r="AC5805" i="8" s="1"/>
  <c r="AA5806" i="8"/>
  <c r="AC5806" i="8" s="1"/>
  <c r="AA5807" i="8"/>
  <c r="AC5807" i="8" s="1"/>
  <c r="AA5808" i="8"/>
  <c r="AC5808" i="8" s="1"/>
  <c r="AA5809" i="8"/>
  <c r="AC5809" i="8" s="1"/>
  <c r="AA5810" i="8"/>
  <c r="AC5810" i="8" s="1"/>
  <c r="AA5811" i="8"/>
  <c r="AC5811" i="8" s="1"/>
  <c r="AA5812" i="8"/>
  <c r="AC5812" i="8" s="1"/>
  <c r="AA5813" i="8"/>
  <c r="AC5813" i="8" s="1"/>
  <c r="AA5814" i="8"/>
  <c r="AC5814" i="8" s="1"/>
  <c r="AA5815" i="8"/>
  <c r="AC5815" i="8" s="1"/>
  <c r="AA5816" i="8"/>
  <c r="AC5816" i="8" s="1"/>
  <c r="AA5817" i="8"/>
  <c r="AC5817" i="8" s="1"/>
  <c r="AA5818" i="8"/>
  <c r="AC5818" i="8" s="1"/>
  <c r="AA5819" i="8"/>
  <c r="AC5819" i="8" s="1"/>
  <c r="AA5820" i="8"/>
  <c r="AC5820" i="8" s="1"/>
  <c r="AA5821" i="8"/>
  <c r="AC5821" i="8" s="1"/>
  <c r="AA5822" i="8"/>
  <c r="AC5822" i="8" s="1"/>
  <c r="AA5823" i="8"/>
  <c r="AC5823" i="8" s="1"/>
  <c r="AA5824" i="8"/>
  <c r="AC5824" i="8" s="1"/>
  <c r="AA5825" i="8"/>
  <c r="AC5825" i="8" s="1"/>
  <c r="AA5826" i="8"/>
  <c r="AC5826" i="8" s="1"/>
  <c r="AA5827" i="8"/>
  <c r="AC5827" i="8" s="1"/>
  <c r="AA5828" i="8"/>
  <c r="AC5828" i="8" s="1"/>
  <c r="AA5829" i="8"/>
  <c r="AC5829" i="8" s="1"/>
  <c r="AA5830" i="8"/>
  <c r="AC5830" i="8" s="1"/>
  <c r="AA5831" i="8"/>
  <c r="AC5831" i="8" s="1"/>
  <c r="AA5832" i="8"/>
  <c r="AC5832" i="8" s="1"/>
  <c r="AA5833" i="8"/>
  <c r="AC5833" i="8" s="1"/>
  <c r="AA5834" i="8"/>
  <c r="AC5834" i="8" s="1"/>
  <c r="AA5835" i="8"/>
  <c r="AC5835" i="8" s="1"/>
  <c r="AA5836" i="8"/>
  <c r="AC5836" i="8" s="1"/>
  <c r="AA5837" i="8"/>
  <c r="AC5837" i="8" s="1"/>
  <c r="AA5838" i="8"/>
  <c r="AC5838" i="8" s="1"/>
  <c r="AA5839" i="8"/>
  <c r="AC5839" i="8" s="1"/>
  <c r="AA5840" i="8"/>
  <c r="AC5840" i="8" s="1"/>
  <c r="AA5841" i="8"/>
  <c r="AC5841" i="8" s="1"/>
  <c r="AA5842" i="8"/>
  <c r="AC5842" i="8" s="1"/>
  <c r="AA5843" i="8"/>
  <c r="AC5843" i="8" s="1"/>
  <c r="AA5844" i="8"/>
  <c r="AC5844" i="8" s="1"/>
  <c r="AA5845" i="8"/>
  <c r="AC5845" i="8" s="1"/>
  <c r="AA5846" i="8"/>
  <c r="AC5846" i="8" s="1"/>
  <c r="AA5847" i="8"/>
  <c r="AC5847" i="8" s="1"/>
  <c r="AA5848" i="8"/>
  <c r="AC5848" i="8" s="1"/>
  <c r="AA5849" i="8"/>
  <c r="AC5849" i="8" s="1"/>
  <c r="AA5850" i="8"/>
  <c r="AC5850" i="8" s="1"/>
  <c r="AA5851" i="8"/>
  <c r="AC5851" i="8" s="1"/>
  <c r="AA5852" i="8"/>
  <c r="AC5852" i="8" s="1"/>
  <c r="AA5853" i="8"/>
  <c r="AC5853" i="8" s="1"/>
  <c r="AA5854" i="8"/>
  <c r="AC5854" i="8" s="1"/>
  <c r="AA5855" i="8"/>
  <c r="AC5855" i="8" s="1"/>
  <c r="AA5856" i="8"/>
  <c r="AC5856" i="8" s="1"/>
  <c r="AA5857" i="8"/>
  <c r="AC5857" i="8" s="1"/>
  <c r="AA5858" i="8"/>
  <c r="AC5858" i="8" s="1"/>
  <c r="AA5859" i="8"/>
  <c r="AC5859" i="8" s="1"/>
  <c r="AA5860" i="8"/>
  <c r="AC5860" i="8" s="1"/>
  <c r="AA5861" i="8"/>
  <c r="AC5861" i="8" s="1"/>
  <c r="AA5862" i="8"/>
  <c r="AC5862" i="8" s="1"/>
  <c r="AA5863" i="8"/>
  <c r="AC5863" i="8" s="1"/>
  <c r="AA5864" i="8"/>
  <c r="AC5864" i="8" s="1"/>
  <c r="AA5865" i="8"/>
  <c r="AC5865" i="8" s="1"/>
  <c r="AA5866" i="8"/>
  <c r="AC5866" i="8" s="1"/>
  <c r="AA5867" i="8"/>
  <c r="AC5867" i="8" s="1"/>
  <c r="AA5868" i="8"/>
  <c r="AC5868" i="8" s="1"/>
  <c r="AA5869" i="8"/>
  <c r="AC5869" i="8" s="1"/>
  <c r="AA5870" i="8"/>
  <c r="AC5870" i="8" s="1"/>
  <c r="AA5871" i="8"/>
  <c r="AC5871" i="8" s="1"/>
  <c r="AA5872" i="8"/>
  <c r="AC5872" i="8" s="1"/>
  <c r="AA5873" i="8"/>
  <c r="AC5873" i="8" s="1"/>
  <c r="AA5874" i="8"/>
  <c r="AC5874" i="8" s="1"/>
  <c r="AA5875" i="8"/>
  <c r="AC5875" i="8" s="1"/>
  <c r="AA5876" i="8"/>
  <c r="AC5876" i="8" s="1"/>
  <c r="AA5877" i="8"/>
  <c r="AC5877" i="8" s="1"/>
  <c r="AA5878" i="8"/>
  <c r="AC5878" i="8" s="1"/>
  <c r="AA5879" i="8"/>
  <c r="AC5879" i="8" s="1"/>
  <c r="AA5880" i="8"/>
  <c r="AC5880" i="8" s="1"/>
  <c r="AA5881" i="8"/>
  <c r="AC5881" i="8" s="1"/>
  <c r="AA5882" i="8"/>
  <c r="AC5882" i="8" s="1"/>
  <c r="AA5883" i="8"/>
  <c r="AC5883" i="8" s="1"/>
  <c r="AA5884" i="8"/>
  <c r="AC5884" i="8" s="1"/>
  <c r="AA5885" i="8"/>
  <c r="AC5885" i="8" s="1"/>
  <c r="AA5886" i="8"/>
  <c r="AC5886" i="8" s="1"/>
  <c r="AA5887" i="8"/>
  <c r="AC5887" i="8" s="1"/>
  <c r="AA5888" i="8"/>
  <c r="AC5888" i="8" s="1"/>
  <c r="AA5889" i="8"/>
  <c r="AC5889" i="8" s="1"/>
  <c r="AA5890" i="8"/>
  <c r="AC5890" i="8" s="1"/>
  <c r="AA5891" i="8"/>
  <c r="AC5891" i="8" s="1"/>
  <c r="AA5892" i="8"/>
  <c r="AC5892" i="8" s="1"/>
  <c r="AA5893" i="8"/>
  <c r="AC5893" i="8" s="1"/>
  <c r="AA5894" i="8"/>
  <c r="AC5894" i="8" s="1"/>
  <c r="AA5895" i="8"/>
  <c r="AC5895" i="8" s="1"/>
  <c r="AA5896" i="8"/>
  <c r="AC5896" i="8" s="1"/>
  <c r="AA5897" i="8"/>
  <c r="AC5897" i="8" s="1"/>
  <c r="AA5898" i="8"/>
  <c r="AC5898" i="8" s="1"/>
  <c r="AA5899" i="8"/>
  <c r="AC5899" i="8" s="1"/>
  <c r="AA5900" i="8"/>
  <c r="AC5900" i="8" s="1"/>
  <c r="AA5901" i="8"/>
  <c r="AC5901" i="8" s="1"/>
  <c r="AA5902" i="8"/>
  <c r="AC5902" i="8" s="1"/>
  <c r="AA5903" i="8"/>
  <c r="AC5903" i="8" s="1"/>
  <c r="AA5904" i="8"/>
  <c r="AC5904" i="8" s="1"/>
  <c r="AA5905" i="8"/>
  <c r="AC5905" i="8" s="1"/>
  <c r="AA5906" i="8"/>
  <c r="AC5906" i="8" s="1"/>
  <c r="AA5907" i="8"/>
  <c r="AC5907" i="8" s="1"/>
  <c r="AA5908" i="8"/>
  <c r="AC5908" i="8" s="1"/>
  <c r="AA5909" i="8"/>
  <c r="AC5909" i="8" s="1"/>
  <c r="AA5910" i="8"/>
  <c r="AC5910" i="8" s="1"/>
  <c r="AA5911" i="8"/>
  <c r="AC5911" i="8" s="1"/>
  <c r="AA5912" i="8"/>
  <c r="AC5912" i="8" s="1"/>
  <c r="AA5913" i="8"/>
  <c r="AC5913" i="8" s="1"/>
  <c r="AA5914" i="8"/>
  <c r="AC5914" i="8" s="1"/>
  <c r="AA5915" i="8"/>
  <c r="AC5915" i="8" s="1"/>
  <c r="AA5916" i="8"/>
  <c r="AC5916" i="8" s="1"/>
  <c r="AA5917" i="8"/>
  <c r="AC5917" i="8" s="1"/>
  <c r="AA5918" i="8"/>
  <c r="AC5918" i="8" s="1"/>
  <c r="AA5919" i="8"/>
  <c r="AC5919" i="8" s="1"/>
  <c r="AA5920" i="8"/>
  <c r="AC5920" i="8" s="1"/>
  <c r="AA5921" i="8"/>
  <c r="AC5921" i="8" s="1"/>
  <c r="AA5922" i="8"/>
  <c r="AC5922" i="8" s="1"/>
  <c r="AA5923" i="8"/>
  <c r="AC5923" i="8" s="1"/>
  <c r="AA5924" i="8"/>
  <c r="AC5924" i="8" s="1"/>
  <c r="AA5925" i="8"/>
  <c r="AC5925" i="8" s="1"/>
  <c r="AA5926" i="8"/>
  <c r="AC5926" i="8" s="1"/>
  <c r="AA5927" i="8"/>
  <c r="AC5927" i="8" s="1"/>
  <c r="AA5928" i="8"/>
  <c r="AC5928" i="8" s="1"/>
  <c r="AA5929" i="8"/>
  <c r="AC5929" i="8" s="1"/>
  <c r="AA5930" i="8"/>
  <c r="AC5930" i="8" s="1"/>
  <c r="AA5931" i="8"/>
  <c r="AC5931" i="8" s="1"/>
  <c r="AA5932" i="8"/>
  <c r="AC5932" i="8" s="1"/>
  <c r="AA5933" i="8"/>
  <c r="AC5933" i="8" s="1"/>
  <c r="AA5934" i="8"/>
  <c r="AC5934" i="8" s="1"/>
  <c r="AA5935" i="8"/>
  <c r="AC5935" i="8" s="1"/>
  <c r="AA5936" i="8"/>
  <c r="AC5936" i="8" s="1"/>
  <c r="AA5937" i="8"/>
  <c r="AC5937" i="8" s="1"/>
  <c r="AA5938" i="8"/>
  <c r="AC5938" i="8" s="1"/>
  <c r="AA5939" i="8"/>
  <c r="AC5939" i="8" s="1"/>
  <c r="AA5940" i="8"/>
  <c r="AC5940" i="8" s="1"/>
  <c r="AA5941" i="8"/>
  <c r="AC5941" i="8" s="1"/>
  <c r="AA5942" i="8"/>
  <c r="AC5942" i="8" s="1"/>
  <c r="AA5943" i="8"/>
  <c r="AC5943" i="8" s="1"/>
  <c r="AA5944" i="8"/>
  <c r="AC5944" i="8" s="1"/>
  <c r="AA5945" i="8"/>
  <c r="AC5945" i="8" s="1"/>
  <c r="AA5946" i="8"/>
  <c r="AC5946" i="8" s="1"/>
  <c r="AA5947" i="8"/>
  <c r="AC5947" i="8" s="1"/>
  <c r="AA5948" i="8"/>
  <c r="AC5948" i="8" s="1"/>
  <c r="AA5949" i="8"/>
  <c r="AC5949" i="8" s="1"/>
  <c r="AA5950" i="8"/>
  <c r="AC5950" i="8" s="1"/>
  <c r="AA5951" i="8"/>
  <c r="AC5951" i="8" s="1"/>
  <c r="AA5952" i="8"/>
  <c r="AC5952" i="8" s="1"/>
  <c r="AA5953" i="8"/>
  <c r="AC5953" i="8" s="1"/>
  <c r="AA5954" i="8"/>
  <c r="AC5954" i="8" s="1"/>
  <c r="AA5955" i="8"/>
  <c r="AC5955" i="8" s="1"/>
  <c r="AA5956" i="8"/>
  <c r="AC5956" i="8" s="1"/>
  <c r="AA5957" i="8"/>
  <c r="AC5957" i="8" s="1"/>
  <c r="AA5958" i="8"/>
  <c r="AC5958" i="8" s="1"/>
  <c r="AA5959" i="8"/>
  <c r="AC5959" i="8" s="1"/>
  <c r="AA5960" i="8"/>
  <c r="AC5960" i="8" s="1"/>
  <c r="AA5961" i="8"/>
  <c r="AC5961" i="8" s="1"/>
  <c r="AA5962" i="8"/>
  <c r="AC5962" i="8" s="1"/>
  <c r="AA5963" i="8"/>
  <c r="AC5963" i="8" s="1"/>
  <c r="AA5964" i="8"/>
  <c r="AC5964" i="8" s="1"/>
  <c r="AA5965" i="8"/>
  <c r="AC5965" i="8" s="1"/>
  <c r="AA5966" i="8"/>
  <c r="AC5966" i="8" s="1"/>
  <c r="AA5967" i="8"/>
  <c r="AC5967" i="8" s="1"/>
  <c r="AA5968" i="8"/>
  <c r="AC5968" i="8" s="1"/>
  <c r="AA5969" i="8"/>
  <c r="AC5969" i="8" s="1"/>
  <c r="AA5970" i="8"/>
  <c r="AC5970" i="8" s="1"/>
  <c r="AA5971" i="8"/>
  <c r="AC5971" i="8" s="1"/>
  <c r="AA5972" i="8"/>
  <c r="AC5972" i="8" s="1"/>
  <c r="AA5973" i="8"/>
  <c r="AC5973" i="8" s="1"/>
  <c r="AA5974" i="8"/>
  <c r="AC5974" i="8" s="1"/>
  <c r="AA5975" i="8"/>
  <c r="AC5975" i="8" s="1"/>
  <c r="AA5976" i="8"/>
  <c r="AC5976" i="8" s="1"/>
  <c r="AA5977" i="8"/>
  <c r="AC5977" i="8" s="1"/>
  <c r="AA5978" i="8"/>
  <c r="AC5978" i="8" s="1"/>
  <c r="AA5979" i="8"/>
  <c r="AC5979" i="8" s="1"/>
  <c r="AA5980" i="8"/>
  <c r="AC5980" i="8" s="1"/>
  <c r="AA5981" i="8"/>
  <c r="AC5981" i="8" s="1"/>
  <c r="AA5982" i="8"/>
  <c r="AC5982" i="8" s="1"/>
  <c r="AA5983" i="8"/>
  <c r="AC5983" i="8" s="1"/>
  <c r="AA5984" i="8"/>
  <c r="AC5984" i="8" s="1"/>
  <c r="AA5985" i="8"/>
  <c r="AC5985" i="8" s="1"/>
  <c r="AA5986" i="8"/>
  <c r="AC5986" i="8" s="1"/>
  <c r="AA5987" i="8"/>
  <c r="AC5987" i="8" s="1"/>
  <c r="AA5988" i="8"/>
  <c r="AC5988" i="8" s="1"/>
  <c r="AA5989" i="8"/>
  <c r="AC5989" i="8" s="1"/>
  <c r="AA5990" i="8"/>
  <c r="AC5990" i="8" s="1"/>
  <c r="AA5991" i="8"/>
  <c r="AC5991" i="8" s="1"/>
  <c r="AA5992" i="8"/>
  <c r="AC5992" i="8" s="1"/>
  <c r="AA5993" i="8"/>
  <c r="AC5993" i="8" s="1"/>
  <c r="AA5994" i="8"/>
  <c r="AC5994" i="8" s="1"/>
  <c r="AA5995" i="8"/>
  <c r="AC5995" i="8" s="1"/>
  <c r="AA5996" i="8"/>
  <c r="AC5996" i="8" s="1"/>
  <c r="AA5997" i="8"/>
  <c r="AC5997" i="8" s="1"/>
  <c r="AA5998" i="8"/>
  <c r="AC5998" i="8" s="1"/>
  <c r="AA5999" i="8"/>
  <c r="AC5999" i="8" s="1"/>
  <c r="AA6000" i="8"/>
  <c r="AC6000" i="8" s="1"/>
  <c r="AA2" i="8"/>
  <c r="AC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C1" i="8" l="1"/>
  <c r="AA1" i="8"/>
  <c r="AD1" i="8" l="1"/>
  <c r="AF1" i="8" s="1"/>
  <c r="A2" i="1"/>
  <c r="BC2" i="1" l="1"/>
  <c r="O2" i="1"/>
  <c r="N2" i="1"/>
  <c r="AT2" i="1"/>
  <c r="P2" i="1"/>
  <c r="H2" i="1"/>
  <c r="R2" i="1"/>
  <c r="F2" i="1"/>
  <c r="T2" i="1"/>
  <c r="D2" i="1"/>
  <c r="AV2" i="1" l="1"/>
  <c r="AU2" i="1"/>
  <c r="Q2" i="1"/>
  <c r="E2" i="1"/>
  <c r="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Y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<sst xmlns="http://schemas.openxmlformats.org/spreadsheetml/2006/main" count="3052" uniqueCount="1009">
  <si>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</si>
  <si>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</si>
  <si>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</si>
  <si>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</si>
  <si>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</si>
  <si>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</si>
  <si>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</si>
  <si>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</si>
  <si>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</si>
  <si>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</si>
  <si>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</si>
  <si>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</si>
  <si>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</si>
  <si>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</si>
  <si>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</si>
  <si>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</si>
  <si>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</si>
  <si>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</si>
  <si>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</si>
  <si>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</si>
  <si>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</si>
  <si>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</si>
  <si>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</si>
  <si>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</si>
  <si>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</si>
  <si>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</si>
  <si>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</si>
  <si>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</si>
  <si>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</si>
  <si>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</si>
  <si>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</si>
  <si>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</si>
  <si>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</si>
  <si>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</si>
  <si>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</si>
  <si>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</si>
  <si>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</si>
  <si>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</si>
  <si>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</si>
  <si>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</si>
  <si>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</si>
  <si>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</si>
  <si>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</si>
  <si>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</si>
  <si>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</si>
  <si>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</si>
  <si>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</si>
  <si>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</si>
  <si>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</si>
  <si>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</si>
  <si>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</si>
  <si>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</si>
  <si>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</si>
  <si>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</si>
  <si>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</si>
  <si>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</si>
  <si>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</si>
  <si>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</si>
  <si>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</si>
  <si>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</si>
  <si>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</si>
  <si>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</si>
  <si>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</si>
  <si>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</si>
  <si>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</si>
  <si>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</si>
  <si>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</si>
  <si>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</si>
  <si>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</si>
  <si>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</si>
  <si>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</si>
  <si>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</si>
  <si>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</si>
  <si>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</si>
  <si>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</si>
  <si>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</si>
  <si>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</si>
  <si>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</si>
  <si>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</si>
  <si>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</si>
  <si>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</si>
  <si>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</si>
  <si>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</si>
  <si>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</si>
  <si>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</si>
  <si>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</si>
  <si>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</si>
  <si>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</si>
  <si>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</si>
  <si>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</si>
  <si>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</si>
  <si>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</si>
  <si>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</si>
  <si>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</si>
  <si>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</si>
  <si>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</si>
  <si>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</si>
  <si>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</si>
  <si>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</si>
  <si>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</si>
  <si>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</si>
  <si>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</si>
  <si>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</si>
  <si>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</si>
  <si>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</si>
  <si>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</si>
  <si>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</si>
  <si>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</si>
  <si>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</si>
  <si>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</si>
  <si>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</si>
  <si>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</si>
  <si>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</si>
  <si>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</si>
  <si>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</si>
  <si>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</si>
  <si>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</si>
  <si>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</si>
  <si>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</si>
  <si>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</si>
  <si>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</si>
  <si>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</si>
  <si>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</si>
  <si>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</si>
  <si>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</si>
  <si>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</si>
  <si>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</si>
  <si>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</si>
  <si>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</si>
  <si>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</si>
  <si>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</si>
  <si>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</si>
  <si>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</si>
  <si>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</si>
  <si>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</si>
  <si>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</si>
  <si>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</si>
  <si>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</si>
  <si>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</si>
  <si>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</si>
  <si>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</si>
  <si>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</si>
  <si>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</si>
  <si>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</si>
  <si>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</si>
  <si>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</si>
  <si>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</si>
  <si>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</si>
  <si>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</si>
  <si>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</si>
  <si>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</si>
  <si>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</si>
  <si>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</si>
  <si>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</si>
  <si>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</si>
  <si>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</si>
  <si>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</si>
  <si>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</si>
  <si>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</si>
  <si>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</si>
  <si>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</si>
  <si>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</si>
  <si>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</si>
  <si>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</si>
  <si>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</si>
  <si>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</si>
  <si>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</si>
  <si>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</si>
  <si>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</si>
  <si>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</si>
  <si>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</si>
  <si>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</si>
  <si>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</si>
  <si>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</si>
  <si>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</si>
  <si>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</si>
  <si>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</si>
  <si>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</si>
  <si>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</si>
  <si>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</si>
  <si>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</si>
  <si>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</si>
  <si>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</si>
  <si>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</si>
  <si>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</si>
  <si>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</si>
  <si>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</si>
  <si>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</si>
  <si>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</si>
  <si>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</si>
  <si>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</si>
  <si>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</si>
  <si>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</si>
  <si>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</si>
  <si>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</si>
  <si>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</si>
  <si>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</si>
  <si>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</si>
  <si>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</si>
  <si>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</si>
  <si>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</si>
  <si>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</si>
  <si>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</si>
  <si>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</si>
  <si>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</si>
  <si>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</si>
  <si>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</si>
  <si>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</si>
  <si>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</si>
  <si>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</si>
  <si>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</si>
  <si>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</si>
  <si>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</si>
  <si>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</si>
  <si>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</si>
  <si>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</si>
  <si>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</si>
  <si>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</si>
  <si>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</si>
  <si>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</si>
  <si>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</si>
  <si>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</si>
  <si>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</si>
  <si>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</si>
  <si>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</si>
  <si>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</si>
  <si>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</si>
  <si>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</si>
  <si>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</si>
  <si>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</si>
  <si>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</si>
  <si>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</si>
  <si>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</si>
  <si>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</si>
  <si>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</si>
  <si>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</si>
  <si>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</si>
  <si>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</si>
  <si>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</si>
  <si>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</si>
  <si>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</si>
  <si>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</si>
  <si>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</si>
  <si>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</si>
  <si>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</si>
  <si>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</si>
  <si>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</si>
  <si>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</si>
  <si>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</si>
  <si>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</si>
  <si>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</si>
  <si>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</si>
  <si>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</si>
  <si>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</si>
  <si>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</si>
  <si>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</si>
  <si>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</si>
  <si>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</si>
  <si>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</si>
  <si>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</si>
  <si>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</si>
  <si>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</si>
  <si>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</si>
  <si>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</si>
  <si>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</si>
  <si>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</si>
  <si>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</si>
  <si>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</si>
  <si>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</si>
  <si>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</si>
  <si>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</si>
  <si>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</si>
  <si>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</si>
  <si>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</si>
  <si>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</si>
  <si>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</si>
  <si>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</si>
  <si>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</si>
  <si>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</si>
  <si>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</si>
  <si>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</si>
  <si>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</si>
  <si>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</si>
  <si>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</si>
  <si>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</si>
  <si>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</si>
  <si>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</si>
  <si>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</si>
  <si>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</si>
  <si>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</si>
  <si>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</si>
  <si>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</si>
  <si>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</si>
  <si>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</si>
  <si>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</si>
  <si>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</si>
  <si>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</si>
  <si>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</si>
  <si>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</si>
  <si>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</si>
  <si>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</si>
  <si>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</si>
  <si>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</si>
  <si>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</si>
  <si>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</si>
  <si>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</si>
  <si>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</si>
  <si>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</si>
  <si>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</si>
  <si>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</si>
  <si>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</si>
  <si>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</si>
  <si>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</si>
  <si>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</si>
  <si>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</si>
  <si>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</si>
  <si>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</si>
  <si>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</si>
  <si>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</si>
  <si>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</si>
  <si>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</si>
  <si>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</si>
  <si>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</si>
  <si>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</si>
  <si>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</si>
  <si>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</si>
  <si>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</si>
  <si>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</si>
  <si>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</si>
  <si>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</si>
  <si>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</si>
  <si>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</si>
  <si>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</si>
  <si>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</si>
  <si>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</si>
  <si>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</si>
  <si>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</si>
  <si>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</si>
  <si>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</si>
  <si>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</si>
  <si>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</si>
  <si>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</si>
  <si>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</si>
  <si>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</si>
  <si>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</si>
  <si>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</si>
  <si>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</si>
  <si>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</si>
  <si>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</si>
  <si>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</si>
  <si>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</si>
  <si>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</si>
  <si>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</si>
  <si>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</si>
  <si>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</si>
  <si>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</si>
  <si>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</si>
  <si>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</si>
  <si>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</si>
  <si>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</si>
  <si>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</si>
  <si>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</si>
  <si>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</si>
  <si>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</si>
  <si>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</si>
  <si>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</si>
  <si>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</si>
  <si>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</si>
  <si>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</si>
  <si>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</si>
  <si>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</si>
  <si>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</si>
  <si>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</si>
  <si>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</si>
  <si>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</si>
  <si>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</si>
  <si>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</si>
  <si>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</si>
  <si>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</si>
  <si>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</si>
  <si>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</si>
  <si>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</si>
  <si>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</si>
  <si>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</si>
  <si>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</si>
  <si>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</si>
  <si>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</si>
  <si>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</si>
  <si>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</si>
  <si>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</si>
  <si>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</si>
  <si>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</si>
  <si>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</si>
  <si>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</si>
  <si>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</si>
  <si>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</si>
  <si>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</si>
  <si>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</si>
  <si>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</si>
  <si>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</si>
  <si>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</si>
  <si>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</si>
  <si>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</si>
  <si>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</si>
  <si>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</si>
  <si>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</si>
  <si>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</si>
  <si>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</si>
  <si>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</si>
  <si>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</si>
  <si>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</si>
  <si>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</si>
  <si>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</si>
  <si>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</si>
  <si>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</si>
  <si>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</si>
  <si>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</si>
  <si>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</si>
  <si>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</si>
  <si>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</si>
  <si>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</si>
  <si>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</si>
  <si>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</si>
  <si>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</si>
  <si>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</si>
  <si>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</si>
  <si>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</si>
  <si>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</si>
  <si>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</si>
  <si>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</si>
  <si>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</si>
  <si>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</si>
  <si>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</si>
  <si>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</si>
  <si>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</si>
  <si>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</si>
  <si>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</si>
  <si>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</si>
  <si>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</si>
  <si>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</si>
  <si>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</si>
  <si>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</si>
  <si>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</si>
  <si>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</si>
  <si>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</si>
  <si>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</si>
  <si>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</si>
  <si>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</si>
  <si>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</si>
  <si>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</si>
  <si>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</si>
  <si>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</si>
  <si>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</si>
  <si>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</si>
  <si>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</si>
  <si>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</si>
  <si>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</si>
  <si>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</si>
  <si>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</si>
  <si>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</si>
  <si>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</si>
  <si>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</si>
  <si>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</si>
  <si>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</si>
  <si>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</si>
  <si>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</si>
  <si>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</si>
  <si>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</si>
  <si>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</si>
  <si>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</si>
  <si>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</si>
  <si>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</si>
  <si>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</si>
  <si>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</si>
  <si>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</si>
  <si>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</si>
  <si>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</si>
  <si>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</si>
  <si>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</si>
  <si>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</si>
  <si>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</si>
  <si>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</si>
  <si>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</si>
  <si>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</si>
  <si>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</si>
  <si>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</si>
  <si>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</si>
  <si>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</si>
  <si>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</si>
  <si>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</si>
  <si>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</si>
  <si>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</si>
  <si>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</si>
  <si>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</si>
  <si>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</si>
  <si>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</si>
  <si>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</si>
  <si>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</si>
  <si>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</si>
  <si>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</si>
  <si>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</si>
  <si>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</si>
  <si>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</si>
  <si>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</si>
  <si>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</si>
  <si>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</si>
  <si>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</si>
  <si>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</si>
  <si>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</si>
  <si>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</si>
  <si>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</si>
  <si>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</si>
  <si>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</si>
  <si>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</si>
  <si>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</si>
  <si>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</si>
  <si>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</si>
  <si>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</si>
  <si>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</si>
  <si>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</si>
  <si>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</si>
  <si>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</si>
  <si>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</si>
  <si>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</si>
  <si>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</si>
  <si>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</si>
  <si>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</si>
  <si>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</si>
  <si>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</si>
  <si>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</si>
  <si>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</si>
  <si>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</si>
  <si>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</si>
  <si>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</si>
  <si>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</si>
  <si>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</si>
  <si>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</si>
  <si>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</si>
  <si>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</si>
  <si>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</si>
  <si>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</si>
  <si>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</si>
  <si>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</si>
  <si>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</si>
  <si>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</si>
  <si>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</si>
  <si>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</si>
  <si>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</si>
  <si>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</si>
  <si>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</si>
  <si>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</si>
  <si>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</si>
  <si>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</si>
  <si>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</si>
  <si>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</si>
  <si>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</si>
  <si>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</si>
  <si>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</si>
  <si>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</si>
  <si>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</si>
  <si>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</si>
  <si>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</si>
  <si>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</si>
  <si>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</si>
  <si>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</si>
  <si>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</si>
  <si>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</si>
  <si>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</si>
  <si>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</si>
  <si>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</si>
  <si>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</si>
  <si>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</si>
  <si>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</si>
  <si>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</si>
  <si>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</si>
  <si>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</si>
  <si>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</si>
  <si>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</si>
  <si>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</si>
  <si>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</si>
  <si>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</si>
  <si>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</si>
  <si>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</si>
  <si>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</si>
  <si>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</si>
  <si>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</si>
  <si>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</si>
  <si>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</si>
  <si>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</si>
  <si>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</si>
  <si>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</si>
  <si>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</si>
  <si>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</si>
  <si>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</si>
  <si>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</si>
  <si>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</si>
  <si>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</si>
  <si>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</si>
  <si>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</si>
  <si>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</si>
  <si>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</si>
  <si>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</si>
  <si>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</si>
  <si>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</si>
  <si>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</si>
  <si>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</si>
  <si>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</si>
  <si>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</si>
  <si>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</si>
  <si>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</si>
  <si>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</si>
  <si>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</si>
  <si>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</si>
  <si>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</si>
  <si>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</si>
  <si>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</si>
  <si>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</si>
  <si>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</si>
  <si>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</si>
  <si>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</si>
  <si>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</si>
  <si>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</si>
  <si>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</si>
  <si>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</si>
  <si>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</si>
  <si>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</si>
  <si>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</si>
  <si>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</si>
  <si>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</si>
  <si>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</si>
  <si>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</si>
  <si>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</si>
  <si>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</si>
  <si>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</si>
  <si>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</si>
  <si>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</si>
  <si>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</si>
  <si>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</si>
  <si>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</si>
  <si>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</si>
  <si>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</si>
  <si>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</si>
  <si>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</si>
  <si>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</si>
  <si>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</si>
  <si>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</si>
  <si>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</si>
  <si>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</si>
  <si>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</si>
  <si>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</si>
  <si>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</si>
  <si>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</si>
  <si>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</si>
  <si>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</si>
  <si>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</si>
  <si>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</si>
  <si>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</si>
  <si>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</si>
  <si>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</si>
  <si>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</si>
  <si>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</si>
  <si>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</si>
  <si>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</si>
  <si>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</si>
  <si>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</si>
  <si>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</si>
  <si>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</si>
  <si>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</si>
  <si>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</si>
  <si>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</si>
  <si>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</si>
  <si>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</si>
  <si>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</si>
  <si>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</si>
  <si>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</si>
  <si>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</si>
  <si>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</si>
  <si>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</si>
  <si>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</si>
  <si>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</si>
  <si>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</si>
  <si>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</si>
  <si>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</si>
  <si>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</si>
  <si>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</si>
  <si>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</si>
  <si>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</si>
  <si>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</si>
  <si>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</si>
  <si>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</si>
  <si>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</si>
  <si>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</si>
  <si>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</si>
  <si>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</si>
  <si>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</si>
  <si>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</si>
  <si>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</si>
  <si>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</si>
  <si>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</si>
  <si>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</si>
  <si>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</si>
  <si>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</si>
  <si>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</si>
  <si>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</si>
  <si>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</si>
  <si>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</si>
  <si>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</si>
  <si>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</si>
  <si>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</si>
  <si>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</si>
  <si>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</si>
  <si>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</si>
  <si>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</si>
  <si>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</si>
  <si>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</si>
  <si>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</si>
  <si>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</si>
  <si>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</si>
  <si>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</si>
  <si>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</si>
  <si>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</si>
  <si>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</si>
  <si>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</si>
  <si>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</si>
  <si>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</si>
  <si>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</si>
  <si>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</si>
  <si>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</si>
  <si>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</si>
  <si>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</si>
  <si>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</si>
  <si>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</si>
  <si>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</si>
  <si>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</si>
  <si>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</si>
  <si>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</si>
  <si>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</si>
  <si>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</si>
  <si>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</si>
  <si>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</si>
  <si>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</si>
  <si>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</si>
  <si>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</si>
  <si>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</si>
  <si>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</si>
  <si>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</si>
  <si>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</si>
  <si>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</si>
  <si>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</si>
  <si>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</si>
  <si>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</si>
  <si>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</si>
  <si>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</si>
  <si>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</si>
  <si>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</si>
  <si>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</si>
  <si>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</si>
  <si>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</si>
  <si>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</si>
  <si>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</si>
  <si>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</si>
  <si>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</si>
  <si>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</si>
  <si>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</si>
  <si>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</si>
  <si>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</si>
  <si>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</si>
  <si>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</si>
  <si>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</si>
  <si>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</si>
  <si>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</si>
  <si>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</si>
  <si>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</si>
  <si>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</si>
  <si>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</si>
  <si>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</si>
  <si>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</si>
  <si>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</si>
  <si>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</si>
  <si>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</si>
  <si>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</si>
  <si>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</si>
  <si>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</si>
  <si>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</si>
  <si>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</si>
  <si>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</si>
  <si>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</si>
  <si>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</si>
  <si>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</si>
  <si>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</si>
  <si>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</si>
  <si>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</si>
  <si>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</si>
  <si>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</si>
  <si>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</si>
  <si>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</si>
  <si>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</si>
  <si>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</si>
  <si>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</si>
  <si>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</si>
  <si>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</si>
  <si>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</si>
  <si>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</si>
  <si>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</si>
  <si>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</si>
  <si>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</si>
  <si>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</si>
  <si>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</si>
  <si>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</si>
  <si>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</si>
  <si>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</si>
  <si>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</si>
  <si>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</si>
  <si>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</si>
  <si>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</si>
  <si>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</si>
  <si>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</si>
  <si>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</si>
  <si>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</si>
  <si>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</si>
  <si>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</si>
  <si>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</si>
  <si>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</si>
  <si>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</si>
  <si>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</si>
  <si>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</si>
  <si>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</si>
  <si>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</si>
  <si>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</si>
  <si>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</si>
  <si>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</si>
  <si>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</si>
  <si>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</si>
  <si>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</si>
  <si>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</si>
  <si>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92-001-</t>
  </si>
  <si>
    <t>100-CTW020-CA003-BK</t>
  </si>
  <si>
    <t>100-CTW020-CA010-BK</t>
  </si>
  <si>
    <t>100-CTW020-CA012-BK</t>
  </si>
  <si>
    <t>100-CTW020-CA013-BK</t>
  </si>
  <si>
    <t>100-CTW020-CA027-BK</t>
  </si>
  <si>
    <t>100-CTW020-CA030-BK</t>
  </si>
  <si>
    <t>100-CTW020-MI001-BK</t>
  </si>
  <si>
    <t>100-CTW020-NY003-BK</t>
  </si>
  <si>
    <t>100-CTW020-NY019-BK</t>
  </si>
  <si>
    <t>100-CTW020-NY022-BK</t>
  </si>
  <si>
    <t>100-CTW020-NY031-BK</t>
  </si>
  <si>
    <t>100-CTW020-NY068-BK</t>
  </si>
  <si>
    <t>100-CTW020-PA003-BK</t>
  </si>
  <si>
    <t>100-MWL001-CA005-BK</t>
  </si>
  <si>
    <t>100-MWL001-NY015-BK</t>
  </si>
  <si>
    <t>100-MWL001-NY022-BK</t>
  </si>
  <si>
    <t>100-MWL001-NY076-BK</t>
  </si>
  <si>
    <t>100-MWL003-PA013-NY</t>
  </si>
  <si>
    <t>100-MWL005-CA069-BK</t>
  </si>
  <si>
    <t>100-MWL005-CA069-BKA</t>
  </si>
  <si>
    <t>100-MWL005-CA087-BK</t>
  </si>
  <si>
    <t>100-MWL005-CO005-MN</t>
  </si>
  <si>
    <t>100-MWL005-GA003-HW</t>
  </si>
  <si>
    <t>100-MWL005-IL011-BK</t>
  </si>
  <si>
    <t>100-MWL005-IL011-BKA</t>
  </si>
  <si>
    <t>100-MWL005-MD007-BK</t>
  </si>
  <si>
    <t>100-MWL005-MI010-NY</t>
  </si>
  <si>
    <t>100-MWL005-NV001-BKA</t>
  </si>
  <si>
    <t>100-MWL005-NY020-HW</t>
  </si>
  <si>
    <t>100-MWL005-NY066-AT</t>
  </si>
  <si>
    <t>100-MWL005-NY066-NY</t>
  </si>
  <si>
    <t>100-MWL005-NY066-RL</t>
  </si>
  <si>
    <t>100-MWL005-TX005-HW</t>
  </si>
  <si>
    <t>100-MWL005-WA004-AT</t>
  </si>
  <si>
    <t>100-MWL025-CA006-FT</t>
  </si>
  <si>
    <t>100-MWL025-CA012-HW</t>
  </si>
  <si>
    <t>100-MWL025-CA016-BK</t>
  </si>
  <si>
    <t>100-MWL025-NY018-BK</t>
  </si>
  <si>
    <t>100-MWL025-NY027-FT</t>
  </si>
  <si>
    <t>103-SWC001-CA001-KH</t>
  </si>
  <si>
    <t>103-SWC001-CA002-KH</t>
  </si>
  <si>
    <t>103-SWC001-CA007-GY</t>
  </si>
  <si>
    <t>103-SWC001-CA008-MC</t>
  </si>
  <si>
    <t>103-SWC001-NY001-KH</t>
  </si>
  <si>
    <t>103-SWC001-NY015-BK</t>
  </si>
  <si>
    <t>103-SWC001-NY022-GY</t>
  </si>
  <si>
    <t>103-SWC001-NY037-BD</t>
  </si>
  <si>
    <t>103-SWC001-UT002-MC</t>
  </si>
  <si>
    <t>103-SWC002-NY020-BK</t>
  </si>
  <si>
    <t>103-SWC003-CA047-ST</t>
  </si>
  <si>
    <t>BEVERLY HILLS TONAL INTERLOCK</t>
  </si>
  <si>
    <t>BEL AIR TONAL INTERLOCK</t>
  </si>
  <si>
    <t>COMPTON TONAL INTERLOCK</t>
  </si>
  <si>
    <t>SOUTH CENTRAL TONAL INTERLOCK</t>
  </si>
  <si>
    <t>CHAVEZ RAVINE TONAL INTERLOCK</t>
  </si>
  <si>
    <t>LONG BEACH TONAL INTERLOCK</t>
  </si>
  <si>
    <t>8 MILE TONAL INTERLOCK</t>
  </si>
  <si>
    <t>BED STUY TONAL INTERLOCK</t>
  </si>
  <si>
    <t>HARLEM TONAL INTERLOCK</t>
  </si>
  <si>
    <t>HELL'S KITCHEN TONAL INTERLOCK</t>
  </si>
  <si>
    <t>PARK HILL TONAL INTERLOCK</t>
  </si>
  <si>
    <t>CONEY ISLAND TONAL INTERLOCK</t>
  </si>
  <si>
    <t>LOVE PARK TONAL INTERLOCK</t>
  </si>
  <si>
    <t>Hidden Hills, CA</t>
  </si>
  <si>
    <t>Marcy, NY</t>
  </si>
  <si>
    <t>Hell's Kitchen II</t>
  </si>
  <si>
    <t>Kings County</t>
  </si>
  <si>
    <t>HAPPY VALLEY Zombie Nation</t>
  </si>
  <si>
    <t>Los Angeles VIII</t>
  </si>
  <si>
    <t>Los Angeles X</t>
  </si>
  <si>
    <t>San Francisco II</t>
  </si>
  <si>
    <t>Colorado II</t>
  </si>
  <si>
    <t>Atlanta III</t>
  </si>
  <si>
    <t>Chicago IV</t>
  </si>
  <si>
    <t>Chicago VII</t>
  </si>
  <si>
    <t>Baltimore</t>
  </si>
  <si>
    <t>Detroit III</t>
  </si>
  <si>
    <t>Las Vegas IV</t>
  </si>
  <si>
    <t>Brooklyn II</t>
  </si>
  <si>
    <t>New York IX</t>
  </si>
  <si>
    <t>New York VII</t>
  </si>
  <si>
    <t>New York III</t>
  </si>
  <si>
    <t>Dallas III</t>
  </si>
  <si>
    <t>Washington IV</t>
  </si>
  <si>
    <t>VENICE TONAL 3D</t>
  </si>
  <si>
    <t>COMPTON TONAL 3D</t>
  </si>
  <si>
    <t>KOREATOWN TONAL 3D</t>
  </si>
  <si>
    <t>BRONX TONAL 3D</t>
  </si>
  <si>
    <t>QUEENS TONAL 3D</t>
  </si>
  <si>
    <t>Brentwood Cord</t>
  </si>
  <si>
    <t>Westwood Cord</t>
  </si>
  <si>
    <t>Fairfax Cord</t>
  </si>
  <si>
    <t>Malibu Cord II</t>
  </si>
  <si>
    <t>Flatbush Cord</t>
  </si>
  <si>
    <t>Marcy Cord</t>
  </si>
  <si>
    <t>Hell's Kitchen Cord</t>
  </si>
  <si>
    <t>Queensbridge Cord</t>
  </si>
  <si>
    <t>Deer Valley Cord</t>
  </si>
  <si>
    <t>Brooklyn Cord</t>
  </si>
  <si>
    <t>Jack Murphy Cord</t>
  </si>
  <si>
    <t>BLACK</t>
  </si>
  <si>
    <t>Maroon</t>
  </si>
  <si>
    <t>Highway</t>
  </si>
  <si>
    <t>Royal</t>
  </si>
  <si>
    <t>Atlantic</t>
  </si>
  <si>
    <t>FRESH TAR</t>
  </si>
  <si>
    <t>HIGHWAY</t>
  </si>
  <si>
    <t>Khaki</t>
  </si>
  <si>
    <t>Mocha</t>
  </si>
  <si>
    <t>Bud</t>
  </si>
  <si>
    <t>Stout</t>
  </si>
  <si>
    <t>Hood</t>
  </si>
  <si>
    <t>100% хлопок</t>
  </si>
  <si>
    <t>100% шерсть мериноса</t>
  </si>
  <si>
    <t>HOOD</t>
  </si>
  <si>
    <t>HOOD HAT, LLC, 15332 Antioch st., #211 Pacific Palisades, CA 90272, USA</t>
  </si>
  <si>
    <t>92-002-</t>
  </si>
  <si>
    <t>92-003-</t>
  </si>
  <si>
    <t>92-004-</t>
  </si>
  <si>
    <t>92-005-</t>
  </si>
  <si>
    <t>92-006-</t>
  </si>
  <si>
    <t>92-007-</t>
  </si>
  <si>
    <t>92-008-</t>
  </si>
  <si>
    <t>92-009-</t>
  </si>
  <si>
    <t>92-010-</t>
  </si>
  <si>
    <t>92-011-</t>
  </si>
  <si>
    <t>92-012-</t>
  </si>
  <si>
    <t>92-013-</t>
  </si>
  <si>
    <t>92-014-</t>
  </si>
  <si>
    <t>92-015-</t>
  </si>
  <si>
    <t>92-016-</t>
  </si>
  <si>
    <t>92-017-</t>
  </si>
  <si>
    <t>92-018-</t>
  </si>
  <si>
    <t>92-019-</t>
  </si>
  <si>
    <t>92-020-</t>
  </si>
  <si>
    <t>92-021-</t>
  </si>
  <si>
    <t>92-022-</t>
  </si>
  <si>
    <t>92-023-</t>
  </si>
  <si>
    <t>92-024-</t>
  </si>
  <si>
    <t>92-025-</t>
  </si>
  <si>
    <t>92-026-</t>
  </si>
  <si>
    <t>92-027-</t>
  </si>
  <si>
    <t>92-028-</t>
  </si>
  <si>
    <t>92-029-</t>
  </si>
  <si>
    <t>92-030-</t>
  </si>
  <si>
    <t>92-031-</t>
  </si>
  <si>
    <t>92-032-</t>
  </si>
  <si>
    <t>92-033-</t>
  </si>
  <si>
    <t>92-034-</t>
  </si>
  <si>
    <t>92-035-</t>
  </si>
  <si>
    <t>92-036-</t>
  </si>
  <si>
    <t>92-037-</t>
  </si>
  <si>
    <t>92-038-</t>
  </si>
  <si>
    <t>92-039-</t>
  </si>
  <si>
    <t>92-040-</t>
  </si>
  <si>
    <t>92-041-</t>
  </si>
  <si>
    <t>92-042-</t>
  </si>
  <si>
    <t>92-043-</t>
  </si>
  <si>
    <t>92-044-</t>
  </si>
  <si>
    <t>92-045-</t>
  </si>
  <si>
    <t>92-046-</t>
  </si>
  <si>
    <t>92-047-</t>
  </si>
  <si>
    <t>92-048-</t>
  </si>
  <si>
    <t>92-049-</t>
  </si>
  <si>
    <t>92-050-</t>
  </si>
  <si>
    <t xml:space="preserve"> HOOD 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</si>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</sst>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8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9" Type="http://schemas.openxmlformats.org/officeDocument/2006/relationships/image" Target="../media/image39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50" Type="http://schemas.openxmlformats.org/officeDocument/2006/relationships/image" Target="../media/image50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9" Type="http://schemas.openxmlformats.org/officeDocument/2006/relationships/image" Target="../media/image29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37" Type="http://schemas.openxmlformats.org/officeDocument/2006/relationships/image" Target="../media/image37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49" Type="http://schemas.openxmlformats.org/officeDocument/2006/relationships/image" Target="../media/image49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4" Type="http://schemas.openxmlformats.org/officeDocument/2006/relationships/image" Target="../media/image44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1" Type="http://schemas.openxmlformats.org/officeDocument/2006/relationships/image" Target="../media/image1.jpg"/><Relationship Id="rId6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552450</xdr:rowOff>
        </xdr:from>
        <xdr:to>
          <xdr:col>57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542925</xdr:rowOff>
        </xdr:from>
        <xdr:to>
          <xdr:col>57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95250</xdr:rowOff>
        </xdr:from>
        <xdr:to>
          <xdr:col>57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95250</xdr:rowOff>
        </xdr:from>
        <xdr:to>
          <xdr:col>57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66675</xdr:colOff>
          <xdr:row>0</xdr:row>
          <xdr:rowOff>314325</xdr:rowOff>
        </xdr:from>
        <xdr:to>
          <xdr:col>57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581025</xdr:colOff>
          <xdr:row>0</xdr:row>
          <xdr:rowOff>38100</xdr:rowOff>
        </xdr:from>
        <xdr:to>
          <xdr:col>32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2238375</xdr:colOff>
          <xdr:row>0</xdr:row>
          <xdr:rowOff>304800</xdr:rowOff>
        </xdr:from>
        <xdr:to>
          <xdr:col>57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542925</xdr:rowOff>
        </xdr:from>
        <xdr:to>
          <xdr:col>57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95250</xdr:rowOff>
        </xdr:from>
        <xdr:to>
          <xdr:col>57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4219575</xdr:colOff>
          <xdr:row>0</xdr:row>
          <xdr:rowOff>304800</xdr:rowOff>
        </xdr:from>
        <xdr:to>
          <xdr:col>57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58371</xdr:rowOff>
    </xdr:from>
    <xdr:to>
      <xdr:col>8</xdr:col>
      <xdr:colOff>1889125</xdr:colOff>
      <xdr:row>2</xdr:row>
      <xdr:rowOff>1179879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87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58371</xdr:rowOff>
    </xdr:from>
    <xdr:to>
      <xdr:col>8</xdr:col>
      <xdr:colOff>1889125</xdr:colOff>
      <xdr:row>3</xdr:row>
      <xdr:rowOff>1179879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25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58371</xdr:rowOff>
    </xdr:from>
    <xdr:to>
      <xdr:col>8</xdr:col>
      <xdr:colOff>1889125</xdr:colOff>
      <xdr:row>4</xdr:row>
      <xdr:rowOff>1179879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63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58371</xdr:rowOff>
    </xdr:from>
    <xdr:to>
      <xdr:col>8</xdr:col>
      <xdr:colOff>1889125</xdr:colOff>
      <xdr:row>5</xdr:row>
      <xdr:rowOff>1179879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01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58371</xdr:rowOff>
    </xdr:from>
    <xdr:to>
      <xdr:col>8</xdr:col>
      <xdr:colOff>1889125</xdr:colOff>
      <xdr:row>6</xdr:row>
      <xdr:rowOff>1179879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840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58371</xdr:rowOff>
    </xdr:from>
    <xdr:to>
      <xdr:col>8</xdr:col>
      <xdr:colOff>1889125</xdr:colOff>
      <xdr:row>7</xdr:row>
      <xdr:rowOff>1179879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78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58371</xdr:rowOff>
    </xdr:from>
    <xdr:to>
      <xdr:col>8</xdr:col>
      <xdr:colOff>1889125</xdr:colOff>
      <xdr:row>8</xdr:row>
      <xdr:rowOff>1179879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165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58371</xdr:rowOff>
    </xdr:from>
    <xdr:to>
      <xdr:col>8</xdr:col>
      <xdr:colOff>1889125</xdr:colOff>
      <xdr:row>9</xdr:row>
      <xdr:rowOff>1179879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547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58371</xdr:rowOff>
    </xdr:from>
    <xdr:to>
      <xdr:col>8</xdr:col>
      <xdr:colOff>1889125</xdr:colOff>
      <xdr:row>10</xdr:row>
      <xdr:rowOff>1179879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79304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58371</xdr:rowOff>
    </xdr:from>
    <xdr:to>
      <xdr:col>8</xdr:col>
      <xdr:colOff>1889125</xdr:colOff>
      <xdr:row>11</xdr:row>
      <xdr:rowOff>1179879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31296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58372</xdr:rowOff>
    </xdr:from>
    <xdr:to>
      <xdr:col>8</xdr:col>
      <xdr:colOff>1889125</xdr:colOff>
      <xdr:row>12</xdr:row>
      <xdr:rowOff>1179880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69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58372</xdr:rowOff>
    </xdr:from>
    <xdr:to>
      <xdr:col>8</xdr:col>
      <xdr:colOff>1889125</xdr:colOff>
      <xdr:row>13</xdr:row>
      <xdr:rowOff>1179880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7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58372</xdr:rowOff>
    </xdr:from>
    <xdr:to>
      <xdr:col>8</xdr:col>
      <xdr:colOff>1889125</xdr:colOff>
      <xdr:row>14</xdr:row>
      <xdr:rowOff>1179880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46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58372</xdr:rowOff>
    </xdr:from>
    <xdr:to>
      <xdr:col>8</xdr:col>
      <xdr:colOff>1889125</xdr:colOff>
      <xdr:row>15</xdr:row>
      <xdr:rowOff>1179880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984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58372</xdr:rowOff>
    </xdr:from>
    <xdr:to>
      <xdr:col>8</xdr:col>
      <xdr:colOff>1889125</xdr:colOff>
      <xdr:row>16</xdr:row>
      <xdr:rowOff>1179880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222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58372</xdr:rowOff>
    </xdr:from>
    <xdr:to>
      <xdr:col>8</xdr:col>
      <xdr:colOff>1889125</xdr:colOff>
      <xdr:row>17</xdr:row>
      <xdr:rowOff>1179880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460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58372</xdr:rowOff>
    </xdr:from>
    <xdr:to>
      <xdr:col>8</xdr:col>
      <xdr:colOff>1889125</xdr:colOff>
      <xdr:row>18</xdr:row>
      <xdr:rowOff>1179880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699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26459</xdr:rowOff>
    </xdr:from>
    <xdr:to>
      <xdr:col>8</xdr:col>
      <xdr:colOff>1889125</xdr:colOff>
      <xdr:row>19</xdr:row>
      <xdr:rowOff>1211792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0538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26459</xdr:rowOff>
    </xdr:from>
    <xdr:to>
      <xdr:col>8</xdr:col>
      <xdr:colOff>1889125</xdr:colOff>
      <xdr:row>20</xdr:row>
      <xdr:rowOff>1211792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1436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40570</xdr:rowOff>
    </xdr:from>
    <xdr:to>
      <xdr:col>8</xdr:col>
      <xdr:colOff>1889125</xdr:colOff>
      <xdr:row>21</xdr:row>
      <xdr:rowOff>1197681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4541801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26459</xdr:rowOff>
    </xdr:from>
    <xdr:to>
      <xdr:col>8</xdr:col>
      <xdr:colOff>1889125</xdr:colOff>
      <xdr:row>22</xdr:row>
      <xdr:rowOff>1211792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2013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26457</xdr:rowOff>
    </xdr:from>
    <xdr:to>
      <xdr:col>8</xdr:col>
      <xdr:colOff>1889125</xdr:colOff>
      <xdr:row>23</xdr:row>
      <xdr:rowOff>1211790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701884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26457</xdr:rowOff>
    </xdr:from>
    <xdr:to>
      <xdr:col>8</xdr:col>
      <xdr:colOff>1889125</xdr:colOff>
      <xdr:row>24</xdr:row>
      <xdr:rowOff>1211790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28264419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26457</xdr:rowOff>
    </xdr:from>
    <xdr:to>
      <xdr:col>8</xdr:col>
      <xdr:colOff>1889125</xdr:colOff>
      <xdr:row>25</xdr:row>
      <xdr:rowOff>1211790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334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26457</xdr:rowOff>
    </xdr:from>
    <xdr:to>
      <xdr:col>8</xdr:col>
      <xdr:colOff>1889125</xdr:colOff>
      <xdr:row>26</xdr:row>
      <xdr:rowOff>1211790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0573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26457</xdr:rowOff>
    </xdr:from>
    <xdr:to>
      <xdr:col>8</xdr:col>
      <xdr:colOff>1889125</xdr:colOff>
      <xdr:row>27</xdr:row>
      <xdr:rowOff>1211790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811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26457</xdr:rowOff>
    </xdr:from>
    <xdr:to>
      <xdr:col>8</xdr:col>
      <xdr:colOff>1889125</xdr:colOff>
      <xdr:row>28</xdr:row>
      <xdr:rowOff>1211790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30496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26457</xdr:rowOff>
    </xdr:from>
    <xdr:to>
      <xdr:col>8</xdr:col>
      <xdr:colOff>1889125</xdr:colOff>
      <xdr:row>29</xdr:row>
      <xdr:rowOff>1211790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287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26457</xdr:rowOff>
    </xdr:from>
    <xdr:to>
      <xdr:col>8</xdr:col>
      <xdr:colOff>1889125</xdr:colOff>
      <xdr:row>30</xdr:row>
      <xdr:rowOff>1211790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526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26457</xdr:rowOff>
    </xdr:from>
    <xdr:to>
      <xdr:col>8</xdr:col>
      <xdr:colOff>1889125</xdr:colOff>
      <xdr:row>33</xdr:row>
      <xdr:rowOff>1211790</xdr:rowOff>
    </xdr:to>
    <xdr:pic>
      <xdr:nvPicPr>
        <xdr:cNvPr id="1627" name="Рисунок 1626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2408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26457</xdr:rowOff>
    </xdr:from>
    <xdr:to>
      <xdr:col>8</xdr:col>
      <xdr:colOff>1889125</xdr:colOff>
      <xdr:row>34</xdr:row>
      <xdr:rowOff>1211790</xdr:rowOff>
    </xdr:to>
    <xdr:pic>
      <xdr:nvPicPr>
        <xdr:cNvPr id="1629" name="Рисунок 1628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47913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26457</xdr:rowOff>
    </xdr:from>
    <xdr:to>
      <xdr:col>8</xdr:col>
      <xdr:colOff>1889125</xdr:colOff>
      <xdr:row>35</xdr:row>
      <xdr:rowOff>1211790</xdr:rowOff>
    </xdr:to>
    <xdr:pic>
      <xdr:nvPicPr>
        <xdr:cNvPr id="1631" name="Рисунок 1630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717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58372</xdr:rowOff>
    </xdr:from>
    <xdr:to>
      <xdr:col>8</xdr:col>
      <xdr:colOff>1889125</xdr:colOff>
      <xdr:row>36</xdr:row>
      <xdr:rowOff>1179880</xdr:rowOff>
    </xdr:to>
    <xdr:pic>
      <xdr:nvPicPr>
        <xdr:cNvPr id="1633" name="Рисунок 1632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432432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58372</xdr:rowOff>
    </xdr:from>
    <xdr:to>
      <xdr:col>8</xdr:col>
      <xdr:colOff>1889125</xdr:colOff>
      <xdr:row>37</xdr:row>
      <xdr:rowOff>1179880</xdr:rowOff>
    </xdr:to>
    <xdr:pic>
      <xdr:nvPicPr>
        <xdr:cNvPr id="1635" name="Рисунок 1634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4225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58372</xdr:rowOff>
    </xdr:from>
    <xdr:to>
      <xdr:col>8</xdr:col>
      <xdr:colOff>1889125</xdr:colOff>
      <xdr:row>38</xdr:row>
      <xdr:rowOff>1179880</xdr:rowOff>
    </xdr:to>
    <xdr:pic>
      <xdr:nvPicPr>
        <xdr:cNvPr id="1637" name="Рисунок 1636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464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58372</xdr:rowOff>
    </xdr:from>
    <xdr:to>
      <xdr:col>8</xdr:col>
      <xdr:colOff>1889125</xdr:colOff>
      <xdr:row>39</xdr:row>
      <xdr:rowOff>1179880</xdr:rowOff>
    </xdr:to>
    <xdr:pic>
      <xdr:nvPicPr>
        <xdr:cNvPr id="1639" name="Рисунок 1638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702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58372</xdr:rowOff>
    </xdr:from>
    <xdr:to>
      <xdr:col>8</xdr:col>
      <xdr:colOff>1889125</xdr:colOff>
      <xdr:row>40</xdr:row>
      <xdr:rowOff>1179880</xdr:rowOff>
    </xdr:to>
    <xdr:pic>
      <xdr:nvPicPr>
        <xdr:cNvPr id="1641" name="Рисунок 1640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79405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58372</xdr:rowOff>
    </xdr:from>
    <xdr:to>
      <xdr:col>8</xdr:col>
      <xdr:colOff>1889125</xdr:colOff>
      <xdr:row>41</xdr:row>
      <xdr:rowOff>1179880</xdr:rowOff>
    </xdr:to>
    <xdr:pic>
      <xdr:nvPicPr>
        <xdr:cNvPr id="1643" name="Рисунок 1642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1787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58372</xdr:rowOff>
    </xdr:from>
    <xdr:to>
      <xdr:col>8</xdr:col>
      <xdr:colOff>1889125</xdr:colOff>
      <xdr:row>42</xdr:row>
      <xdr:rowOff>1179880</xdr:rowOff>
    </xdr:to>
    <xdr:pic>
      <xdr:nvPicPr>
        <xdr:cNvPr id="1645" name="Рисунок 1644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0716718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58372</xdr:rowOff>
    </xdr:from>
    <xdr:to>
      <xdr:col>8</xdr:col>
      <xdr:colOff>1889125</xdr:colOff>
      <xdr:row>43</xdr:row>
      <xdr:rowOff>1179880</xdr:rowOff>
    </xdr:to>
    <xdr:pic>
      <xdr:nvPicPr>
        <xdr:cNvPr id="1647" name="Рисунок 1646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655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58372</xdr:rowOff>
    </xdr:from>
    <xdr:to>
      <xdr:col>8</xdr:col>
      <xdr:colOff>1889125</xdr:colOff>
      <xdr:row>44</xdr:row>
      <xdr:rowOff>1179880</xdr:rowOff>
    </xdr:to>
    <xdr:pic>
      <xdr:nvPicPr>
        <xdr:cNvPr id="1649" name="Рисунок 1648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3207872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58372</xdr:rowOff>
    </xdr:from>
    <xdr:to>
      <xdr:col>8</xdr:col>
      <xdr:colOff>1889125</xdr:colOff>
      <xdr:row>45</xdr:row>
      <xdr:rowOff>1179880</xdr:rowOff>
    </xdr:to>
    <xdr:pic>
      <xdr:nvPicPr>
        <xdr:cNvPr id="1651" name="Рисунок 1650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4453449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58372</xdr:rowOff>
    </xdr:from>
    <xdr:to>
      <xdr:col>8</xdr:col>
      <xdr:colOff>1889125</xdr:colOff>
      <xdr:row>46</xdr:row>
      <xdr:rowOff>1179880</xdr:rowOff>
    </xdr:to>
    <xdr:pic>
      <xdr:nvPicPr>
        <xdr:cNvPr id="1653" name="Рисунок 1652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70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58372</xdr:rowOff>
    </xdr:from>
    <xdr:to>
      <xdr:col>8</xdr:col>
      <xdr:colOff>1889125</xdr:colOff>
      <xdr:row>47</xdr:row>
      <xdr:rowOff>1179880</xdr:rowOff>
    </xdr:to>
    <xdr:pic>
      <xdr:nvPicPr>
        <xdr:cNvPr id="1655" name="Рисунок 1654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60829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58372</xdr:rowOff>
    </xdr:from>
    <xdr:to>
      <xdr:col>8</xdr:col>
      <xdr:colOff>1889125</xdr:colOff>
      <xdr:row>48</xdr:row>
      <xdr:rowOff>1179880</xdr:rowOff>
    </xdr:to>
    <xdr:pic>
      <xdr:nvPicPr>
        <xdr:cNvPr id="1657" name="Рисунок 1656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819018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58372</xdr:rowOff>
    </xdr:from>
    <xdr:to>
      <xdr:col>8</xdr:col>
      <xdr:colOff>1889125</xdr:colOff>
      <xdr:row>49</xdr:row>
      <xdr:rowOff>1179880</xdr:rowOff>
    </xdr:to>
    <xdr:pic>
      <xdr:nvPicPr>
        <xdr:cNvPr id="1659" name="Рисунок 1658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5943575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58372</xdr:rowOff>
    </xdr:from>
    <xdr:to>
      <xdr:col>8</xdr:col>
      <xdr:colOff>1889125</xdr:colOff>
      <xdr:row>50</xdr:row>
      <xdr:rowOff>1179880</xdr:rowOff>
    </xdr:to>
    <xdr:pic>
      <xdr:nvPicPr>
        <xdr:cNvPr id="1661" name="Рисунок 1660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323047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58372</xdr:rowOff>
    </xdr:from>
    <xdr:to>
      <xdr:col>8</xdr:col>
      <xdr:colOff>1889125</xdr:colOff>
      <xdr:row>51</xdr:row>
      <xdr:rowOff>1179880</xdr:rowOff>
    </xdr:to>
    <xdr:pic>
      <xdr:nvPicPr>
        <xdr:cNvPr id="1663" name="Рисунок 1662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61926910"/>
          <a:ext cx="1778000" cy="11215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26457</xdr:rowOff>
    </xdr:from>
    <xdr:to>
      <xdr:col>8</xdr:col>
      <xdr:colOff>1889125</xdr:colOff>
      <xdr:row>31</xdr:row>
      <xdr:rowOff>1211790</xdr:rowOff>
    </xdr:to>
    <xdr:pic>
      <xdr:nvPicPr>
        <xdr:cNvPr id="1665" name="Рисунок 1664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6764382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26457</xdr:rowOff>
    </xdr:from>
    <xdr:to>
      <xdr:col>8</xdr:col>
      <xdr:colOff>1889125</xdr:colOff>
      <xdr:row>32</xdr:row>
      <xdr:rowOff>1211790</xdr:rowOff>
    </xdr:to>
    <xdr:pic>
      <xdr:nvPicPr>
        <xdr:cNvPr id="1667" name="Рисунок 1666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002632"/>
          <a:ext cx="1778000" cy="1185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0</xdr:row>
          <xdr:rowOff>28575</xdr:rowOff>
        </xdr:from>
        <xdr:to>
          <xdr:col>22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971550</xdr:colOff>
          <xdr:row>0</xdr:row>
          <xdr:rowOff>28575</xdr:rowOff>
        </xdr:from>
        <xdr:to>
          <xdr:col>22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F154"/>
  <sheetViews>
    <sheetView tabSelected="1" zoomScale="65" zoomScaleNormal="65" workbookViewId="0">
      <pane ySplit="1" topLeftCell="A2" activePane="bottomLeft" state="frozen"/>
      <selection pane="bottomLeft" activeCell="T6" sqref="T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0" style="58" customWidth="1"/>
    <col min="10" max="10" width="9" style="44"/>
    <col min="11" max="11" width="9" style="104"/>
    <col min="12" max="13" width="9" style="58"/>
    <col min="14" max="14" width="6.7109375" style="58" customWidth="1"/>
    <col min="15" max="15" width="11.28515625" style="58" customWidth="1"/>
    <col min="16" max="16" width="15.42578125" style="140" bestFit="1" customWidth="1"/>
    <col min="17" max="18" width="9" style="44"/>
    <col min="19" max="19" width="10" style="44" customWidth="1"/>
    <col min="20" max="27" width="9" style="44"/>
    <col min="28" max="28" width="9" style="44" customWidth="1"/>
    <col min="29" max="33" width="9" style="44"/>
    <col min="34" max="34" width="9" style="44" customWidth="1"/>
    <col min="35" max="44" width="9" style="44" hidden="1" customWidth="1"/>
    <col min="45" max="45" width="9" style="59"/>
    <col min="46" max="46" width="9" style="44"/>
    <col min="47" max="48" width="9.7109375" style="43" customWidth="1"/>
    <col min="49" max="49" width="9" style="76" customWidth="1"/>
    <col min="50" max="50" width="9.85546875" style="43" customWidth="1"/>
    <col min="51" max="52" width="10" style="43" customWidth="1"/>
    <col min="53" max="53" width="10.7109375" style="152" bestFit="1" customWidth="1"/>
    <col min="54" max="54" width="16.5703125" style="152" customWidth="1"/>
    <col min="55" max="55" width="9" style="45"/>
    <col min="56" max="56" width="9" style="112"/>
    <col min="57" max="57" width="9" style="45"/>
    <col min="58" max="58" width="95" style="44" customWidth="1"/>
    <col min="59" max="16384" width="9" style="43"/>
  </cols>
  <sheetData>
    <row r="1" spans="1:58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62" t="s">
        <v>1007</v>
      </c>
      <c r="O1" s="62" t="s">
        <v>1008</v>
      </c>
      <c r="P1" s="139" t="s">
        <v>461</v>
      </c>
      <c r="Q1" s="64" t="s">
        <v>480</v>
      </c>
      <c r="R1" s="62" t="s">
        <v>481</v>
      </c>
      <c r="S1" s="62" t="s">
        <v>482</v>
      </c>
      <c r="T1" s="62" t="s">
        <v>483</v>
      </c>
      <c r="U1" s="64" t="s">
        <v>581</v>
      </c>
      <c r="V1" s="64" t="s">
        <v>484</v>
      </c>
      <c r="W1" s="64" t="s">
        <v>485</v>
      </c>
      <c r="X1" s="64" t="s">
        <v>486</v>
      </c>
      <c r="Y1" s="64" t="s">
        <v>487</v>
      </c>
      <c r="Z1" s="64" t="s">
        <v>488</v>
      </c>
      <c r="AA1" s="64" t="s">
        <v>489</v>
      </c>
      <c r="AB1" s="64" t="s">
        <v>490</v>
      </c>
      <c r="AC1" s="64" t="s">
        <v>491</v>
      </c>
      <c r="AD1" s="64" t="s">
        <v>492</v>
      </c>
      <c r="AE1" s="64" t="s">
        <v>493</v>
      </c>
      <c r="AF1" s="64" t="s">
        <v>494</v>
      </c>
      <c r="AG1" s="64" t="s">
        <v>495</v>
      </c>
      <c r="AH1" s="64" t="s">
        <v>496</v>
      </c>
      <c r="AI1" s="143" t="s">
        <v>822</v>
      </c>
      <c r="AJ1" s="143" t="s">
        <v>823</v>
      </c>
      <c r="AK1" s="143" t="s">
        <v>824</v>
      </c>
      <c r="AL1" s="143" t="s">
        <v>825</v>
      </c>
      <c r="AM1" s="143" t="s">
        <v>826</v>
      </c>
      <c r="AN1" s="143" t="s">
        <v>827</v>
      </c>
      <c r="AO1" s="143" t="s">
        <v>828</v>
      </c>
      <c r="AP1" s="143" t="s">
        <v>829</v>
      </c>
      <c r="AQ1" s="143" t="s">
        <v>550</v>
      </c>
      <c r="AR1" s="143" t="s">
        <v>549</v>
      </c>
      <c r="AS1" s="64" t="s">
        <v>467</v>
      </c>
      <c r="AT1" s="68" t="s">
        <v>497</v>
      </c>
      <c r="AU1" s="62" t="s">
        <v>468</v>
      </c>
      <c r="AV1" s="62" t="s">
        <v>469</v>
      </c>
      <c r="AW1" s="74" t="s">
        <v>498</v>
      </c>
      <c r="AX1" s="62" t="s">
        <v>470</v>
      </c>
      <c r="AY1" s="62" t="s">
        <v>471</v>
      </c>
      <c r="AZ1" s="62" t="s">
        <v>472</v>
      </c>
      <c r="BA1" s="148" t="s">
        <v>499</v>
      </c>
      <c r="BB1" s="149" t="s">
        <v>473</v>
      </c>
      <c r="BC1" s="62" t="s">
        <v>500</v>
      </c>
      <c r="BD1" s="41" t="s">
        <v>585</v>
      </c>
      <c r="BE1" s="69" t="s">
        <v>501</v>
      </c>
      <c r="BF1" s="111" t="s">
        <v>558</v>
      </c>
    </row>
    <row r="2" spans="1:58" s="42" customFormat="1" ht="98.1" hidden="1" customHeight="1">
      <c r="A2" s="66" t="str">
        <f t="shared" ref="A2:A52" si="0">IF(C2&amp;K2&lt;&gt;"",C2&amp;K2,"")</f>
        <v/>
      </c>
      <c r="B2" s="45" t="b">
        <f>IF(C2&lt;&gt;"",_xlfn.XLOOKUP(A2,'1C'!A:A,'1C'!B:B,MID(_xlfn.XLOOKUP(C2,'1C'!U:U,'1C'!B:B,"new",0),1,7)&amp;IF(BE2=1,IF(L2&lt;&gt;"",_xlfn.XLOOKUP(L2,Colors!A:A,Colors!B:B,"new",0),"требуется цвет"),""),0))</f>
        <v>0</v>
      </c>
      <c r="C2" s="70"/>
      <c r="D2" s="44" t="str">
        <f>IF(A2&lt;&gt;"",_xlfn.XLOOKUP(C2,'1C'!U:U,'1C'!V:V,"",0),"")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IF(A2&lt;&gt;"",IF(BC2&gt;0,_xlfn.XLOOKUP(A2,'1C'!A:A,'1C'!J:J,"",0),_xlfn.XLOOKUP(C2,'1C'!U:U,'1C'!J:J,"",0)),"")</f>
        <v/>
      </c>
      <c r="G2" s="56" t="str">
        <f>IF(C2&lt;&gt;"",IF(BC2&gt;0,_xlfn.XLOOKUP(A2,'1C'!A:A,'1C'!L:L,"",0),_xlfn.XLOOKUP(C2,'1C'!U:U,'1C'!L:L,"",0)),"")</f>
        <v/>
      </c>
      <c r="H2" s="44" t="b">
        <f>IF(A2&lt;&gt;"",_xlfn.XLOOKUP(A2,'1C'!A:A,'1C'!M:M,_xlfn.XLOOKUP(C2,'1C'!U:U,'1C'!M:M,"",0),0))</f>
        <v>0</v>
      </c>
      <c r="I2" s="90"/>
      <c r="J2" s="65" t="str">
        <f>'1C'!$AH$1</f>
        <v>HOOD</v>
      </c>
      <c r="K2" s="100"/>
      <c r="L2" s="63" t="str">
        <f>IF(K2&lt;&gt;"",IFERROR(VLOOKUP(A2,'1C'!A:V,8,0),IFERROR(VLOOKUP(K2,Colors!D:E,2,0),"")),"")</f>
        <v/>
      </c>
      <c r="M2" s="63" t="str">
        <f>IF(K2&lt;&gt;"",_xlfn.XLOOKUP(A2,'1C'!A:A,'1C'!R:R,"",0),"")</f>
        <v/>
      </c>
      <c r="N2" s="63" t="str">
        <f>IF($A2&lt;&gt;"",_xlfn.XLOOKUP($A2,'1C'!$A:$A,'1C'!S:S,"",0),"")</f>
        <v/>
      </c>
      <c r="O2" s="63" t="str">
        <f>IF($A2&lt;&gt;"",_xlfn.XLOOKUP($A2,'1C'!$A:$A,'1C'!T:T,"",0),"")</f>
        <v/>
      </c>
      <c r="P2" s="141" t="str">
        <f>IF(A2&lt;&gt;"",_xlfn.XLOOKUP(A2,'1C'!A:A,'1C'!I:I,_xlfn.XLOOKUP(C2,'1C'!U:U,'1C'!I:I,"",0),0),"")</f>
        <v/>
      </c>
      <c r="Q2" s="65" t="str">
        <f>IF(D2&lt;&gt;"",IFERROR(IF(VLOOKUP(D2,'1C'!D:D,1,0)&lt;&gt;"",1,0),""),"")</f>
        <v/>
      </c>
      <c r="R2" s="63" t="str">
        <f>IF(A2&lt;&gt;"",_xlfn.XLOOKUP(A2,'1C'!A:A,'1C'!N:N,_xlfn.XLOOKUP(C2,'1C'!U:U,'1C'!N:N,"",0),0),"")</f>
        <v/>
      </c>
      <c r="S2" s="63" t="str">
        <f>IF(R2&lt;&gt;"",IFERROR(VLOOKUP(R2,MaterialsTypes!F:G,2,0),IFERROR(VLOOKUP(P2,MaterialsTypes100,2,0),"")),IFERROR(VLOOKUP(P2,MaterialsTypes100,2,0),""))</f>
        <v/>
      </c>
      <c r="T2" s="58" t="str">
        <f>IF(A2&lt;&gt;"",_xlfn.XLOOKUP(A2,'1C'!A:A,'1C'!K:K,_xlfn.XLOOKUP(C2,'1C'!U:U,'1C'!K:K,"",0),0),"")</f>
        <v/>
      </c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57" t="str">
        <f t="shared" ref="AS2:AS52" si="1">IF(COUNTBLANK(U2:AR2)&lt;24,SUM(U2:AR2),"")</f>
        <v/>
      </c>
      <c r="AT2" s="66" t="str">
        <f>IF(A2&lt;&gt;"",_xlfn.XLOOKUP(_xlfn.XLOOKUP(A2,'1C'!A:A,'1C'!O:O,_xlfn.XLOOKUP(C2,'1C'!U:U,'1C'!O:O,"",0),0),Settings!N:N,Settings!O:O,"",0),"")</f>
        <v/>
      </c>
      <c r="AU2" s="56" t="str">
        <f t="shared" ref="AU2:AU33" ca="1" si="2">IF(AT2&lt;&gt;"",VLOOKUP(AT2,INDIRECT(SUBSTITUTE($J2," ","")&amp;"Manufactures"),3,0),"Требуется код страны")</f>
        <v>Требуется код страны</v>
      </c>
      <c r="AV2" s="56" t="str">
        <f t="shared" ref="AV2:AV33" ca="1" si="3">IF(AT2&lt;&gt;"",VLOOKUP(AT2,INDIRECT(SUBSTITUTE($J2," ","")&amp;"Manufactures"),2,0),"Требуется код страны")</f>
        <v>Требуется код страны</v>
      </c>
      <c r="AW2" s="75">
        <f t="shared" ref="AW2:AW52" si="4">0.05+0.05</f>
        <v>0.1</v>
      </c>
      <c r="AX2" s="56">
        <f t="shared" ref="AX2:AX52" si="5">IF(AW2&lt;&gt;"",AW2*1.5,"Требуется нетто")</f>
        <v>0.15000000000000002</v>
      </c>
      <c r="AY2" s="56" t="str">
        <f t="shared" ref="AY2:AY52" si="6">+IF(AW2&lt;&gt;"",IFERROR(AS2*AW2,"Требуются кол-во и нетто"),"Требуются кол-во и нетто")</f>
        <v>Требуются кол-во и нетто</v>
      </c>
      <c r="AZ2" s="56" t="str">
        <f t="shared" ref="AZ2:AZ52" si="7">IF(AX2&lt;&gt;"",IFERROR(AS2*AX2,"Требуются кол-во и брутто"),"Требуются кол-во и брутто")</f>
        <v>Требуются кол-во и брутто</v>
      </c>
      <c r="BA2" s="150"/>
      <c r="BB2" s="151" t="str">
        <f t="shared" ref="BB2:BB52" si="8">+IF(BA2&lt;&gt;0,IFERROR(AS2*BA2,"Требуются кол-во и цена"),"Требуются кол-во и цена")</f>
        <v>Требуются кол-во и цена</v>
      </c>
      <c r="BC2" s="45" t="str">
        <f>IF(A2&lt;&gt;"",IF(_xlfn.XLOOKUP(A2,'1C'!A:A,'1C'!A:A,0,0)&gt;0,1,0),"")</f>
        <v/>
      </c>
      <c r="BD2" s="105" t="str">
        <f>IF(C2&lt;&gt;"",IF(_xlfn.XLOOKUP(C2,'1C'!U:U,'1C'!U:U,0,0)&gt;0,0,1),"")</f>
        <v/>
      </c>
      <c r="BE2" s="73" t="str">
        <f t="shared" ref="BE2:BE52" si="9">IFERROR(IF(BD2,"-",IFERROR(IF(BC2&gt;0,0,1),"")),"")</f>
        <v/>
      </c>
      <c r="BF2" s="91"/>
    </row>
    <row r="3" spans="1:58" ht="98.1" customHeight="1">
      <c r="A3" s="43" t="str">
        <f t="shared" si="0"/>
        <v>100-CTW020-CA003-BKBLACK</v>
      </c>
      <c r="B3" s="45" t="str">
        <f>IF(C3&lt;&gt;"",_xlfn.XLOOKUP(A3,'1C'!A:A,'1C'!B:B,MID(_xlfn.XLOOKUP(C3,'1C'!U:U,'1C'!B:B,"new",0),1,7)&amp;IF(BE3=1,IF(L3&lt;&gt;"",_xlfn.XLOOKUP(L3,Colors!A:A,Colors!B:B,"new",0),"требуется цвет"),""),0))</f>
        <v>92-001-09</v>
      </c>
      <c r="C3" s="61" t="s">
        <v>836</v>
      </c>
      <c r="D3" s="43" t="s">
        <v>886</v>
      </c>
      <c r="E3" s="43" t="str">
        <f>IF(F3&lt;&gt;"",IFERROR(VLOOKUP(F3,Категории!A:B,2,0),""),"Требуется категория")</f>
        <v>Бейсболки</v>
      </c>
      <c r="F3" s="44" t="s">
        <v>784</v>
      </c>
      <c r="G3" s="63" t="s">
        <v>947</v>
      </c>
      <c r="H3" s="44" t="s">
        <v>388</v>
      </c>
      <c r="I3" s="147"/>
      <c r="J3" s="57" t="str">
        <f>'1C'!$AH$1</f>
        <v>HOOD</v>
      </c>
      <c r="K3" s="102" t="s">
        <v>936</v>
      </c>
      <c r="L3" s="145" t="s">
        <v>53</v>
      </c>
      <c r="M3" s="63" t="str">
        <f>IF(K3&lt;&gt;"",_xlfn.XLOOKUP(A3,'1C'!A:A,'1C'!R:R,"",0),"")</f>
        <v/>
      </c>
      <c r="N3" s="63"/>
      <c r="O3" s="63"/>
      <c r="P3" s="141" t="s">
        <v>948</v>
      </c>
      <c r="Q3" s="65"/>
      <c r="R3" s="63" t="s">
        <v>43</v>
      </c>
      <c r="S3" s="58" t="s">
        <v>15</v>
      </c>
      <c r="T3" s="58" t="s">
        <v>382</v>
      </c>
      <c r="U3" s="58">
        <v>6</v>
      </c>
      <c r="X3" s="58"/>
      <c r="Z3" s="58"/>
      <c r="AB3" s="58"/>
      <c r="AD3" s="58"/>
      <c r="AF3" s="58"/>
      <c r="AS3" s="57">
        <f t="shared" si="1"/>
        <v>6</v>
      </c>
      <c r="AT3" s="66" t="s">
        <v>444</v>
      </c>
      <c r="AU3" s="56" t="str">
        <f t="shared" ca="1" si="2"/>
        <v>HOOD HAT, LLC, 15332 Antioch st., #211 Pacific Palisades, CA 90272, USA</v>
      </c>
      <c r="AV3" s="56" t="str">
        <f t="shared" ca="1" si="3"/>
        <v>Соединенные Штаты</v>
      </c>
      <c r="AW3" s="76">
        <f t="shared" si="4"/>
        <v>0.1</v>
      </c>
      <c r="AX3" s="43">
        <f t="shared" si="5"/>
        <v>0.15000000000000002</v>
      </c>
      <c r="AY3" s="43">
        <f t="shared" si="6"/>
        <v>0.60000000000000009</v>
      </c>
      <c r="AZ3" s="43">
        <f t="shared" si="7"/>
        <v>0.90000000000000013</v>
      </c>
      <c r="BA3" s="152">
        <v>1820</v>
      </c>
      <c r="BB3" s="153">
        <f t="shared" si="8"/>
        <v>10920</v>
      </c>
      <c r="BC3" s="45">
        <f>IF(A3&lt;&gt;"",IF(_xlfn.XLOOKUP(A3,'1C'!A:A,'1C'!A:A,0,0)&gt;0,1,0),"")</f>
        <v>0</v>
      </c>
      <c r="BD3" s="146">
        <f>IF(C3&lt;&gt;"",IF(_xlfn.XLOOKUP(C3,'1C'!U:U,'1C'!U:U,0,0)&gt;0,0,1),"")</f>
        <v>0</v>
      </c>
      <c r="BE3" s="73">
        <f t="shared" si="9"/>
        <v>1</v>
      </c>
    </row>
    <row r="4" spans="1:58" ht="98.1" customHeight="1">
      <c r="A4" s="43" t="str">
        <f t="shared" si="0"/>
        <v>100-CTW020-CA010-BKBLACK</v>
      </c>
      <c r="B4" s="45" t="str">
        <f>IF(C4&lt;&gt;"",_xlfn.XLOOKUP(A4,'1C'!A:A,'1C'!B:B,MID(_xlfn.XLOOKUP(C4,'1C'!U:U,'1C'!B:B,"new",0),1,7)&amp;IF(BE4=1,IF(L4&lt;&gt;"",_xlfn.XLOOKUP(L4,Colors!A:A,Colors!B:B,"new",0),"требуется цвет"),""),0))</f>
        <v>92-002-09</v>
      </c>
      <c r="C4" s="61" t="s">
        <v>837</v>
      </c>
      <c r="D4" s="43" t="s">
        <v>887</v>
      </c>
      <c r="E4" s="43" t="str">
        <f>IF(F4&lt;&gt;"",IFERROR(VLOOKUP(F4,Категории!A:B,2,0),""),"Требуется категория")</f>
        <v>Бейсболки</v>
      </c>
      <c r="F4" s="44" t="s">
        <v>784</v>
      </c>
      <c r="G4" s="63" t="s">
        <v>947</v>
      </c>
      <c r="H4" s="44" t="s">
        <v>388</v>
      </c>
      <c r="J4" s="57" t="str">
        <f>'1C'!$AH$1</f>
        <v>HOOD</v>
      </c>
      <c r="K4" s="101" t="s">
        <v>936</v>
      </c>
      <c r="L4" s="59" t="s">
        <v>53</v>
      </c>
      <c r="M4" s="63" t="str">
        <f>IF(K4&lt;&gt;"",_xlfn.XLOOKUP(A4,'1C'!A:A,'1C'!R:R,"",0),"")</f>
        <v/>
      </c>
      <c r="N4" s="63"/>
      <c r="O4" s="63"/>
      <c r="P4" s="141" t="s">
        <v>948</v>
      </c>
      <c r="Q4" s="65"/>
      <c r="R4" s="63" t="s">
        <v>43</v>
      </c>
      <c r="S4" s="58" t="s">
        <v>15</v>
      </c>
      <c r="T4" s="58" t="s">
        <v>382</v>
      </c>
      <c r="U4" s="58">
        <v>6</v>
      </c>
      <c r="X4" s="58"/>
      <c r="Z4" s="58"/>
      <c r="AB4" s="58"/>
      <c r="AD4" s="58"/>
      <c r="AF4" s="58"/>
      <c r="AS4" s="57">
        <f t="shared" si="1"/>
        <v>6</v>
      </c>
      <c r="AT4" s="66" t="s">
        <v>444</v>
      </c>
      <c r="AU4" s="56" t="str">
        <f t="shared" ca="1" si="2"/>
        <v>HOOD HAT, LLC, 15332 Antioch st., #211 Pacific Palisades, CA 90272, USA</v>
      </c>
      <c r="AV4" s="56" t="str">
        <f t="shared" ca="1" si="3"/>
        <v>Соединенные Штаты</v>
      </c>
      <c r="AW4" s="76">
        <f t="shared" si="4"/>
        <v>0.1</v>
      </c>
      <c r="AX4" s="43">
        <f t="shared" si="5"/>
        <v>0.15000000000000002</v>
      </c>
      <c r="AY4" s="43">
        <f t="shared" si="6"/>
        <v>0.60000000000000009</v>
      </c>
      <c r="AZ4" s="43">
        <f t="shared" si="7"/>
        <v>0.90000000000000013</v>
      </c>
      <c r="BA4" s="152">
        <v>1820</v>
      </c>
      <c r="BB4" s="153">
        <f t="shared" si="8"/>
        <v>10920</v>
      </c>
      <c r="BC4" s="45">
        <f>IF(A4&lt;&gt;"",IF(_xlfn.XLOOKUP(A4,'1C'!A:A,'1C'!A:A,0,0)&gt;0,1,0),"")</f>
        <v>0</v>
      </c>
      <c r="BD4" s="146">
        <f>IF(C4&lt;&gt;"",IF(_xlfn.XLOOKUP(C4,'1C'!U:U,'1C'!U:U,0,0)&gt;0,0,1),"")</f>
        <v>0</v>
      </c>
      <c r="BE4" s="73">
        <f t="shared" si="9"/>
        <v>1</v>
      </c>
    </row>
    <row r="5" spans="1:58" ht="98.1" customHeight="1">
      <c r="A5" s="43" t="str">
        <f t="shared" si="0"/>
        <v>100-CTW020-CA012-BKBLACK</v>
      </c>
      <c r="B5" s="45" t="str">
        <f>IF(C5&lt;&gt;"",_xlfn.XLOOKUP(A5,'1C'!A:A,'1C'!B:B,MID(_xlfn.XLOOKUP(C5,'1C'!U:U,'1C'!B:B,"new",0),1,7)&amp;IF(BE5=1,IF(L5&lt;&gt;"",_xlfn.XLOOKUP(L5,Colors!A:A,Colors!B:B,"new",0),"требуется цвет"),""),0))</f>
        <v>92-003-09</v>
      </c>
      <c r="C5" s="61" t="s">
        <v>838</v>
      </c>
      <c r="D5" s="43" t="s">
        <v>888</v>
      </c>
      <c r="E5" s="43" t="str">
        <f>IF(F5&lt;&gt;"",IFERROR(VLOOKUP(F5,Категории!A:B,2,0),""),"Требуется категория")</f>
        <v>Бейсболки</v>
      </c>
      <c r="F5" s="44" t="s">
        <v>784</v>
      </c>
      <c r="G5" s="63" t="s">
        <v>947</v>
      </c>
      <c r="H5" s="44" t="s">
        <v>388</v>
      </c>
      <c r="J5" s="57" t="str">
        <f>'1C'!$AH$1</f>
        <v>HOOD</v>
      </c>
      <c r="K5" s="101" t="s">
        <v>936</v>
      </c>
      <c r="L5" s="59" t="s">
        <v>53</v>
      </c>
      <c r="M5" s="63" t="str">
        <f>IF(K5&lt;&gt;"",_xlfn.XLOOKUP(A5,'1C'!A:A,'1C'!R:R,"",0),"")</f>
        <v/>
      </c>
      <c r="N5" s="63"/>
      <c r="O5" s="63"/>
      <c r="P5" s="141" t="s">
        <v>948</v>
      </c>
      <c r="Q5" s="65"/>
      <c r="R5" s="63" t="s">
        <v>43</v>
      </c>
      <c r="S5" s="58" t="s">
        <v>15</v>
      </c>
      <c r="T5" s="58" t="s">
        <v>382</v>
      </c>
      <c r="U5" s="58">
        <v>6</v>
      </c>
      <c r="X5" s="58"/>
      <c r="Z5" s="58"/>
      <c r="AB5" s="58"/>
      <c r="AD5" s="58"/>
      <c r="AF5" s="58"/>
      <c r="AS5" s="57">
        <f t="shared" si="1"/>
        <v>6</v>
      </c>
      <c r="AT5" s="66" t="s">
        <v>444</v>
      </c>
      <c r="AU5" s="56" t="str">
        <f t="shared" ca="1" si="2"/>
        <v>HOOD HAT, LLC, 15332 Antioch st., #211 Pacific Palisades, CA 90272, USA</v>
      </c>
      <c r="AV5" s="56" t="str">
        <f t="shared" ca="1" si="3"/>
        <v>Соединенные Штаты</v>
      </c>
      <c r="AW5" s="76">
        <f t="shared" si="4"/>
        <v>0.1</v>
      </c>
      <c r="AX5" s="43">
        <f t="shared" si="5"/>
        <v>0.15000000000000002</v>
      </c>
      <c r="AY5" s="43">
        <f t="shared" si="6"/>
        <v>0.60000000000000009</v>
      </c>
      <c r="AZ5" s="43">
        <f t="shared" si="7"/>
        <v>0.90000000000000013</v>
      </c>
      <c r="BA5" s="152">
        <v>1820</v>
      </c>
      <c r="BB5" s="153">
        <f t="shared" si="8"/>
        <v>10920</v>
      </c>
      <c r="BC5" s="45">
        <f>IF(A5&lt;&gt;"",IF(_xlfn.XLOOKUP(A5,'1C'!A:A,'1C'!A:A,0,0)&gt;0,1,0),"")</f>
        <v>0</v>
      </c>
      <c r="BD5" s="146">
        <f>IF(C5&lt;&gt;"",IF(_xlfn.XLOOKUP(C5,'1C'!U:U,'1C'!U:U,0,0)&gt;0,0,1),"")</f>
        <v>0</v>
      </c>
      <c r="BE5" s="73">
        <f t="shared" si="9"/>
        <v>1</v>
      </c>
    </row>
    <row r="6" spans="1:58" ht="98.1" customHeight="1">
      <c r="A6" s="43" t="str">
        <f t="shared" si="0"/>
        <v>100-CTW020-CA013-BKBLACK</v>
      </c>
      <c r="B6" s="45" t="str">
        <f>IF(C6&lt;&gt;"",_xlfn.XLOOKUP(A6,'1C'!A:A,'1C'!B:B,MID(_xlfn.XLOOKUP(C6,'1C'!U:U,'1C'!B:B,"new",0),1,7)&amp;IF(BE6=1,IF(L6&lt;&gt;"",_xlfn.XLOOKUP(L6,Colors!A:A,Colors!B:B,"new",0),"требуется цвет"),""),0))</f>
        <v>92-004-09</v>
      </c>
      <c r="C6" s="44" t="s">
        <v>839</v>
      </c>
      <c r="D6" s="43" t="s">
        <v>889</v>
      </c>
      <c r="E6" s="43" t="str">
        <f>IF(F6&lt;&gt;"",IFERROR(VLOOKUP(F6,Категории!A:B,2,0),""),"Требуется категория")</f>
        <v>Бейсболки</v>
      </c>
      <c r="F6" s="44" t="s">
        <v>784</v>
      </c>
      <c r="G6" s="63" t="s">
        <v>947</v>
      </c>
      <c r="H6" s="44" t="s">
        <v>388</v>
      </c>
      <c r="J6" s="57" t="str">
        <f>'1C'!$AH$1</f>
        <v>HOOD</v>
      </c>
      <c r="K6" s="103" t="s">
        <v>936</v>
      </c>
      <c r="L6" s="59" t="s">
        <v>53</v>
      </c>
      <c r="M6" s="63" t="str">
        <f>IF(K6&lt;&gt;"",_xlfn.XLOOKUP(A6,'1C'!A:A,'1C'!R:R,"",0),"")</f>
        <v/>
      </c>
      <c r="N6" s="63"/>
      <c r="O6" s="63"/>
      <c r="P6" s="141" t="s">
        <v>948</v>
      </c>
      <c r="Q6" s="65"/>
      <c r="R6" s="63" t="s">
        <v>43</v>
      </c>
      <c r="S6" s="58" t="s">
        <v>15</v>
      </c>
      <c r="T6" s="58" t="s">
        <v>382</v>
      </c>
      <c r="U6" s="58">
        <v>6</v>
      </c>
      <c r="X6" s="58"/>
      <c r="Z6" s="58"/>
      <c r="AB6" s="58"/>
      <c r="AD6" s="58"/>
      <c r="AF6" s="58"/>
      <c r="AS6" s="57">
        <f t="shared" si="1"/>
        <v>6</v>
      </c>
      <c r="AT6" s="66" t="s">
        <v>444</v>
      </c>
      <c r="AU6" s="56" t="str">
        <f t="shared" ca="1" si="2"/>
        <v>HOOD HAT, LLC, 15332 Antioch st., #211 Pacific Palisades, CA 90272, USA</v>
      </c>
      <c r="AV6" s="56" t="str">
        <f t="shared" ca="1" si="3"/>
        <v>Соединенные Штаты</v>
      </c>
      <c r="AW6" s="76">
        <f t="shared" si="4"/>
        <v>0.1</v>
      </c>
      <c r="AX6" s="43">
        <f t="shared" si="5"/>
        <v>0.15000000000000002</v>
      </c>
      <c r="AY6" s="43">
        <f t="shared" si="6"/>
        <v>0.60000000000000009</v>
      </c>
      <c r="AZ6" s="43">
        <f t="shared" si="7"/>
        <v>0.90000000000000013</v>
      </c>
      <c r="BA6" s="152">
        <v>1820</v>
      </c>
      <c r="BB6" s="153">
        <f t="shared" si="8"/>
        <v>10920</v>
      </c>
      <c r="BC6" s="45">
        <f>IF(A6&lt;&gt;"",IF(_xlfn.XLOOKUP(A6,'1C'!A:A,'1C'!A:A,0,0)&gt;0,1,0),"")</f>
        <v>0</v>
      </c>
      <c r="BD6" s="146">
        <f>IF(C6&lt;&gt;"",IF(_xlfn.XLOOKUP(C6,'1C'!U:U,'1C'!U:U,0,0)&gt;0,0,1),"")</f>
        <v>0</v>
      </c>
      <c r="BE6" s="73">
        <f t="shared" si="9"/>
        <v>1</v>
      </c>
    </row>
    <row r="7" spans="1:58" ht="98.1" customHeight="1">
      <c r="A7" s="43" t="str">
        <f t="shared" si="0"/>
        <v>100-CTW020-CA027-BKBLACK</v>
      </c>
      <c r="B7" s="45" t="str">
        <f>IF(C7&lt;&gt;"",_xlfn.XLOOKUP(A7,'1C'!A:A,'1C'!B:B,MID(_xlfn.XLOOKUP(C7,'1C'!U:U,'1C'!B:B,"new",0),1,7)&amp;IF(BE7=1,IF(L7&lt;&gt;"",_xlfn.XLOOKUP(L7,Colors!A:A,Colors!B:B,"new",0),"требуется цвет"),""),0))</f>
        <v>92-005-09</v>
      </c>
      <c r="C7" s="44" t="s">
        <v>840</v>
      </c>
      <c r="D7" s="43" t="s">
        <v>890</v>
      </c>
      <c r="E7" s="43" t="str">
        <f>IF(F7&lt;&gt;"",IFERROR(VLOOKUP(F7,Категории!A:B,2,0),""),"Требуется категория")</f>
        <v>Бейсболки</v>
      </c>
      <c r="F7" s="44" t="s">
        <v>784</v>
      </c>
      <c r="G7" s="63" t="s">
        <v>947</v>
      </c>
      <c r="H7" s="44" t="s">
        <v>388</v>
      </c>
      <c r="J7" s="57" t="str">
        <f>'1C'!$AH$1</f>
        <v>HOOD</v>
      </c>
      <c r="K7" s="103" t="s">
        <v>936</v>
      </c>
      <c r="L7" s="59" t="s">
        <v>53</v>
      </c>
      <c r="M7" s="63" t="str">
        <f>IF(K7&lt;&gt;"",_xlfn.XLOOKUP(A7,'1C'!A:A,'1C'!R:R,"",0),"")</f>
        <v/>
      </c>
      <c r="N7" s="63"/>
      <c r="O7" s="63"/>
      <c r="P7" s="141" t="s">
        <v>948</v>
      </c>
      <c r="Q7" s="65"/>
      <c r="R7" s="63" t="s">
        <v>43</v>
      </c>
      <c r="S7" s="58" t="s">
        <v>15</v>
      </c>
      <c r="T7" s="58" t="s">
        <v>382</v>
      </c>
      <c r="U7" s="58">
        <v>6</v>
      </c>
      <c r="X7" s="58"/>
      <c r="Z7" s="58"/>
      <c r="AB7" s="58"/>
      <c r="AD7" s="58"/>
      <c r="AF7" s="58"/>
      <c r="AS7" s="57">
        <f t="shared" si="1"/>
        <v>6</v>
      </c>
      <c r="AT7" s="66" t="s">
        <v>444</v>
      </c>
      <c r="AU7" s="56" t="str">
        <f t="shared" ca="1" si="2"/>
        <v>HOOD HAT, LLC, 15332 Antioch st., #211 Pacific Palisades, CA 90272, USA</v>
      </c>
      <c r="AV7" s="56" t="str">
        <f t="shared" ca="1" si="3"/>
        <v>Соединенные Штаты</v>
      </c>
      <c r="AW7" s="76">
        <f t="shared" si="4"/>
        <v>0.1</v>
      </c>
      <c r="AX7" s="43">
        <f t="shared" si="5"/>
        <v>0.15000000000000002</v>
      </c>
      <c r="AY7" s="43">
        <f t="shared" si="6"/>
        <v>0.60000000000000009</v>
      </c>
      <c r="AZ7" s="43">
        <f t="shared" si="7"/>
        <v>0.90000000000000013</v>
      </c>
      <c r="BA7" s="152">
        <v>1820</v>
      </c>
      <c r="BB7" s="153">
        <f t="shared" si="8"/>
        <v>10920</v>
      </c>
      <c r="BC7" s="45">
        <f>IF(A7&lt;&gt;"",IF(_xlfn.XLOOKUP(A7,'1C'!A:A,'1C'!A:A,0,0)&gt;0,1,0),"")</f>
        <v>0</v>
      </c>
      <c r="BD7" s="146">
        <f>IF(C7&lt;&gt;"",IF(_xlfn.XLOOKUP(C7,'1C'!U:U,'1C'!U:U,0,0)&gt;0,0,1),"")</f>
        <v>0</v>
      </c>
      <c r="BE7" s="73">
        <f t="shared" si="9"/>
        <v>1</v>
      </c>
    </row>
    <row r="8" spans="1:58" ht="98.1" customHeight="1">
      <c r="A8" s="43" t="str">
        <f t="shared" si="0"/>
        <v>100-CTW020-CA030-BKBLACK</v>
      </c>
      <c r="B8" s="45" t="str">
        <f>IF(C8&lt;&gt;"",_xlfn.XLOOKUP(A8,'1C'!A:A,'1C'!B:B,MID(_xlfn.XLOOKUP(C8,'1C'!U:U,'1C'!B:B,"new",0),1,7)&amp;IF(BE8=1,IF(L8&lt;&gt;"",_xlfn.XLOOKUP(L8,Colors!A:A,Colors!B:B,"new",0),"требуется цвет"),""),0))</f>
        <v>92-006-09</v>
      </c>
      <c r="C8" s="44" t="s">
        <v>841</v>
      </c>
      <c r="D8" s="43" t="s">
        <v>891</v>
      </c>
      <c r="E8" s="43" t="str">
        <f>IF(F8&lt;&gt;"",IFERROR(VLOOKUP(F8,Категории!A:B,2,0),""),"Требуется категория")</f>
        <v>Бейсболки</v>
      </c>
      <c r="F8" s="44" t="s">
        <v>784</v>
      </c>
      <c r="G8" s="63" t="s">
        <v>947</v>
      </c>
      <c r="H8" s="44" t="s">
        <v>388</v>
      </c>
      <c r="J8" s="57" t="str">
        <f>'1C'!$AH$1</f>
        <v>HOOD</v>
      </c>
      <c r="K8" s="103" t="s">
        <v>936</v>
      </c>
      <c r="L8" s="59" t="s">
        <v>53</v>
      </c>
      <c r="M8" s="63" t="str">
        <f>IF(K8&lt;&gt;"",_xlfn.XLOOKUP(A8,'1C'!A:A,'1C'!R:R,"",0),"")</f>
        <v/>
      </c>
      <c r="N8" s="63"/>
      <c r="O8" s="63"/>
      <c r="P8" s="141" t="s">
        <v>948</v>
      </c>
      <c r="Q8" s="65"/>
      <c r="R8" s="63" t="s">
        <v>43</v>
      </c>
      <c r="S8" s="58" t="s">
        <v>15</v>
      </c>
      <c r="T8" s="58" t="s">
        <v>382</v>
      </c>
      <c r="U8" s="58">
        <v>6</v>
      </c>
      <c r="X8" s="58"/>
      <c r="Z8" s="58"/>
      <c r="AB8" s="58"/>
      <c r="AD8" s="58"/>
      <c r="AF8" s="58"/>
      <c r="AS8" s="57">
        <f t="shared" si="1"/>
        <v>6</v>
      </c>
      <c r="AT8" s="66" t="s">
        <v>444</v>
      </c>
      <c r="AU8" s="56" t="str">
        <f t="shared" ca="1" si="2"/>
        <v>HOOD HAT, LLC, 15332 Antioch st., #211 Pacific Palisades, CA 90272, USA</v>
      </c>
      <c r="AV8" s="56" t="str">
        <f t="shared" ca="1" si="3"/>
        <v>Соединенные Штаты</v>
      </c>
      <c r="AW8" s="76">
        <f t="shared" si="4"/>
        <v>0.1</v>
      </c>
      <c r="AX8" s="43">
        <f t="shared" si="5"/>
        <v>0.15000000000000002</v>
      </c>
      <c r="AY8" s="43">
        <f t="shared" si="6"/>
        <v>0.60000000000000009</v>
      </c>
      <c r="AZ8" s="43">
        <f t="shared" si="7"/>
        <v>0.90000000000000013</v>
      </c>
      <c r="BA8" s="152">
        <v>1820</v>
      </c>
      <c r="BB8" s="153">
        <f t="shared" si="8"/>
        <v>10920</v>
      </c>
      <c r="BC8" s="45">
        <f>IF(A8&lt;&gt;"",IF(_xlfn.XLOOKUP(A8,'1C'!A:A,'1C'!A:A,0,0)&gt;0,1,0),"")</f>
        <v>0</v>
      </c>
      <c r="BD8" s="146">
        <f>IF(C8&lt;&gt;"",IF(_xlfn.XLOOKUP(C8,'1C'!U:U,'1C'!U:U,0,0)&gt;0,0,1),"")</f>
        <v>0</v>
      </c>
      <c r="BE8" s="73">
        <f t="shared" si="9"/>
        <v>1</v>
      </c>
    </row>
    <row r="9" spans="1:58" ht="98.1" customHeight="1">
      <c r="A9" s="43" t="str">
        <f t="shared" si="0"/>
        <v>100-CTW020-MI001-BKBLACK</v>
      </c>
      <c r="B9" s="45" t="str">
        <f>IF(C9&lt;&gt;"",_xlfn.XLOOKUP(A9,'1C'!A:A,'1C'!B:B,MID(_xlfn.XLOOKUP(C9,'1C'!U:U,'1C'!B:B,"new",0),1,7)&amp;IF(BE9=1,IF(L9&lt;&gt;"",_xlfn.XLOOKUP(L9,Colors!A:A,Colors!B:B,"new",0),"требуется цвет"),""),0))</f>
        <v>92-007-09</v>
      </c>
      <c r="C9" s="44" t="s">
        <v>842</v>
      </c>
      <c r="D9" s="43" t="s">
        <v>892</v>
      </c>
      <c r="E9" s="43" t="str">
        <f>IF(F9&lt;&gt;"",IFERROR(VLOOKUP(F9,Категории!A:B,2,0),""),"Требуется категория")</f>
        <v>Бейсболки</v>
      </c>
      <c r="F9" s="44" t="s">
        <v>784</v>
      </c>
      <c r="G9" s="63" t="s">
        <v>947</v>
      </c>
      <c r="H9" s="44" t="s">
        <v>388</v>
      </c>
      <c r="J9" s="57" t="str">
        <f>'1C'!$AH$1</f>
        <v>HOOD</v>
      </c>
      <c r="K9" s="103" t="s">
        <v>936</v>
      </c>
      <c r="L9" s="59" t="s">
        <v>53</v>
      </c>
      <c r="M9" s="63" t="str">
        <f>IF(K9&lt;&gt;"",_xlfn.XLOOKUP(A9,'1C'!A:A,'1C'!R:R,"",0),"")</f>
        <v/>
      </c>
      <c r="N9" s="63"/>
      <c r="O9" s="63"/>
      <c r="P9" s="141" t="s">
        <v>948</v>
      </c>
      <c r="Q9" s="65"/>
      <c r="R9" s="63" t="s">
        <v>43</v>
      </c>
      <c r="S9" s="58" t="s">
        <v>15</v>
      </c>
      <c r="T9" s="58" t="s">
        <v>382</v>
      </c>
      <c r="U9" s="58">
        <v>12</v>
      </c>
      <c r="X9" s="58"/>
      <c r="Z9" s="58"/>
      <c r="AB9" s="58"/>
      <c r="AD9" s="58"/>
      <c r="AF9" s="58"/>
      <c r="AS9" s="57">
        <f t="shared" si="1"/>
        <v>12</v>
      </c>
      <c r="AT9" s="66" t="s">
        <v>444</v>
      </c>
      <c r="AU9" s="56" t="str">
        <f t="shared" ca="1" si="2"/>
        <v>HOOD HAT, LLC, 15332 Antioch st., #211 Pacific Palisades, CA 90272, USA</v>
      </c>
      <c r="AV9" s="56" t="str">
        <f t="shared" ca="1" si="3"/>
        <v>Соединенные Штаты</v>
      </c>
      <c r="AW9" s="76">
        <f t="shared" si="4"/>
        <v>0.1</v>
      </c>
      <c r="AX9" s="43">
        <f t="shared" si="5"/>
        <v>0.15000000000000002</v>
      </c>
      <c r="AY9" s="43">
        <f t="shared" si="6"/>
        <v>1.2000000000000002</v>
      </c>
      <c r="AZ9" s="43">
        <f t="shared" si="7"/>
        <v>1.8000000000000003</v>
      </c>
      <c r="BA9" s="152">
        <v>1820</v>
      </c>
      <c r="BB9" s="153">
        <f t="shared" si="8"/>
        <v>21840</v>
      </c>
      <c r="BC9" s="45">
        <f>IF(A9&lt;&gt;"",IF(_xlfn.XLOOKUP(A9,'1C'!A:A,'1C'!A:A,0,0)&gt;0,1,0),"")</f>
        <v>0</v>
      </c>
      <c r="BD9" s="146">
        <f>IF(C9&lt;&gt;"",IF(_xlfn.XLOOKUP(C9,'1C'!U:U,'1C'!U:U,0,0)&gt;0,0,1),"")</f>
        <v>0</v>
      </c>
      <c r="BE9" s="73">
        <f t="shared" si="9"/>
        <v>1</v>
      </c>
    </row>
    <row r="10" spans="1:58" ht="98.1" customHeight="1">
      <c r="A10" s="43" t="str">
        <f t="shared" si="0"/>
        <v>100-CTW020-NY003-BKBLACK</v>
      </c>
      <c r="B10" s="45" t="str">
        <f>IF(C10&lt;&gt;"",_xlfn.XLOOKUP(A10,'1C'!A:A,'1C'!B:B,MID(_xlfn.XLOOKUP(C10,'1C'!U:U,'1C'!B:B,"new",0),1,7)&amp;IF(BE10=1,IF(L10&lt;&gt;"",_xlfn.XLOOKUP(L10,Colors!A:A,Colors!B:B,"new",0),"требуется цвет"),""),0))</f>
        <v>92-008-09</v>
      </c>
      <c r="C10" s="44" t="s">
        <v>843</v>
      </c>
      <c r="D10" s="43" t="s">
        <v>893</v>
      </c>
      <c r="E10" s="43" t="str">
        <f>IF(F10&lt;&gt;"",IFERROR(VLOOKUP(F10,Категории!A:B,2,0),""),"Требуется категория")</f>
        <v>Бейсболки</v>
      </c>
      <c r="F10" s="44" t="s">
        <v>784</v>
      </c>
      <c r="G10" s="63" t="s">
        <v>947</v>
      </c>
      <c r="H10" s="44" t="s">
        <v>388</v>
      </c>
      <c r="J10" s="57" t="str">
        <f>'1C'!$AH$1</f>
        <v>HOOD</v>
      </c>
      <c r="K10" s="103" t="s">
        <v>936</v>
      </c>
      <c r="L10" s="59" t="s">
        <v>53</v>
      </c>
      <c r="M10" s="63" t="str">
        <f>IF(K10&lt;&gt;"",_xlfn.XLOOKUP(A10,'1C'!A:A,'1C'!R:R,"",0),"")</f>
        <v/>
      </c>
      <c r="N10" s="63"/>
      <c r="O10" s="63"/>
      <c r="P10" s="141" t="s">
        <v>948</v>
      </c>
      <c r="Q10" s="65"/>
      <c r="R10" s="63" t="s">
        <v>43</v>
      </c>
      <c r="S10" s="58" t="s">
        <v>15</v>
      </c>
      <c r="T10" s="58" t="s">
        <v>382</v>
      </c>
      <c r="U10" s="58">
        <v>12</v>
      </c>
      <c r="X10" s="58"/>
      <c r="Z10" s="58"/>
      <c r="AB10" s="58"/>
      <c r="AD10" s="58"/>
      <c r="AF10" s="58"/>
      <c r="AS10" s="57">
        <f t="shared" si="1"/>
        <v>12</v>
      </c>
      <c r="AT10" s="66" t="s">
        <v>444</v>
      </c>
      <c r="AU10" s="56" t="str">
        <f t="shared" ca="1" si="2"/>
        <v>HOOD HAT, LLC, 15332 Antioch st., #211 Pacific Palisades, CA 90272, USA</v>
      </c>
      <c r="AV10" s="56" t="str">
        <f t="shared" ca="1" si="3"/>
        <v>Соединенные Штаты</v>
      </c>
      <c r="AW10" s="76">
        <f t="shared" si="4"/>
        <v>0.1</v>
      </c>
      <c r="AX10" s="43">
        <f t="shared" si="5"/>
        <v>0.15000000000000002</v>
      </c>
      <c r="AY10" s="43">
        <f t="shared" si="6"/>
        <v>1.2000000000000002</v>
      </c>
      <c r="AZ10" s="43">
        <f t="shared" si="7"/>
        <v>1.8000000000000003</v>
      </c>
      <c r="BA10" s="152">
        <v>1820</v>
      </c>
      <c r="BB10" s="153">
        <f t="shared" si="8"/>
        <v>21840</v>
      </c>
      <c r="BC10" s="45">
        <f>IF(A10&lt;&gt;"",IF(_xlfn.XLOOKUP(A10,'1C'!A:A,'1C'!A:A,0,0)&gt;0,1,0),"")</f>
        <v>0</v>
      </c>
      <c r="BD10" s="146">
        <f>IF(C10&lt;&gt;"",IF(_xlfn.XLOOKUP(C10,'1C'!U:U,'1C'!U:U,0,0)&gt;0,0,1),"")</f>
        <v>0</v>
      </c>
      <c r="BE10" s="73">
        <f t="shared" si="9"/>
        <v>1</v>
      </c>
    </row>
    <row r="11" spans="1:58" ht="98.1" customHeight="1">
      <c r="A11" s="43" t="str">
        <f t="shared" si="0"/>
        <v>100-CTW020-NY019-BKBLACK</v>
      </c>
      <c r="B11" s="45" t="str">
        <f>IF(C11&lt;&gt;"",_xlfn.XLOOKUP(A11,'1C'!A:A,'1C'!B:B,MID(_xlfn.XLOOKUP(C11,'1C'!U:U,'1C'!B:B,"new",0),1,7)&amp;IF(BE11=1,IF(L11&lt;&gt;"",_xlfn.XLOOKUP(L11,Colors!A:A,Colors!B:B,"new",0),"требуется цвет"),""),0))</f>
        <v>92-009-09</v>
      </c>
      <c r="C11" s="44" t="s">
        <v>844</v>
      </c>
      <c r="D11" s="43" t="s">
        <v>894</v>
      </c>
      <c r="E11" s="43" t="str">
        <f>IF(F11&lt;&gt;"",IFERROR(VLOOKUP(F11,Категории!A:B,2,0),""),"Требуется категория")</f>
        <v>Бейсболки</v>
      </c>
      <c r="F11" s="44" t="s">
        <v>784</v>
      </c>
      <c r="G11" s="63" t="s">
        <v>947</v>
      </c>
      <c r="H11" s="44" t="s">
        <v>388</v>
      </c>
      <c r="J11" s="57" t="str">
        <f>'1C'!$AH$1</f>
        <v>HOOD</v>
      </c>
      <c r="K11" s="103" t="s">
        <v>936</v>
      </c>
      <c r="L11" s="59" t="s">
        <v>53</v>
      </c>
      <c r="M11" s="63" t="str">
        <f>IF(K11&lt;&gt;"",_xlfn.XLOOKUP(A11,'1C'!A:A,'1C'!R:R,"",0),"")</f>
        <v/>
      </c>
      <c r="N11" s="63"/>
      <c r="O11" s="63"/>
      <c r="P11" s="141" t="s">
        <v>948</v>
      </c>
      <c r="Q11" s="65"/>
      <c r="R11" s="63" t="s">
        <v>43</v>
      </c>
      <c r="S11" s="58" t="s">
        <v>15</v>
      </c>
      <c r="T11" s="58" t="s">
        <v>382</v>
      </c>
      <c r="U11" s="58">
        <v>12</v>
      </c>
      <c r="X11" s="58"/>
      <c r="Z11" s="58"/>
      <c r="AB11" s="58"/>
      <c r="AD11" s="58"/>
      <c r="AF11" s="58"/>
      <c r="AS11" s="57">
        <f t="shared" si="1"/>
        <v>12</v>
      </c>
      <c r="AT11" s="66" t="s">
        <v>444</v>
      </c>
      <c r="AU11" s="56" t="str">
        <f t="shared" ca="1" si="2"/>
        <v>HOOD HAT, LLC, 15332 Antioch st., #211 Pacific Palisades, CA 90272, USA</v>
      </c>
      <c r="AV11" s="56" t="str">
        <f t="shared" ca="1" si="3"/>
        <v>Соединенные Штаты</v>
      </c>
      <c r="AW11" s="76">
        <f t="shared" si="4"/>
        <v>0.1</v>
      </c>
      <c r="AX11" s="43">
        <f t="shared" si="5"/>
        <v>0.15000000000000002</v>
      </c>
      <c r="AY11" s="43">
        <f t="shared" si="6"/>
        <v>1.2000000000000002</v>
      </c>
      <c r="AZ11" s="43">
        <f t="shared" si="7"/>
        <v>1.8000000000000003</v>
      </c>
      <c r="BA11" s="152">
        <v>1820</v>
      </c>
      <c r="BB11" s="153">
        <f t="shared" si="8"/>
        <v>21840</v>
      </c>
      <c r="BC11" s="45">
        <f>IF(A11&lt;&gt;"",IF(_xlfn.XLOOKUP(A11,'1C'!A:A,'1C'!A:A,0,0)&gt;0,1,0),"")</f>
        <v>0</v>
      </c>
      <c r="BD11" s="146">
        <f>IF(C11&lt;&gt;"",IF(_xlfn.XLOOKUP(C11,'1C'!U:U,'1C'!U:U,0,0)&gt;0,0,1),"")</f>
        <v>0</v>
      </c>
      <c r="BE11" s="73">
        <f t="shared" si="9"/>
        <v>1</v>
      </c>
    </row>
    <row r="12" spans="1:58" ht="98.1" customHeight="1">
      <c r="A12" s="43" t="str">
        <f t="shared" si="0"/>
        <v>100-CTW020-NY022-BKBLACK</v>
      </c>
      <c r="B12" s="45" t="str">
        <f>IF(C12&lt;&gt;"",_xlfn.XLOOKUP(A12,'1C'!A:A,'1C'!B:B,MID(_xlfn.XLOOKUP(C12,'1C'!U:U,'1C'!B:B,"new",0),1,7)&amp;IF(BE12=1,IF(L12&lt;&gt;"",_xlfn.XLOOKUP(L12,Colors!A:A,Colors!B:B,"new",0),"требуется цвет"),""),0))</f>
        <v>92-010-09</v>
      </c>
      <c r="C12" s="44" t="s">
        <v>845</v>
      </c>
      <c r="D12" s="43" t="s">
        <v>895</v>
      </c>
      <c r="E12" s="43" t="str">
        <f>IF(F12&lt;&gt;"",IFERROR(VLOOKUP(F12,Категории!A:B,2,0),""),"Требуется категория")</f>
        <v>Бейсболки</v>
      </c>
      <c r="F12" s="44" t="s">
        <v>784</v>
      </c>
      <c r="G12" s="63" t="s">
        <v>947</v>
      </c>
      <c r="H12" s="44" t="s">
        <v>388</v>
      </c>
      <c r="J12" s="57" t="str">
        <f>'1C'!$AH$1</f>
        <v>HOOD</v>
      </c>
      <c r="K12" s="103" t="s">
        <v>936</v>
      </c>
      <c r="L12" s="59" t="s">
        <v>53</v>
      </c>
      <c r="M12" s="63" t="str">
        <f>IF(K12&lt;&gt;"",_xlfn.XLOOKUP(A12,'1C'!A:A,'1C'!R:R,"",0),"")</f>
        <v/>
      </c>
      <c r="N12" s="63"/>
      <c r="O12" s="63"/>
      <c r="P12" s="141" t="s">
        <v>948</v>
      </c>
      <c r="Q12" s="65"/>
      <c r="R12" s="63" t="s">
        <v>43</v>
      </c>
      <c r="S12" s="58" t="s">
        <v>15</v>
      </c>
      <c r="T12" s="58" t="s">
        <v>382</v>
      </c>
      <c r="U12" s="58">
        <v>12</v>
      </c>
      <c r="X12" s="58"/>
      <c r="Z12" s="58"/>
      <c r="AB12" s="58"/>
      <c r="AD12" s="58"/>
      <c r="AF12" s="58"/>
      <c r="AS12" s="57">
        <f t="shared" si="1"/>
        <v>12</v>
      </c>
      <c r="AT12" s="66" t="s">
        <v>444</v>
      </c>
      <c r="AU12" s="56" t="str">
        <f t="shared" ca="1" si="2"/>
        <v>HOOD HAT, LLC, 15332 Antioch st., #211 Pacific Palisades, CA 90272, USA</v>
      </c>
      <c r="AV12" s="56" t="str">
        <f t="shared" ca="1" si="3"/>
        <v>Соединенные Штаты</v>
      </c>
      <c r="AW12" s="76">
        <f t="shared" si="4"/>
        <v>0.1</v>
      </c>
      <c r="AX12" s="43">
        <f t="shared" si="5"/>
        <v>0.15000000000000002</v>
      </c>
      <c r="AY12" s="43">
        <f t="shared" si="6"/>
        <v>1.2000000000000002</v>
      </c>
      <c r="AZ12" s="43">
        <f t="shared" si="7"/>
        <v>1.8000000000000003</v>
      </c>
      <c r="BA12" s="152">
        <v>1820</v>
      </c>
      <c r="BB12" s="153">
        <f t="shared" si="8"/>
        <v>21840</v>
      </c>
      <c r="BC12" s="45">
        <f>IF(A12&lt;&gt;"",IF(_xlfn.XLOOKUP(A12,'1C'!A:A,'1C'!A:A,0,0)&gt;0,1,0),"")</f>
        <v>0</v>
      </c>
      <c r="BD12" s="146">
        <f>IF(C12&lt;&gt;"",IF(_xlfn.XLOOKUP(C12,'1C'!U:U,'1C'!U:U,0,0)&gt;0,0,1),"")</f>
        <v>0</v>
      </c>
      <c r="BE12" s="73">
        <f t="shared" si="9"/>
        <v>1</v>
      </c>
    </row>
    <row r="13" spans="1:58" ht="98.1" customHeight="1">
      <c r="A13" s="43" t="str">
        <f t="shared" si="0"/>
        <v>100-CTW020-NY031-BKBLACK</v>
      </c>
      <c r="B13" s="45" t="str">
        <f>IF(C13&lt;&gt;"",_xlfn.XLOOKUP(A13,'1C'!A:A,'1C'!B:B,MID(_xlfn.XLOOKUP(C13,'1C'!U:U,'1C'!B:B,"new",0),1,7)&amp;IF(BE13=1,IF(L13&lt;&gt;"",_xlfn.XLOOKUP(L13,Colors!A:A,Colors!B:B,"new",0),"требуется цвет"),""),0))</f>
        <v>92-011-09</v>
      </c>
      <c r="C13" s="44" t="s">
        <v>846</v>
      </c>
      <c r="D13" s="43" t="s">
        <v>896</v>
      </c>
      <c r="E13" s="43" t="str">
        <f>IF(F13&lt;&gt;"",IFERROR(VLOOKUP(F13,Категории!A:B,2,0),""),"Требуется категория")</f>
        <v>Бейсболки</v>
      </c>
      <c r="F13" s="44" t="s">
        <v>784</v>
      </c>
      <c r="G13" s="63" t="s">
        <v>947</v>
      </c>
      <c r="H13" s="44" t="s">
        <v>388</v>
      </c>
      <c r="J13" s="57" t="str">
        <f>'1C'!$AH$1</f>
        <v>HOOD</v>
      </c>
      <c r="K13" s="103" t="s">
        <v>936</v>
      </c>
      <c r="L13" s="59" t="s">
        <v>53</v>
      </c>
      <c r="M13" s="63" t="str">
        <f>IF(K13&lt;&gt;"",_xlfn.XLOOKUP(A13,'1C'!A:A,'1C'!R:R,"",0),"")</f>
        <v/>
      </c>
      <c r="N13" s="63"/>
      <c r="O13" s="63"/>
      <c r="P13" s="141" t="s">
        <v>948</v>
      </c>
      <c r="Q13" s="65"/>
      <c r="R13" s="63" t="s">
        <v>43</v>
      </c>
      <c r="S13" s="58" t="s">
        <v>15</v>
      </c>
      <c r="T13" s="58" t="s">
        <v>382</v>
      </c>
      <c r="U13" s="58">
        <v>12</v>
      </c>
      <c r="X13" s="58"/>
      <c r="Z13" s="58"/>
      <c r="AB13" s="58"/>
      <c r="AD13" s="58"/>
      <c r="AF13" s="58"/>
      <c r="AS13" s="57">
        <f t="shared" si="1"/>
        <v>12</v>
      </c>
      <c r="AT13" s="66" t="s">
        <v>444</v>
      </c>
      <c r="AU13" s="56" t="str">
        <f t="shared" ca="1" si="2"/>
        <v>HOOD HAT, LLC, 15332 Antioch st., #211 Pacific Palisades, CA 90272, USA</v>
      </c>
      <c r="AV13" s="56" t="str">
        <f t="shared" ca="1" si="3"/>
        <v>Соединенные Штаты</v>
      </c>
      <c r="AW13" s="76">
        <f t="shared" si="4"/>
        <v>0.1</v>
      </c>
      <c r="AX13" s="43">
        <f t="shared" si="5"/>
        <v>0.15000000000000002</v>
      </c>
      <c r="AY13" s="43">
        <f t="shared" si="6"/>
        <v>1.2000000000000002</v>
      </c>
      <c r="AZ13" s="43">
        <f t="shared" si="7"/>
        <v>1.8000000000000003</v>
      </c>
      <c r="BA13" s="152">
        <v>1820</v>
      </c>
      <c r="BB13" s="153">
        <f t="shared" si="8"/>
        <v>21840</v>
      </c>
      <c r="BC13" s="45">
        <f>IF(A13&lt;&gt;"",IF(_xlfn.XLOOKUP(A13,'1C'!A:A,'1C'!A:A,0,0)&gt;0,1,0),"")</f>
        <v>0</v>
      </c>
      <c r="BD13" s="146">
        <f>IF(C13&lt;&gt;"",IF(_xlfn.XLOOKUP(C13,'1C'!U:U,'1C'!U:U,0,0)&gt;0,0,1),"")</f>
        <v>0</v>
      </c>
      <c r="BE13" s="73">
        <f t="shared" si="9"/>
        <v>1</v>
      </c>
    </row>
    <row r="14" spans="1:58" ht="98.1" customHeight="1">
      <c r="A14" s="43" t="str">
        <f t="shared" si="0"/>
        <v>100-CTW020-NY068-BKBLACK</v>
      </c>
      <c r="B14" s="45" t="str">
        <f>IF(C14&lt;&gt;"",_xlfn.XLOOKUP(A14,'1C'!A:A,'1C'!B:B,MID(_xlfn.XLOOKUP(C14,'1C'!U:U,'1C'!B:B,"new",0),1,7)&amp;IF(BE14=1,IF(L14&lt;&gt;"",_xlfn.XLOOKUP(L14,Colors!A:A,Colors!B:B,"new",0),"требуется цвет"),""),0))</f>
        <v>92-012-09</v>
      </c>
      <c r="C14" s="44" t="s">
        <v>847</v>
      </c>
      <c r="D14" s="43" t="s">
        <v>897</v>
      </c>
      <c r="E14" s="43" t="str">
        <f>IF(F14&lt;&gt;"",IFERROR(VLOOKUP(F14,Категории!A:B,2,0),""),"Требуется категория")</f>
        <v>Бейсболки</v>
      </c>
      <c r="F14" s="44" t="s">
        <v>784</v>
      </c>
      <c r="G14" s="63" t="s">
        <v>947</v>
      </c>
      <c r="H14" s="44" t="s">
        <v>388</v>
      </c>
      <c r="J14" s="57" t="str">
        <f>'1C'!$AH$1</f>
        <v>HOOD</v>
      </c>
      <c r="K14" s="103" t="s">
        <v>936</v>
      </c>
      <c r="L14" s="59" t="s">
        <v>53</v>
      </c>
      <c r="M14" s="63" t="str">
        <f>IF(K14&lt;&gt;"",_xlfn.XLOOKUP(A14,'1C'!A:A,'1C'!R:R,"",0),"")</f>
        <v/>
      </c>
      <c r="N14" s="63"/>
      <c r="O14" s="63"/>
      <c r="P14" s="141" t="s">
        <v>948</v>
      </c>
      <c r="Q14" s="65"/>
      <c r="R14" s="63" t="s">
        <v>43</v>
      </c>
      <c r="S14" s="58" t="s">
        <v>15</v>
      </c>
      <c r="T14" s="58" t="s">
        <v>382</v>
      </c>
      <c r="U14" s="58">
        <v>12</v>
      </c>
      <c r="X14" s="58"/>
      <c r="Z14" s="58"/>
      <c r="AB14" s="58"/>
      <c r="AD14" s="58"/>
      <c r="AF14" s="58"/>
      <c r="AS14" s="57">
        <f t="shared" si="1"/>
        <v>12</v>
      </c>
      <c r="AT14" s="66" t="s">
        <v>444</v>
      </c>
      <c r="AU14" s="56" t="str">
        <f t="shared" ca="1" si="2"/>
        <v>HOOD HAT, LLC, 15332 Antioch st., #211 Pacific Palisades, CA 90272, USA</v>
      </c>
      <c r="AV14" s="56" t="str">
        <f t="shared" ca="1" si="3"/>
        <v>Соединенные Штаты</v>
      </c>
      <c r="AW14" s="76">
        <f t="shared" si="4"/>
        <v>0.1</v>
      </c>
      <c r="AX14" s="43">
        <f t="shared" si="5"/>
        <v>0.15000000000000002</v>
      </c>
      <c r="AY14" s="43">
        <f t="shared" si="6"/>
        <v>1.2000000000000002</v>
      </c>
      <c r="AZ14" s="43">
        <f t="shared" si="7"/>
        <v>1.8000000000000003</v>
      </c>
      <c r="BA14" s="152">
        <v>1820</v>
      </c>
      <c r="BB14" s="153">
        <f t="shared" si="8"/>
        <v>21840</v>
      </c>
      <c r="BC14" s="45">
        <f>IF(A14&lt;&gt;"",IF(_xlfn.XLOOKUP(A14,'1C'!A:A,'1C'!A:A,0,0)&gt;0,1,0),"")</f>
        <v>0</v>
      </c>
      <c r="BD14" s="146">
        <f>IF(C14&lt;&gt;"",IF(_xlfn.XLOOKUP(C14,'1C'!U:U,'1C'!U:U,0,0)&gt;0,0,1),"")</f>
        <v>0</v>
      </c>
      <c r="BE14" s="73">
        <f t="shared" si="9"/>
        <v>1</v>
      </c>
    </row>
    <row r="15" spans="1:58" ht="98.1" customHeight="1">
      <c r="A15" s="43" t="str">
        <f t="shared" si="0"/>
        <v>100-CTW020-PA003-BKBLACK</v>
      </c>
      <c r="B15" s="45" t="str">
        <f>IF(C15&lt;&gt;"",_xlfn.XLOOKUP(A15,'1C'!A:A,'1C'!B:B,MID(_xlfn.XLOOKUP(C15,'1C'!U:U,'1C'!B:B,"new",0),1,7)&amp;IF(BE15=1,IF(L15&lt;&gt;"",_xlfn.XLOOKUP(L15,Colors!A:A,Colors!B:B,"new",0),"требуется цвет"),""),0))</f>
        <v>92-013-09</v>
      </c>
      <c r="C15" s="44" t="s">
        <v>848</v>
      </c>
      <c r="D15" s="43" t="s">
        <v>898</v>
      </c>
      <c r="E15" s="43" t="str">
        <f>IF(F15&lt;&gt;"",IFERROR(VLOOKUP(F15,Категории!A:B,2,0),""),"Требуется категория")</f>
        <v>Бейсболки</v>
      </c>
      <c r="F15" s="44" t="s">
        <v>784</v>
      </c>
      <c r="G15" s="63" t="s">
        <v>947</v>
      </c>
      <c r="H15" s="44" t="s">
        <v>388</v>
      </c>
      <c r="J15" s="57" t="str">
        <f>'1C'!$AH$1</f>
        <v>HOOD</v>
      </c>
      <c r="K15" s="103" t="s">
        <v>936</v>
      </c>
      <c r="L15" s="59" t="s">
        <v>53</v>
      </c>
      <c r="M15" s="63" t="str">
        <f>IF(K15&lt;&gt;"",_xlfn.XLOOKUP(A15,'1C'!A:A,'1C'!R:R,"",0),"")</f>
        <v/>
      </c>
      <c r="N15" s="63"/>
      <c r="O15" s="63"/>
      <c r="P15" s="141" t="s">
        <v>948</v>
      </c>
      <c r="Q15" s="65"/>
      <c r="R15" s="63" t="s">
        <v>43</v>
      </c>
      <c r="S15" s="58" t="s">
        <v>15</v>
      </c>
      <c r="T15" s="58" t="s">
        <v>382</v>
      </c>
      <c r="U15" s="58">
        <v>12</v>
      </c>
      <c r="X15" s="58"/>
      <c r="Z15" s="58"/>
      <c r="AB15" s="58"/>
      <c r="AD15" s="58"/>
      <c r="AF15" s="58"/>
      <c r="AS15" s="57">
        <f t="shared" si="1"/>
        <v>12</v>
      </c>
      <c r="AT15" s="66" t="s">
        <v>444</v>
      </c>
      <c r="AU15" s="56" t="str">
        <f t="shared" ca="1" si="2"/>
        <v>HOOD HAT, LLC, 15332 Antioch st., #211 Pacific Palisades, CA 90272, USA</v>
      </c>
      <c r="AV15" s="56" t="str">
        <f t="shared" ca="1" si="3"/>
        <v>Соединенные Штаты</v>
      </c>
      <c r="AW15" s="76">
        <f t="shared" si="4"/>
        <v>0.1</v>
      </c>
      <c r="AX15" s="43">
        <f t="shared" si="5"/>
        <v>0.15000000000000002</v>
      </c>
      <c r="AY15" s="43">
        <f t="shared" si="6"/>
        <v>1.2000000000000002</v>
      </c>
      <c r="AZ15" s="43">
        <f t="shared" si="7"/>
        <v>1.8000000000000003</v>
      </c>
      <c r="BA15" s="152">
        <v>1820</v>
      </c>
      <c r="BB15" s="153">
        <f t="shared" si="8"/>
        <v>21840</v>
      </c>
      <c r="BC15" s="45">
        <f>IF(A15&lt;&gt;"",IF(_xlfn.XLOOKUP(A15,'1C'!A:A,'1C'!A:A,0,0)&gt;0,1,0),"")</f>
        <v>0</v>
      </c>
      <c r="BD15" s="146">
        <f>IF(C15&lt;&gt;"",IF(_xlfn.XLOOKUP(C15,'1C'!U:U,'1C'!U:U,0,0)&gt;0,0,1),"")</f>
        <v>0</v>
      </c>
      <c r="BE15" s="73">
        <f t="shared" si="9"/>
        <v>1</v>
      </c>
    </row>
    <row r="16" spans="1:58" ht="98.1" customHeight="1">
      <c r="A16" s="43" t="str">
        <f t="shared" si="0"/>
        <v>100-MWL001-CA005-BKBlack</v>
      </c>
      <c r="B16" s="45" t="str">
        <f>IF(C16&lt;&gt;"",_xlfn.XLOOKUP(A16,'1C'!A:A,'1C'!B:B,MID(_xlfn.XLOOKUP(C16,'1C'!U:U,'1C'!B:B,"new",0),1,7)&amp;IF(BE16=1,IF(L16&lt;&gt;"",_xlfn.XLOOKUP(L16,Colors!A:A,Colors!B:B,"new",0),"требуется цвет"),""),0))</f>
        <v>92-014-72</v>
      </c>
      <c r="C16" s="44" t="s">
        <v>849</v>
      </c>
      <c r="D16" s="43" t="s">
        <v>899</v>
      </c>
      <c r="E16" s="43" t="str">
        <f>IF(F16&lt;&gt;"",IFERROR(VLOOKUP(F16,Категории!A:B,2,0),""),"Требуется категория")</f>
        <v>Бейсболки</v>
      </c>
      <c r="F16" s="44" t="s">
        <v>784</v>
      </c>
      <c r="G16" s="63" t="s">
        <v>947</v>
      </c>
      <c r="H16" s="44" t="s">
        <v>388</v>
      </c>
      <c r="J16" s="57" t="str">
        <f>'1C'!$AH$1</f>
        <v>HOOD</v>
      </c>
      <c r="K16" s="103" t="s">
        <v>52</v>
      </c>
      <c r="L16" s="59" t="s">
        <v>293</v>
      </c>
      <c r="M16" s="63" t="str">
        <f>IF(K16&lt;&gt;"",_xlfn.XLOOKUP(A16,'1C'!A:A,'1C'!R:R,"",0),"")</f>
        <v/>
      </c>
      <c r="N16" s="63"/>
      <c r="O16" s="63"/>
      <c r="P16" s="141" t="s">
        <v>949</v>
      </c>
      <c r="Q16" s="65"/>
      <c r="R16" s="63" t="s">
        <v>44</v>
      </c>
      <c r="S16" s="58" t="s">
        <v>15</v>
      </c>
      <c r="T16" s="58" t="s">
        <v>382</v>
      </c>
      <c r="U16" s="58">
        <v>3</v>
      </c>
      <c r="X16" s="58"/>
      <c r="Z16" s="58"/>
      <c r="AB16" s="58"/>
      <c r="AD16" s="58"/>
      <c r="AF16" s="58"/>
      <c r="AS16" s="57">
        <f t="shared" si="1"/>
        <v>3</v>
      </c>
      <c r="AT16" s="66" t="s">
        <v>444</v>
      </c>
      <c r="AU16" s="56" t="str">
        <f t="shared" ca="1" si="2"/>
        <v>HOOD HAT, LLC, 15332 Antioch st., #211 Pacific Palisades, CA 90272, USA</v>
      </c>
      <c r="AV16" s="56" t="str">
        <f t="shared" ca="1" si="3"/>
        <v>Соединенные Штаты</v>
      </c>
      <c r="AW16" s="76">
        <f t="shared" si="4"/>
        <v>0.1</v>
      </c>
      <c r="AX16" s="43">
        <f t="shared" si="5"/>
        <v>0.15000000000000002</v>
      </c>
      <c r="AY16" s="43">
        <f t="shared" si="6"/>
        <v>0.30000000000000004</v>
      </c>
      <c r="AZ16" s="43">
        <f t="shared" si="7"/>
        <v>0.45000000000000007</v>
      </c>
      <c r="BA16" s="152">
        <v>2184</v>
      </c>
      <c r="BB16" s="153">
        <f t="shared" si="8"/>
        <v>6552</v>
      </c>
      <c r="BC16" s="45">
        <f>IF(A16&lt;&gt;"",IF(_xlfn.XLOOKUP(A16,'1C'!A:A,'1C'!A:A,0,0)&gt;0,1,0),"")</f>
        <v>0</v>
      </c>
      <c r="BD16" s="146">
        <f>IF(C16&lt;&gt;"",IF(_xlfn.XLOOKUP(C16,'1C'!U:U,'1C'!U:U,0,0)&gt;0,0,1),"")</f>
        <v>0</v>
      </c>
      <c r="BE16" s="73">
        <f t="shared" si="9"/>
        <v>1</v>
      </c>
    </row>
    <row r="17" spans="1:57" ht="98.1" customHeight="1">
      <c r="A17" s="43" t="str">
        <f t="shared" si="0"/>
        <v>100-MWL001-NY015-BKBlack</v>
      </c>
      <c r="B17" s="45" t="str">
        <f>IF(C17&lt;&gt;"",_xlfn.XLOOKUP(A17,'1C'!A:A,'1C'!B:B,MID(_xlfn.XLOOKUP(C17,'1C'!U:U,'1C'!B:B,"new",0),1,7)&amp;IF(BE17=1,IF(L17&lt;&gt;"",_xlfn.XLOOKUP(L17,Colors!A:A,Colors!B:B,"new",0),"требуется цвет"),""),0))</f>
        <v>92-015-09</v>
      </c>
      <c r="C17" s="44" t="s">
        <v>850</v>
      </c>
      <c r="D17" s="43" t="s">
        <v>900</v>
      </c>
      <c r="E17" s="43" t="str">
        <f>IF(F17&lt;&gt;"",IFERROR(VLOOKUP(F17,Категории!A:B,2,0),""),"Требуется категория")</f>
        <v>Бейсболки</v>
      </c>
      <c r="F17" s="44" t="s">
        <v>784</v>
      </c>
      <c r="G17" s="63" t="s">
        <v>947</v>
      </c>
      <c r="H17" s="44" t="s">
        <v>388</v>
      </c>
      <c r="J17" s="57" t="str">
        <f>'1C'!$AH$1</f>
        <v>HOOD</v>
      </c>
      <c r="K17" s="103" t="s">
        <v>52</v>
      </c>
      <c r="L17" s="59" t="s">
        <v>53</v>
      </c>
      <c r="M17" s="63" t="str">
        <f>IF(K17&lt;&gt;"",_xlfn.XLOOKUP(A17,'1C'!A:A,'1C'!R:R,"",0),"")</f>
        <v/>
      </c>
      <c r="N17" s="63"/>
      <c r="O17" s="63"/>
      <c r="P17" s="141" t="s">
        <v>949</v>
      </c>
      <c r="Q17" s="65"/>
      <c r="R17" s="63" t="s">
        <v>44</v>
      </c>
      <c r="S17" s="58" t="s">
        <v>15</v>
      </c>
      <c r="T17" s="58" t="s">
        <v>382</v>
      </c>
      <c r="U17" s="58">
        <v>3</v>
      </c>
      <c r="X17" s="58"/>
      <c r="Z17" s="58"/>
      <c r="AB17" s="58"/>
      <c r="AD17" s="58"/>
      <c r="AF17" s="58"/>
      <c r="AS17" s="57">
        <f t="shared" si="1"/>
        <v>3</v>
      </c>
      <c r="AT17" s="66" t="s">
        <v>444</v>
      </c>
      <c r="AU17" s="56" t="str">
        <f t="shared" ca="1" si="2"/>
        <v>HOOD HAT, LLC, 15332 Antioch st., #211 Pacific Palisades, CA 90272, USA</v>
      </c>
      <c r="AV17" s="56" t="str">
        <f t="shared" ca="1" si="3"/>
        <v>Соединенные Штаты</v>
      </c>
      <c r="AW17" s="76">
        <f t="shared" si="4"/>
        <v>0.1</v>
      </c>
      <c r="AX17" s="43">
        <f t="shared" si="5"/>
        <v>0.15000000000000002</v>
      </c>
      <c r="AY17" s="43">
        <f t="shared" si="6"/>
        <v>0.30000000000000004</v>
      </c>
      <c r="AZ17" s="43">
        <f t="shared" si="7"/>
        <v>0.45000000000000007</v>
      </c>
      <c r="BA17" s="152">
        <v>2184</v>
      </c>
      <c r="BB17" s="153">
        <f t="shared" si="8"/>
        <v>6552</v>
      </c>
      <c r="BC17" s="45">
        <f>IF(A17&lt;&gt;"",IF(_xlfn.XLOOKUP(A17,'1C'!A:A,'1C'!A:A,0,0)&gt;0,1,0),"")</f>
        <v>0</v>
      </c>
      <c r="BD17" s="146">
        <f>IF(C17&lt;&gt;"",IF(_xlfn.XLOOKUP(C17,'1C'!U:U,'1C'!U:U,0,0)&gt;0,0,1),"")</f>
        <v>0</v>
      </c>
      <c r="BE17" s="73">
        <f t="shared" si="9"/>
        <v>1</v>
      </c>
    </row>
    <row r="18" spans="1:57" ht="98.1" customHeight="1">
      <c r="A18" s="43" t="str">
        <f t="shared" si="0"/>
        <v>100-MWL001-NY022-BKBlack</v>
      </c>
      <c r="B18" s="45" t="str">
        <f>IF(C18&lt;&gt;"",_xlfn.XLOOKUP(A18,'1C'!A:A,'1C'!B:B,MID(_xlfn.XLOOKUP(C18,'1C'!U:U,'1C'!B:B,"new",0),1,7)&amp;IF(BE18=1,IF(L18&lt;&gt;"",_xlfn.XLOOKUP(L18,Colors!A:A,Colors!B:B,"new",0),"требуется цвет"),""),0))</f>
        <v>92-016-72</v>
      </c>
      <c r="C18" s="44" t="s">
        <v>851</v>
      </c>
      <c r="D18" s="43" t="s">
        <v>901</v>
      </c>
      <c r="E18" s="43" t="str">
        <f>IF(F18&lt;&gt;"",IFERROR(VLOOKUP(F18,Категории!A:B,2,0),""),"Требуется категория")</f>
        <v>Бейсболки</v>
      </c>
      <c r="F18" s="44" t="s">
        <v>784</v>
      </c>
      <c r="G18" s="63" t="s">
        <v>947</v>
      </c>
      <c r="H18" s="44" t="s">
        <v>388</v>
      </c>
      <c r="J18" s="57" t="str">
        <f>'1C'!$AH$1</f>
        <v>HOOD</v>
      </c>
      <c r="K18" s="103" t="s">
        <v>52</v>
      </c>
      <c r="L18" s="59" t="s">
        <v>293</v>
      </c>
      <c r="M18" s="63" t="str">
        <f>IF(K18&lt;&gt;"",_xlfn.XLOOKUP(A18,'1C'!A:A,'1C'!R:R,"",0),"")</f>
        <v/>
      </c>
      <c r="N18" s="63"/>
      <c r="O18" s="63"/>
      <c r="P18" s="141" t="s">
        <v>949</v>
      </c>
      <c r="Q18" s="65"/>
      <c r="R18" s="63" t="s">
        <v>44</v>
      </c>
      <c r="S18" s="58" t="s">
        <v>15</v>
      </c>
      <c r="T18" s="58" t="s">
        <v>382</v>
      </c>
      <c r="U18" s="58">
        <v>3</v>
      </c>
      <c r="X18" s="58"/>
      <c r="Z18" s="58"/>
      <c r="AB18" s="58"/>
      <c r="AD18" s="58"/>
      <c r="AF18" s="58"/>
      <c r="AS18" s="57">
        <f t="shared" si="1"/>
        <v>3</v>
      </c>
      <c r="AT18" s="66" t="s">
        <v>444</v>
      </c>
      <c r="AU18" s="56" t="str">
        <f t="shared" ca="1" si="2"/>
        <v>HOOD HAT, LLC, 15332 Antioch st., #211 Pacific Palisades, CA 90272, USA</v>
      </c>
      <c r="AV18" s="56" t="str">
        <f t="shared" ca="1" si="3"/>
        <v>Соединенные Штаты</v>
      </c>
      <c r="AW18" s="76">
        <f t="shared" si="4"/>
        <v>0.1</v>
      </c>
      <c r="AX18" s="43">
        <f t="shared" si="5"/>
        <v>0.15000000000000002</v>
      </c>
      <c r="AY18" s="43">
        <f t="shared" si="6"/>
        <v>0.30000000000000004</v>
      </c>
      <c r="AZ18" s="43">
        <f t="shared" si="7"/>
        <v>0.45000000000000007</v>
      </c>
      <c r="BA18" s="152">
        <v>2184</v>
      </c>
      <c r="BB18" s="153">
        <f t="shared" si="8"/>
        <v>6552</v>
      </c>
      <c r="BC18" s="45">
        <f>IF(A18&lt;&gt;"",IF(_xlfn.XLOOKUP(A18,'1C'!A:A,'1C'!A:A,0,0)&gt;0,1,0),"")</f>
        <v>0</v>
      </c>
      <c r="BD18" s="146">
        <f>IF(C18&lt;&gt;"",IF(_xlfn.XLOOKUP(C18,'1C'!U:U,'1C'!U:U,0,0)&gt;0,0,1),"")</f>
        <v>0</v>
      </c>
      <c r="BE18" s="73">
        <f t="shared" si="9"/>
        <v>1</v>
      </c>
    </row>
    <row r="19" spans="1:57" ht="98.1" customHeight="1">
      <c r="A19" s="43" t="str">
        <f t="shared" si="0"/>
        <v>100-MWL001-NY076-BKBlack</v>
      </c>
      <c r="B19" s="45" t="str">
        <f>IF(C19&lt;&gt;"",_xlfn.XLOOKUP(A19,'1C'!A:A,'1C'!B:B,MID(_xlfn.XLOOKUP(C19,'1C'!U:U,'1C'!B:B,"new",0),1,7)&amp;IF(BE19=1,IF(L19&lt;&gt;"",_xlfn.XLOOKUP(L19,Colors!A:A,Colors!B:B,"new",0),"требуется цвет"),""),0))</f>
        <v>92-017-72</v>
      </c>
      <c r="C19" s="44" t="s">
        <v>852</v>
      </c>
      <c r="D19" s="43" t="s">
        <v>902</v>
      </c>
      <c r="E19" s="43" t="str">
        <f>IF(F19&lt;&gt;"",IFERROR(VLOOKUP(F19,Категории!A:B,2,0),""),"Требуется категория")</f>
        <v>Бейсболки</v>
      </c>
      <c r="F19" s="44" t="s">
        <v>784</v>
      </c>
      <c r="G19" s="63" t="s">
        <v>947</v>
      </c>
      <c r="H19" s="44" t="s">
        <v>388</v>
      </c>
      <c r="J19" s="57" t="str">
        <f>'1C'!$AH$1</f>
        <v>HOOD</v>
      </c>
      <c r="K19" s="103" t="s">
        <v>52</v>
      </c>
      <c r="L19" s="59" t="s">
        <v>293</v>
      </c>
      <c r="M19" s="63" t="str">
        <f>IF(K19&lt;&gt;"",_xlfn.XLOOKUP(A19,'1C'!A:A,'1C'!R:R,"",0),"")</f>
        <v/>
      </c>
      <c r="N19" s="63"/>
      <c r="O19" s="63"/>
      <c r="P19" s="141" t="s">
        <v>949</v>
      </c>
      <c r="Q19" s="65"/>
      <c r="R19" s="63" t="s">
        <v>44</v>
      </c>
      <c r="S19" s="58" t="s">
        <v>15</v>
      </c>
      <c r="T19" s="58" t="s">
        <v>382</v>
      </c>
      <c r="U19" s="58">
        <v>3</v>
      </c>
      <c r="X19" s="58"/>
      <c r="Z19" s="58"/>
      <c r="AB19" s="58"/>
      <c r="AD19" s="58"/>
      <c r="AF19" s="58"/>
      <c r="AS19" s="57">
        <f t="shared" si="1"/>
        <v>3</v>
      </c>
      <c r="AT19" s="66" t="s">
        <v>444</v>
      </c>
      <c r="AU19" s="56" t="str">
        <f t="shared" ca="1" si="2"/>
        <v>HOOD HAT, LLC, 15332 Antioch st., #211 Pacific Palisades, CA 90272, USA</v>
      </c>
      <c r="AV19" s="56" t="str">
        <f t="shared" ca="1" si="3"/>
        <v>Соединенные Штаты</v>
      </c>
      <c r="AW19" s="76">
        <f t="shared" si="4"/>
        <v>0.1</v>
      </c>
      <c r="AX19" s="43">
        <f t="shared" si="5"/>
        <v>0.15000000000000002</v>
      </c>
      <c r="AY19" s="43">
        <f t="shared" si="6"/>
        <v>0.30000000000000004</v>
      </c>
      <c r="AZ19" s="43">
        <f t="shared" si="7"/>
        <v>0.45000000000000007</v>
      </c>
      <c r="BA19" s="152">
        <v>2184</v>
      </c>
      <c r="BB19" s="153">
        <f t="shared" si="8"/>
        <v>6552</v>
      </c>
      <c r="BC19" s="45">
        <f>IF(A19&lt;&gt;"",IF(_xlfn.XLOOKUP(A19,'1C'!A:A,'1C'!A:A,0,0)&gt;0,1,0),"")</f>
        <v>0</v>
      </c>
      <c r="BD19" s="146">
        <f>IF(C19&lt;&gt;"",IF(_xlfn.XLOOKUP(C19,'1C'!U:U,'1C'!U:U,0,0)&gt;0,0,1),"")</f>
        <v>0</v>
      </c>
      <c r="BE19" s="73">
        <f t="shared" si="9"/>
        <v>1</v>
      </c>
    </row>
    <row r="20" spans="1:57" ht="98.1" customHeight="1">
      <c r="A20" s="43" t="str">
        <f t="shared" si="0"/>
        <v>100-MWL003-PA013-NYNavy</v>
      </c>
      <c r="B20" s="45" t="str">
        <f>IF(C20&lt;&gt;"",_xlfn.XLOOKUP(A20,'1C'!A:A,'1C'!B:B,MID(_xlfn.XLOOKUP(C20,'1C'!U:U,'1C'!B:B,"new",0),1,7)&amp;IF(BE20=1,IF(L20&lt;&gt;"",_xlfn.XLOOKUP(L20,Colors!A:A,Colors!B:B,"new",0),"требуется цвет"),""),0))</f>
        <v>92-018-65</v>
      </c>
      <c r="C20" s="44" t="s">
        <v>853</v>
      </c>
      <c r="D20" s="43" t="s">
        <v>903</v>
      </c>
      <c r="E20" s="43" t="str">
        <f>IF(F20&lt;&gt;"",IFERROR(VLOOKUP(F20,Категории!A:B,2,0),""),"Требуется категория")</f>
        <v>Бейсболки</v>
      </c>
      <c r="F20" s="44" t="s">
        <v>784</v>
      </c>
      <c r="G20" s="63" t="s">
        <v>947</v>
      </c>
      <c r="H20" s="44" t="s">
        <v>388</v>
      </c>
      <c r="J20" s="57" t="str">
        <f>'1C'!$AH$1</f>
        <v>HOOD</v>
      </c>
      <c r="K20" s="103" t="s">
        <v>54</v>
      </c>
      <c r="L20" s="59" t="s">
        <v>679</v>
      </c>
      <c r="M20" s="63" t="str">
        <f>IF(K20&lt;&gt;"",_xlfn.XLOOKUP(A20,'1C'!A:A,'1C'!R:R,"",0),"")</f>
        <v/>
      </c>
      <c r="N20" s="63"/>
      <c r="O20" s="63"/>
      <c r="P20" s="141" t="s">
        <v>949</v>
      </c>
      <c r="Q20" s="65"/>
      <c r="R20" s="63" t="s">
        <v>44</v>
      </c>
      <c r="S20" s="58" t="s">
        <v>15</v>
      </c>
      <c r="T20" s="58" t="s">
        <v>382</v>
      </c>
      <c r="U20" s="58">
        <v>3</v>
      </c>
      <c r="X20" s="58"/>
      <c r="Z20" s="58"/>
      <c r="AB20" s="58"/>
      <c r="AD20" s="58"/>
      <c r="AF20" s="58"/>
      <c r="AS20" s="57">
        <f t="shared" si="1"/>
        <v>3</v>
      </c>
      <c r="AT20" s="66" t="s">
        <v>444</v>
      </c>
      <c r="AU20" s="56" t="str">
        <f t="shared" ca="1" si="2"/>
        <v>HOOD HAT, LLC, 15332 Antioch st., #211 Pacific Palisades, CA 90272, USA</v>
      </c>
      <c r="AV20" s="56" t="str">
        <f t="shared" ca="1" si="3"/>
        <v>Соединенные Штаты</v>
      </c>
      <c r="AW20" s="76">
        <f t="shared" si="4"/>
        <v>0.1</v>
      </c>
      <c r="AX20" s="43">
        <f t="shared" si="5"/>
        <v>0.15000000000000002</v>
      </c>
      <c r="AY20" s="43">
        <f t="shared" si="6"/>
        <v>0.30000000000000004</v>
      </c>
      <c r="AZ20" s="43">
        <f t="shared" si="7"/>
        <v>0.45000000000000007</v>
      </c>
      <c r="BA20" s="152">
        <v>2184</v>
      </c>
      <c r="BB20" s="153">
        <f t="shared" si="8"/>
        <v>6552</v>
      </c>
      <c r="BC20" s="45">
        <f>IF(A20&lt;&gt;"",IF(_xlfn.XLOOKUP(A20,'1C'!A:A,'1C'!A:A,0,0)&gt;0,1,0),"")</f>
        <v>0</v>
      </c>
      <c r="BD20" s="146">
        <f>IF(C20&lt;&gt;"",IF(_xlfn.XLOOKUP(C20,'1C'!U:U,'1C'!U:U,0,0)&gt;0,0,1),"")</f>
        <v>0</v>
      </c>
      <c r="BE20" s="73">
        <f t="shared" si="9"/>
        <v>1</v>
      </c>
    </row>
    <row r="21" spans="1:57" ht="98.1" customHeight="1">
      <c r="A21" s="43" t="str">
        <f t="shared" si="0"/>
        <v>100-MWL005-CA069-BKBlack</v>
      </c>
      <c r="B21" s="45" t="str">
        <f>IF(C21&lt;&gt;"",_xlfn.XLOOKUP(A21,'1C'!A:A,'1C'!B:B,MID(_xlfn.XLOOKUP(C21,'1C'!U:U,'1C'!B:B,"new",0),1,7)&amp;IF(BE21=1,IF(L21&lt;&gt;"",_xlfn.XLOOKUP(L21,Colors!A:A,Colors!B:B,"new",0),"требуется цвет"),""),0))</f>
        <v>92-019-72</v>
      </c>
      <c r="C21" s="44" t="s">
        <v>854</v>
      </c>
      <c r="D21" s="43" t="s">
        <v>904</v>
      </c>
      <c r="E21" s="43" t="str">
        <f>IF(F21&lt;&gt;"",IFERROR(VLOOKUP(F21,Категории!A:B,2,0),""),"Требуется категория")</f>
        <v>Бейсболки</v>
      </c>
      <c r="F21" s="44" t="s">
        <v>784</v>
      </c>
      <c r="G21" s="63" t="s">
        <v>947</v>
      </c>
      <c r="H21" s="44" t="s">
        <v>388</v>
      </c>
      <c r="J21" s="57" t="str">
        <f>'1C'!$AH$1</f>
        <v>HOOD</v>
      </c>
      <c r="K21" s="103" t="s">
        <v>52</v>
      </c>
      <c r="L21" s="59" t="s">
        <v>293</v>
      </c>
      <c r="M21" s="63" t="str">
        <f>IF(K21&lt;&gt;"",_xlfn.XLOOKUP(A21,'1C'!A:A,'1C'!R:R,"",0),"")</f>
        <v/>
      </c>
      <c r="N21" s="63"/>
      <c r="O21" s="63"/>
      <c r="P21" s="141" t="s">
        <v>949</v>
      </c>
      <c r="Q21" s="65"/>
      <c r="R21" s="63" t="s">
        <v>44</v>
      </c>
      <c r="S21" s="58" t="s">
        <v>15</v>
      </c>
      <c r="T21" s="58" t="s">
        <v>382</v>
      </c>
      <c r="U21" s="58">
        <v>6</v>
      </c>
      <c r="X21" s="58"/>
      <c r="Z21" s="58"/>
      <c r="AB21" s="58"/>
      <c r="AD21" s="58"/>
      <c r="AF21" s="58"/>
      <c r="AS21" s="57">
        <f t="shared" si="1"/>
        <v>6</v>
      </c>
      <c r="AT21" s="66" t="s">
        <v>444</v>
      </c>
      <c r="AU21" s="56" t="str">
        <f t="shared" ca="1" si="2"/>
        <v>HOOD HAT, LLC, 15332 Antioch st., #211 Pacific Palisades, CA 90272, USA</v>
      </c>
      <c r="AV21" s="56" t="str">
        <f t="shared" ca="1" si="3"/>
        <v>Соединенные Штаты</v>
      </c>
      <c r="AW21" s="76">
        <f t="shared" si="4"/>
        <v>0.1</v>
      </c>
      <c r="AX21" s="43">
        <f t="shared" si="5"/>
        <v>0.15000000000000002</v>
      </c>
      <c r="AY21" s="43">
        <f t="shared" si="6"/>
        <v>0.60000000000000009</v>
      </c>
      <c r="AZ21" s="43">
        <f t="shared" si="7"/>
        <v>0.90000000000000013</v>
      </c>
      <c r="BA21" s="152">
        <v>2184</v>
      </c>
      <c r="BB21" s="153">
        <f t="shared" si="8"/>
        <v>13104</v>
      </c>
      <c r="BC21" s="45">
        <f>IF(A21&lt;&gt;"",IF(_xlfn.XLOOKUP(A21,'1C'!A:A,'1C'!A:A,0,0)&gt;0,1,0),"")</f>
        <v>0</v>
      </c>
      <c r="BD21" s="146">
        <f>IF(C21&lt;&gt;"",IF(_xlfn.XLOOKUP(C21,'1C'!U:U,'1C'!U:U,0,0)&gt;0,0,1),"")</f>
        <v>0</v>
      </c>
      <c r="BE21" s="73">
        <f t="shared" si="9"/>
        <v>1</v>
      </c>
    </row>
    <row r="22" spans="1:57" ht="98.1" customHeight="1">
      <c r="A22" s="43" t="str">
        <f t="shared" si="0"/>
        <v>100-MWL005-CA069-BKABlack</v>
      </c>
      <c r="B22" s="45" t="str">
        <f>IF(C22&lt;&gt;"",_xlfn.XLOOKUP(A22,'1C'!A:A,'1C'!B:B,MID(_xlfn.XLOOKUP(C22,'1C'!U:U,'1C'!B:B,"new",0),1,7)&amp;IF(BE22=1,IF(L22&lt;&gt;"",_xlfn.XLOOKUP(L22,Colors!A:A,Colors!B:B,"new",0),"требуется цвет"),""),0))</f>
        <v>92-020-09</v>
      </c>
      <c r="C22" s="44" t="s">
        <v>855</v>
      </c>
      <c r="D22" s="43" t="s">
        <v>905</v>
      </c>
      <c r="E22" s="43" t="str">
        <f>IF(F22&lt;&gt;"",IFERROR(VLOOKUP(F22,Категории!A:B,2,0),""),"Требуется категория")</f>
        <v>Бейсболки</v>
      </c>
      <c r="F22" s="44" t="s">
        <v>784</v>
      </c>
      <c r="G22" s="63" t="s">
        <v>947</v>
      </c>
      <c r="H22" s="44" t="s">
        <v>388</v>
      </c>
      <c r="J22" s="57" t="str">
        <f>'1C'!$AH$1</f>
        <v>HOOD</v>
      </c>
      <c r="K22" s="103" t="s">
        <v>52</v>
      </c>
      <c r="L22" s="59" t="s">
        <v>306</v>
      </c>
      <c r="M22" s="63" t="str">
        <f>IF(K22&lt;&gt;"",_xlfn.XLOOKUP(A22,'1C'!A:A,'1C'!R:R,"",0),"")</f>
        <v/>
      </c>
      <c r="N22" s="63"/>
      <c r="O22" s="63"/>
      <c r="P22" s="141" t="s">
        <v>949</v>
      </c>
      <c r="Q22" s="65"/>
      <c r="R22" s="63" t="s">
        <v>44</v>
      </c>
      <c r="S22" s="58" t="s">
        <v>15</v>
      </c>
      <c r="T22" s="58" t="s">
        <v>382</v>
      </c>
      <c r="U22" s="58">
        <v>3</v>
      </c>
      <c r="X22" s="58"/>
      <c r="Z22" s="58"/>
      <c r="AB22" s="58"/>
      <c r="AD22" s="58"/>
      <c r="AF22" s="58"/>
      <c r="AS22" s="57">
        <f t="shared" si="1"/>
        <v>3</v>
      </c>
      <c r="AT22" s="66" t="s">
        <v>444</v>
      </c>
      <c r="AU22" s="56" t="str">
        <f t="shared" ca="1" si="2"/>
        <v>HOOD HAT, LLC, 15332 Antioch st., #211 Pacific Palisades, CA 90272, USA</v>
      </c>
      <c r="AV22" s="56" t="str">
        <f t="shared" ca="1" si="3"/>
        <v>Соединенные Штаты</v>
      </c>
      <c r="AW22" s="76">
        <f t="shared" si="4"/>
        <v>0.1</v>
      </c>
      <c r="AX22" s="43">
        <f t="shared" si="5"/>
        <v>0.15000000000000002</v>
      </c>
      <c r="AY22" s="43">
        <f t="shared" si="6"/>
        <v>0.30000000000000004</v>
      </c>
      <c r="AZ22" s="43">
        <f t="shared" si="7"/>
        <v>0.45000000000000007</v>
      </c>
      <c r="BA22" s="152">
        <v>2184</v>
      </c>
      <c r="BB22" s="153">
        <f t="shared" si="8"/>
        <v>6552</v>
      </c>
      <c r="BC22" s="45">
        <f>IF(A22&lt;&gt;"",IF(_xlfn.XLOOKUP(A22,'1C'!A:A,'1C'!A:A,0,0)&gt;0,1,0),"")</f>
        <v>0</v>
      </c>
      <c r="BD22" s="146">
        <f>IF(C22&lt;&gt;"",IF(_xlfn.XLOOKUP(C22,'1C'!U:U,'1C'!U:U,0,0)&gt;0,0,1),"")</f>
        <v>0</v>
      </c>
      <c r="BE22" s="73">
        <f t="shared" si="9"/>
        <v>1</v>
      </c>
    </row>
    <row r="23" spans="1:57" ht="98.1" customHeight="1">
      <c r="A23" s="43" t="str">
        <f t="shared" si="0"/>
        <v>100-MWL005-CA087-BKBlack</v>
      </c>
      <c r="B23" s="45" t="str">
        <f>IF(C23&lt;&gt;"",_xlfn.XLOOKUP(A23,'1C'!A:A,'1C'!B:B,MID(_xlfn.XLOOKUP(C23,'1C'!U:U,'1C'!B:B,"new",0),1,7)&amp;IF(BE23=1,IF(L23&lt;&gt;"",_xlfn.XLOOKUP(L23,Colors!A:A,Colors!B:B,"new",0),"требуется цвет"),""),0))</f>
        <v>92-021-72</v>
      </c>
      <c r="C23" s="44" t="s">
        <v>856</v>
      </c>
      <c r="D23" s="43" t="s">
        <v>906</v>
      </c>
      <c r="E23" s="43" t="str">
        <f>IF(F23&lt;&gt;"",IFERROR(VLOOKUP(F23,Категории!A:B,2,0),""),"Требуется категория")</f>
        <v>Бейсболки</v>
      </c>
      <c r="F23" s="44" t="s">
        <v>784</v>
      </c>
      <c r="G23" s="63" t="s">
        <v>947</v>
      </c>
      <c r="H23" s="44" t="s">
        <v>388</v>
      </c>
      <c r="J23" s="57" t="str">
        <f>'1C'!$AH$1</f>
        <v>HOOD</v>
      </c>
      <c r="K23" s="103" t="s">
        <v>52</v>
      </c>
      <c r="L23" s="59" t="s">
        <v>302</v>
      </c>
      <c r="M23" s="63" t="str">
        <f>IF(K23&lt;&gt;"",_xlfn.XLOOKUP(A23,'1C'!A:A,'1C'!R:R,"",0),"")</f>
        <v/>
      </c>
      <c r="N23" s="63"/>
      <c r="O23" s="63"/>
      <c r="P23" s="141" t="s">
        <v>949</v>
      </c>
      <c r="Q23" s="65"/>
      <c r="R23" s="63" t="s">
        <v>44</v>
      </c>
      <c r="S23" s="58" t="s">
        <v>15</v>
      </c>
      <c r="T23" s="58" t="s">
        <v>382</v>
      </c>
      <c r="U23" s="58">
        <v>3</v>
      </c>
      <c r="X23" s="58"/>
      <c r="Z23" s="58"/>
      <c r="AB23" s="58"/>
      <c r="AD23" s="58"/>
      <c r="AF23" s="58"/>
      <c r="AS23" s="57">
        <f t="shared" si="1"/>
        <v>3</v>
      </c>
      <c r="AT23" s="66" t="s">
        <v>444</v>
      </c>
      <c r="AU23" s="56" t="str">
        <f t="shared" ca="1" si="2"/>
        <v>HOOD HAT, LLC, 15332 Antioch st., #211 Pacific Palisades, CA 90272, USA</v>
      </c>
      <c r="AV23" s="56" t="str">
        <f t="shared" ca="1" si="3"/>
        <v>Соединенные Штаты</v>
      </c>
      <c r="AW23" s="76">
        <f t="shared" si="4"/>
        <v>0.1</v>
      </c>
      <c r="AX23" s="43">
        <f t="shared" si="5"/>
        <v>0.15000000000000002</v>
      </c>
      <c r="AY23" s="43">
        <f t="shared" si="6"/>
        <v>0.30000000000000004</v>
      </c>
      <c r="AZ23" s="43">
        <f t="shared" si="7"/>
        <v>0.45000000000000007</v>
      </c>
      <c r="BA23" s="152">
        <v>2184</v>
      </c>
      <c r="BB23" s="153">
        <f t="shared" si="8"/>
        <v>6552</v>
      </c>
      <c r="BC23" s="45">
        <f>IF(A23&lt;&gt;"",IF(_xlfn.XLOOKUP(A23,'1C'!A:A,'1C'!A:A,0,0)&gt;0,1,0),"")</f>
        <v>0</v>
      </c>
      <c r="BD23" s="146">
        <f>IF(C23&lt;&gt;"",IF(_xlfn.XLOOKUP(C23,'1C'!U:U,'1C'!U:U,0,0)&gt;0,0,1),"")</f>
        <v>0</v>
      </c>
      <c r="BE23" s="73">
        <f t="shared" si="9"/>
        <v>1</v>
      </c>
    </row>
    <row r="24" spans="1:57" ht="98.1" customHeight="1">
      <c r="A24" s="43" t="str">
        <f t="shared" si="0"/>
        <v>100-MWL005-CO005-MNMaroon</v>
      </c>
      <c r="B24" s="45" t="str">
        <f>IF(C24&lt;&gt;"",_xlfn.XLOOKUP(A24,'1C'!A:A,'1C'!B:B,MID(_xlfn.XLOOKUP(C24,'1C'!U:U,'1C'!B:B,"new",0),1,7)&amp;IF(BE24=1,IF(L24&lt;&gt;"",_xlfn.XLOOKUP(L24,Colors!A:A,Colors!B:B,"new",0),"требуется цвет"),""),0))</f>
        <v>92-022-65</v>
      </c>
      <c r="C24" s="44" t="s">
        <v>857</v>
      </c>
      <c r="D24" s="43" t="s">
        <v>907</v>
      </c>
      <c r="E24" s="43" t="str">
        <f>IF(F24&lt;&gt;"",IFERROR(VLOOKUP(F24,Категории!A:B,2,0),""),"Требуется категория")</f>
        <v>Бейсболки</v>
      </c>
      <c r="F24" s="44" t="s">
        <v>784</v>
      </c>
      <c r="G24" s="63" t="s">
        <v>947</v>
      </c>
      <c r="H24" s="44" t="s">
        <v>388</v>
      </c>
      <c r="J24" s="57" t="str">
        <f>'1C'!$AH$1</f>
        <v>HOOD</v>
      </c>
      <c r="K24" s="103" t="s">
        <v>937</v>
      </c>
      <c r="L24" s="58" t="s">
        <v>123</v>
      </c>
      <c r="M24" s="63" t="str">
        <f>IF(K24&lt;&gt;"",_xlfn.XLOOKUP(A24,'1C'!A:A,'1C'!R:R,"",0),"")</f>
        <v/>
      </c>
      <c r="N24" s="63"/>
      <c r="O24" s="63"/>
      <c r="P24" s="141" t="s">
        <v>949</v>
      </c>
      <c r="Q24" s="65"/>
      <c r="R24" s="63" t="s">
        <v>44</v>
      </c>
      <c r="S24" s="58" t="s">
        <v>15</v>
      </c>
      <c r="T24" s="58" t="s">
        <v>382</v>
      </c>
      <c r="U24" s="58">
        <v>3</v>
      </c>
      <c r="X24" s="58"/>
      <c r="Z24" s="58"/>
      <c r="AB24" s="58"/>
      <c r="AD24" s="58"/>
      <c r="AF24" s="58"/>
      <c r="AS24" s="57">
        <f t="shared" si="1"/>
        <v>3</v>
      </c>
      <c r="AT24" s="66" t="s">
        <v>444</v>
      </c>
      <c r="AU24" s="56" t="str">
        <f t="shared" ca="1" si="2"/>
        <v>HOOD HAT, LLC, 15332 Antioch st., #211 Pacific Palisades, CA 90272, USA</v>
      </c>
      <c r="AV24" s="56" t="str">
        <f t="shared" ca="1" si="3"/>
        <v>Соединенные Штаты</v>
      </c>
      <c r="AW24" s="76">
        <f t="shared" si="4"/>
        <v>0.1</v>
      </c>
      <c r="AX24" s="43">
        <f t="shared" si="5"/>
        <v>0.15000000000000002</v>
      </c>
      <c r="AY24" s="43">
        <f t="shared" si="6"/>
        <v>0.30000000000000004</v>
      </c>
      <c r="AZ24" s="43">
        <f t="shared" si="7"/>
        <v>0.45000000000000007</v>
      </c>
      <c r="BA24" s="152">
        <v>2184</v>
      </c>
      <c r="BB24" s="153">
        <f t="shared" si="8"/>
        <v>6552</v>
      </c>
      <c r="BC24" s="45">
        <f>IF(A24&lt;&gt;"",IF(_xlfn.XLOOKUP(A24,'1C'!A:A,'1C'!A:A,0,0)&gt;0,1,0),"")</f>
        <v>0</v>
      </c>
      <c r="BD24" s="146">
        <f>IF(C24&lt;&gt;"",IF(_xlfn.XLOOKUP(C24,'1C'!U:U,'1C'!U:U,0,0)&gt;0,0,1),"")</f>
        <v>0</v>
      </c>
      <c r="BE24" s="73">
        <f t="shared" si="9"/>
        <v>1</v>
      </c>
    </row>
    <row r="25" spans="1:57" ht="98.1" customHeight="1">
      <c r="A25" s="43" t="str">
        <f t="shared" si="0"/>
        <v>100-MWL005-GA003-HWHighway</v>
      </c>
      <c r="B25" s="45" t="str">
        <f>IF(C25&lt;&gt;"",_xlfn.XLOOKUP(A25,'1C'!A:A,'1C'!B:B,MID(_xlfn.XLOOKUP(C25,'1C'!U:U,'1C'!B:B,"new",0),1,7)&amp;IF(BE25=1,IF(L25&lt;&gt;"",_xlfn.XLOOKUP(L25,Colors!A:A,Colors!B:B,"new",0),"требуется цвет"),""),0))</f>
        <v>92-023-08</v>
      </c>
      <c r="C25" s="44" t="s">
        <v>858</v>
      </c>
      <c r="D25" s="43" t="s">
        <v>908</v>
      </c>
      <c r="E25" s="43" t="str">
        <f>IF(F25&lt;&gt;"",IFERROR(VLOOKUP(F25,Категории!A:B,2,0),""),"Требуется категория")</f>
        <v>Бейсболки</v>
      </c>
      <c r="F25" s="44" t="s">
        <v>784</v>
      </c>
      <c r="G25" s="63" t="s">
        <v>947</v>
      </c>
      <c r="H25" s="44" t="s">
        <v>388</v>
      </c>
      <c r="J25" s="57" t="str">
        <f>'1C'!$AH$1</f>
        <v>HOOD</v>
      </c>
      <c r="K25" s="103" t="s">
        <v>938</v>
      </c>
      <c r="L25" s="58" t="s">
        <v>241</v>
      </c>
      <c r="M25" s="63" t="str">
        <f>IF(K25&lt;&gt;"",_xlfn.XLOOKUP(A25,'1C'!A:A,'1C'!R:R,"",0),"")</f>
        <v/>
      </c>
      <c r="N25" s="63"/>
      <c r="O25" s="63"/>
      <c r="P25" s="141" t="s">
        <v>949</v>
      </c>
      <c r="Q25" s="65"/>
      <c r="R25" s="63" t="s">
        <v>44</v>
      </c>
      <c r="S25" s="58" t="s">
        <v>15</v>
      </c>
      <c r="T25" s="58" t="s">
        <v>382</v>
      </c>
      <c r="U25" s="58">
        <v>3</v>
      </c>
      <c r="X25" s="58"/>
      <c r="Z25" s="58"/>
      <c r="AB25" s="58"/>
      <c r="AD25" s="58"/>
      <c r="AF25" s="58"/>
      <c r="AS25" s="57">
        <f t="shared" si="1"/>
        <v>3</v>
      </c>
      <c r="AT25" s="66" t="s">
        <v>444</v>
      </c>
      <c r="AU25" s="56" t="str">
        <f t="shared" ca="1" si="2"/>
        <v>HOOD HAT, LLC, 15332 Antioch st., #211 Pacific Palisades, CA 90272, USA</v>
      </c>
      <c r="AV25" s="56" t="str">
        <f t="shared" ca="1" si="3"/>
        <v>Соединенные Штаты</v>
      </c>
      <c r="AW25" s="76">
        <f t="shared" si="4"/>
        <v>0.1</v>
      </c>
      <c r="AX25" s="43">
        <f t="shared" si="5"/>
        <v>0.15000000000000002</v>
      </c>
      <c r="AY25" s="43">
        <f t="shared" si="6"/>
        <v>0.30000000000000004</v>
      </c>
      <c r="AZ25" s="43">
        <f t="shared" si="7"/>
        <v>0.45000000000000007</v>
      </c>
      <c r="BA25" s="152">
        <v>2184</v>
      </c>
      <c r="BB25" s="153">
        <f t="shared" si="8"/>
        <v>6552</v>
      </c>
      <c r="BC25" s="45">
        <f>IF(A25&lt;&gt;"",IF(_xlfn.XLOOKUP(A25,'1C'!A:A,'1C'!A:A,0,0)&gt;0,1,0),"")</f>
        <v>0</v>
      </c>
      <c r="BD25" s="146">
        <f>IF(C25&lt;&gt;"",IF(_xlfn.XLOOKUP(C25,'1C'!U:U,'1C'!U:U,0,0)&gt;0,0,1),"")</f>
        <v>0</v>
      </c>
      <c r="BE25" s="73">
        <f t="shared" si="9"/>
        <v>1</v>
      </c>
    </row>
    <row r="26" spans="1:57" ht="98.1" customHeight="1">
      <c r="A26" s="43" t="str">
        <f t="shared" si="0"/>
        <v>100-MWL005-IL011-BKBlack</v>
      </c>
      <c r="B26" s="45" t="str">
        <f>IF(C26&lt;&gt;"",_xlfn.XLOOKUP(A26,'1C'!A:A,'1C'!B:B,MID(_xlfn.XLOOKUP(C26,'1C'!U:U,'1C'!B:B,"new",0),1,7)&amp;IF(BE26=1,IF(L26&lt;&gt;"",_xlfn.XLOOKUP(L26,Colors!A:A,Colors!B:B,"new",0),"требуется цвет"),""),0))</f>
        <v>92-024-72</v>
      </c>
      <c r="C26" s="44" t="s">
        <v>859</v>
      </c>
      <c r="D26" s="43" t="s">
        <v>909</v>
      </c>
      <c r="E26" s="43" t="str">
        <f>IF(F26&lt;&gt;"",IFERROR(VLOOKUP(F26,Категории!A:B,2,0),""),"Требуется категория")</f>
        <v>Бейсболки</v>
      </c>
      <c r="F26" s="44" t="s">
        <v>784</v>
      </c>
      <c r="G26" s="63" t="s">
        <v>947</v>
      </c>
      <c r="H26" s="44" t="s">
        <v>388</v>
      </c>
      <c r="J26" s="57" t="str">
        <f>'1C'!$AH$1</f>
        <v>HOOD</v>
      </c>
      <c r="K26" s="103" t="s">
        <v>52</v>
      </c>
      <c r="L26" s="59" t="s">
        <v>293</v>
      </c>
      <c r="M26" s="63" t="str">
        <f>IF(K26&lt;&gt;"",_xlfn.XLOOKUP(A26,'1C'!A:A,'1C'!R:R,"",0),"")</f>
        <v/>
      </c>
      <c r="N26" s="63"/>
      <c r="O26" s="63"/>
      <c r="P26" s="141" t="s">
        <v>949</v>
      </c>
      <c r="Q26" s="65"/>
      <c r="R26" s="63" t="s">
        <v>44</v>
      </c>
      <c r="S26" s="58" t="s">
        <v>15</v>
      </c>
      <c r="T26" s="58" t="s">
        <v>382</v>
      </c>
      <c r="U26" s="58">
        <v>3</v>
      </c>
      <c r="X26" s="58"/>
      <c r="Z26" s="58"/>
      <c r="AB26" s="58"/>
      <c r="AD26" s="58"/>
      <c r="AF26" s="58"/>
      <c r="AS26" s="57">
        <f t="shared" si="1"/>
        <v>3</v>
      </c>
      <c r="AT26" s="66" t="s">
        <v>444</v>
      </c>
      <c r="AU26" s="56" t="str">
        <f t="shared" ca="1" si="2"/>
        <v>HOOD HAT, LLC, 15332 Antioch st., #211 Pacific Palisades, CA 90272, USA</v>
      </c>
      <c r="AV26" s="56" t="str">
        <f t="shared" ca="1" si="3"/>
        <v>Соединенные Штаты</v>
      </c>
      <c r="AW26" s="76">
        <f t="shared" si="4"/>
        <v>0.1</v>
      </c>
      <c r="AX26" s="43">
        <f t="shared" si="5"/>
        <v>0.15000000000000002</v>
      </c>
      <c r="AY26" s="43">
        <f t="shared" si="6"/>
        <v>0.30000000000000004</v>
      </c>
      <c r="AZ26" s="43">
        <f t="shared" si="7"/>
        <v>0.45000000000000007</v>
      </c>
      <c r="BA26" s="152">
        <v>2184</v>
      </c>
      <c r="BB26" s="153">
        <f t="shared" si="8"/>
        <v>6552</v>
      </c>
      <c r="BC26" s="45">
        <f>IF(A26&lt;&gt;"",IF(_xlfn.XLOOKUP(A26,'1C'!A:A,'1C'!A:A,0,0)&gt;0,1,0),"")</f>
        <v>0</v>
      </c>
      <c r="BD26" s="146">
        <f>IF(C26&lt;&gt;"",IF(_xlfn.XLOOKUP(C26,'1C'!U:U,'1C'!U:U,0,0)&gt;0,0,1),"")</f>
        <v>0</v>
      </c>
      <c r="BE26" s="73">
        <f t="shared" si="9"/>
        <v>1</v>
      </c>
    </row>
    <row r="27" spans="1:57" ht="98.1" customHeight="1">
      <c r="A27" s="43" t="str">
        <f t="shared" si="0"/>
        <v>100-MWL005-IL011-BKABlack</v>
      </c>
      <c r="B27" s="45" t="str">
        <f>IF(C27&lt;&gt;"",_xlfn.XLOOKUP(A27,'1C'!A:A,'1C'!B:B,MID(_xlfn.XLOOKUP(C27,'1C'!U:U,'1C'!B:B,"new",0),1,7)&amp;IF(BE27=1,IF(L27&lt;&gt;"",_xlfn.XLOOKUP(L27,Colors!A:A,Colors!B:B,"new",0),"требуется цвет"),""),0))</f>
        <v>92-025-72</v>
      </c>
      <c r="C27" s="44" t="s">
        <v>860</v>
      </c>
      <c r="D27" s="43" t="s">
        <v>910</v>
      </c>
      <c r="E27" s="43" t="str">
        <f>IF(F27&lt;&gt;"",IFERROR(VLOOKUP(F27,Категории!A:B,2,0),""),"Требуется категория")</f>
        <v>Бейсболки</v>
      </c>
      <c r="F27" s="44" t="s">
        <v>784</v>
      </c>
      <c r="G27" s="63" t="s">
        <v>947</v>
      </c>
      <c r="H27" s="44" t="s">
        <v>388</v>
      </c>
      <c r="J27" s="57" t="str">
        <f>'1C'!$AH$1</f>
        <v>HOOD</v>
      </c>
      <c r="K27" s="103" t="s">
        <v>52</v>
      </c>
      <c r="L27" s="59" t="s">
        <v>302</v>
      </c>
      <c r="M27" s="63" t="str">
        <f>IF(K27&lt;&gt;"",_xlfn.XLOOKUP(A27,'1C'!A:A,'1C'!R:R,"",0),"")</f>
        <v/>
      </c>
      <c r="N27" s="63"/>
      <c r="O27" s="63"/>
      <c r="P27" s="141" t="s">
        <v>949</v>
      </c>
      <c r="Q27" s="65"/>
      <c r="R27" s="63" t="s">
        <v>44</v>
      </c>
      <c r="S27" s="58" t="s">
        <v>15</v>
      </c>
      <c r="T27" s="58" t="s">
        <v>382</v>
      </c>
      <c r="U27" s="58">
        <v>3</v>
      </c>
      <c r="X27" s="58"/>
      <c r="Z27" s="58"/>
      <c r="AB27" s="58"/>
      <c r="AD27" s="58"/>
      <c r="AF27" s="58"/>
      <c r="AS27" s="57">
        <f t="shared" si="1"/>
        <v>3</v>
      </c>
      <c r="AT27" s="66" t="s">
        <v>444</v>
      </c>
      <c r="AU27" s="56" t="str">
        <f t="shared" ca="1" si="2"/>
        <v>HOOD HAT, LLC, 15332 Antioch st., #211 Pacific Palisades, CA 90272, USA</v>
      </c>
      <c r="AV27" s="56" t="str">
        <f t="shared" ca="1" si="3"/>
        <v>Соединенные Штаты</v>
      </c>
      <c r="AW27" s="76">
        <f t="shared" si="4"/>
        <v>0.1</v>
      </c>
      <c r="AX27" s="43">
        <f t="shared" si="5"/>
        <v>0.15000000000000002</v>
      </c>
      <c r="AY27" s="43">
        <f t="shared" si="6"/>
        <v>0.30000000000000004</v>
      </c>
      <c r="AZ27" s="43">
        <f t="shared" si="7"/>
        <v>0.45000000000000007</v>
      </c>
      <c r="BA27" s="152">
        <v>2184</v>
      </c>
      <c r="BB27" s="153">
        <f t="shared" si="8"/>
        <v>6552</v>
      </c>
      <c r="BC27" s="45">
        <f>IF(A27&lt;&gt;"",IF(_xlfn.XLOOKUP(A27,'1C'!A:A,'1C'!A:A,0,0)&gt;0,1,0),"")</f>
        <v>0</v>
      </c>
      <c r="BD27" s="146">
        <f>IF(C27&lt;&gt;"",IF(_xlfn.XLOOKUP(C27,'1C'!U:U,'1C'!U:U,0,0)&gt;0,0,1),"")</f>
        <v>0</v>
      </c>
      <c r="BE27" s="73">
        <f t="shared" si="9"/>
        <v>1</v>
      </c>
    </row>
    <row r="28" spans="1:57" ht="98.1" customHeight="1">
      <c r="A28" s="43" t="str">
        <f t="shared" si="0"/>
        <v>100-MWL005-MD007-BKBlack</v>
      </c>
      <c r="B28" s="45" t="str">
        <f>IF(C28&lt;&gt;"",_xlfn.XLOOKUP(A28,'1C'!A:A,'1C'!B:B,MID(_xlfn.XLOOKUP(C28,'1C'!U:U,'1C'!B:B,"new",0),1,7)&amp;IF(BE28=1,IF(L28&lt;&gt;"",_xlfn.XLOOKUP(L28,Colors!A:A,Colors!B:B,"new",0),"требуется цвет"),""),0))</f>
        <v>92-026-09</v>
      </c>
      <c r="C28" s="44" t="s">
        <v>861</v>
      </c>
      <c r="D28" s="43" t="s">
        <v>911</v>
      </c>
      <c r="E28" s="43" t="str">
        <f>IF(F28&lt;&gt;"",IFERROR(VLOOKUP(F28,Категории!A:B,2,0),""),"Требуется категория")</f>
        <v>Бейсболки</v>
      </c>
      <c r="F28" s="44" t="s">
        <v>784</v>
      </c>
      <c r="G28" s="63" t="s">
        <v>947</v>
      </c>
      <c r="H28" s="44" t="s">
        <v>388</v>
      </c>
      <c r="J28" s="57" t="str">
        <f>'1C'!$AH$1</f>
        <v>HOOD</v>
      </c>
      <c r="K28" s="103" t="s">
        <v>52</v>
      </c>
      <c r="L28" s="59" t="s">
        <v>596</v>
      </c>
      <c r="M28" s="63" t="str">
        <f>IF(K28&lt;&gt;"",_xlfn.XLOOKUP(A28,'1C'!A:A,'1C'!R:R,"",0),"")</f>
        <v/>
      </c>
      <c r="N28" s="63"/>
      <c r="O28" s="63"/>
      <c r="P28" s="141" t="s">
        <v>949</v>
      </c>
      <c r="Q28" s="65"/>
      <c r="R28" s="63" t="s">
        <v>44</v>
      </c>
      <c r="S28" s="58" t="s">
        <v>15</v>
      </c>
      <c r="T28" s="58" t="s">
        <v>382</v>
      </c>
      <c r="U28" s="58">
        <v>3</v>
      </c>
      <c r="X28" s="58"/>
      <c r="Z28" s="58"/>
      <c r="AB28" s="58"/>
      <c r="AD28" s="58"/>
      <c r="AF28" s="58"/>
      <c r="AS28" s="57">
        <f t="shared" si="1"/>
        <v>3</v>
      </c>
      <c r="AT28" s="66" t="s">
        <v>444</v>
      </c>
      <c r="AU28" s="56" t="str">
        <f t="shared" ca="1" si="2"/>
        <v>HOOD HAT, LLC, 15332 Antioch st., #211 Pacific Palisades, CA 90272, USA</v>
      </c>
      <c r="AV28" s="56" t="str">
        <f t="shared" ca="1" si="3"/>
        <v>Соединенные Штаты</v>
      </c>
      <c r="AW28" s="76">
        <f t="shared" si="4"/>
        <v>0.1</v>
      </c>
      <c r="AX28" s="43">
        <f t="shared" si="5"/>
        <v>0.15000000000000002</v>
      </c>
      <c r="AY28" s="43">
        <f t="shared" si="6"/>
        <v>0.30000000000000004</v>
      </c>
      <c r="AZ28" s="43">
        <f t="shared" si="7"/>
        <v>0.45000000000000007</v>
      </c>
      <c r="BA28" s="152">
        <v>2184</v>
      </c>
      <c r="BB28" s="153">
        <f t="shared" si="8"/>
        <v>6552</v>
      </c>
      <c r="BC28" s="45">
        <f>IF(A28&lt;&gt;"",IF(_xlfn.XLOOKUP(A28,'1C'!A:A,'1C'!A:A,0,0)&gt;0,1,0),"")</f>
        <v>0</v>
      </c>
      <c r="BD28" s="146">
        <f>IF(C28&lt;&gt;"",IF(_xlfn.XLOOKUP(C28,'1C'!U:U,'1C'!U:U,0,0)&gt;0,0,1),"")</f>
        <v>0</v>
      </c>
      <c r="BE28" s="73">
        <f t="shared" si="9"/>
        <v>1</v>
      </c>
    </row>
    <row r="29" spans="1:57" ht="98.1" customHeight="1">
      <c r="A29" s="43" t="str">
        <f t="shared" si="0"/>
        <v>100-MWL005-MI010-NYNavy</v>
      </c>
      <c r="B29" s="45" t="str">
        <f>IF(C29&lt;&gt;"",_xlfn.XLOOKUP(A29,'1C'!A:A,'1C'!B:B,MID(_xlfn.XLOOKUP(C29,'1C'!U:U,'1C'!B:B,"new",0),1,7)&amp;IF(BE29=1,IF(L29&lt;&gt;"",_xlfn.XLOOKUP(L29,Colors!A:A,Colors!B:B,"new",0),"требуется цвет"),""),0))</f>
        <v>92-027-32</v>
      </c>
      <c r="C29" s="44" t="s">
        <v>862</v>
      </c>
      <c r="D29" s="43" t="s">
        <v>912</v>
      </c>
      <c r="E29" s="43" t="str">
        <f>IF(F29&lt;&gt;"",IFERROR(VLOOKUP(F29,Категории!A:B,2,0),""),"Требуется категория")</f>
        <v>Бейсболки</v>
      </c>
      <c r="F29" s="44" t="s">
        <v>784</v>
      </c>
      <c r="G29" s="63" t="s">
        <v>947</v>
      </c>
      <c r="H29" s="44" t="s">
        <v>388</v>
      </c>
      <c r="J29" s="57" t="str">
        <f>'1C'!$AH$1</f>
        <v>HOOD</v>
      </c>
      <c r="K29" s="103" t="s">
        <v>54</v>
      </c>
      <c r="L29" s="59" t="s">
        <v>280</v>
      </c>
      <c r="M29" s="63" t="str">
        <f>IF(K29&lt;&gt;"",_xlfn.XLOOKUP(A29,'1C'!A:A,'1C'!R:R,"",0),"")</f>
        <v/>
      </c>
      <c r="N29" s="63"/>
      <c r="O29" s="63"/>
      <c r="P29" s="141" t="s">
        <v>949</v>
      </c>
      <c r="Q29" s="65"/>
      <c r="R29" s="63" t="s">
        <v>44</v>
      </c>
      <c r="S29" s="58" t="s">
        <v>15</v>
      </c>
      <c r="T29" s="58" t="s">
        <v>382</v>
      </c>
      <c r="U29" s="58">
        <v>3</v>
      </c>
      <c r="X29" s="58"/>
      <c r="Z29" s="58"/>
      <c r="AB29" s="58"/>
      <c r="AD29" s="58"/>
      <c r="AF29" s="58"/>
      <c r="AS29" s="57">
        <f t="shared" si="1"/>
        <v>3</v>
      </c>
      <c r="AT29" s="66" t="s">
        <v>444</v>
      </c>
      <c r="AU29" s="56" t="str">
        <f t="shared" ca="1" si="2"/>
        <v>HOOD HAT, LLC, 15332 Antioch st., #211 Pacific Palisades, CA 90272, USA</v>
      </c>
      <c r="AV29" s="56" t="str">
        <f t="shared" ca="1" si="3"/>
        <v>Соединенные Штаты</v>
      </c>
      <c r="AW29" s="76">
        <f t="shared" si="4"/>
        <v>0.1</v>
      </c>
      <c r="AX29" s="43">
        <f t="shared" si="5"/>
        <v>0.15000000000000002</v>
      </c>
      <c r="AY29" s="43">
        <f t="shared" si="6"/>
        <v>0.30000000000000004</v>
      </c>
      <c r="AZ29" s="43">
        <f t="shared" si="7"/>
        <v>0.45000000000000007</v>
      </c>
      <c r="BA29" s="152">
        <v>2184</v>
      </c>
      <c r="BB29" s="153">
        <f t="shared" si="8"/>
        <v>6552</v>
      </c>
      <c r="BC29" s="45">
        <f>IF(A29&lt;&gt;"",IF(_xlfn.XLOOKUP(A29,'1C'!A:A,'1C'!A:A,0,0)&gt;0,1,0),"")</f>
        <v>0</v>
      </c>
      <c r="BD29" s="146">
        <f>IF(C29&lt;&gt;"",IF(_xlfn.XLOOKUP(C29,'1C'!U:U,'1C'!U:U,0,0)&gt;0,0,1),"")</f>
        <v>0</v>
      </c>
      <c r="BE29" s="73">
        <f t="shared" si="9"/>
        <v>1</v>
      </c>
    </row>
    <row r="30" spans="1:57" ht="98.1" customHeight="1">
      <c r="A30" s="43" t="str">
        <f t="shared" si="0"/>
        <v>100-MWL005-NV001-BKABlack</v>
      </c>
      <c r="B30" s="45" t="str">
        <f>IF(C30&lt;&gt;"",_xlfn.XLOOKUP(A30,'1C'!A:A,'1C'!B:B,MID(_xlfn.XLOOKUP(C30,'1C'!U:U,'1C'!B:B,"new",0),1,7)&amp;IF(BE30=1,IF(L30&lt;&gt;"",_xlfn.XLOOKUP(L30,Colors!A:A,Colors!B:B,"new",0),"требуется цвет"),""),0))</f>
        <v>92-028-09</v>
      </c>
      <c r="C30" s="44" t="s">
        <v>863</v>
      </c>
      <c r="D30" s="43" t="s">
        <v>913</v>
      </c>
      <c r="E30" s="43" t="str">
        <f>IF(F30&lt;&gt;"",IFERROR(VLOOKUP(F30,Категории!A:B,2,0),""),"Требуется категория")</f>
        <v>Бейсболки</v>
      </c>
      <c r="F30" s="44" t="s">
        <v>784</v>
      </c>
      <c r="G30" s="63" t="s">
        <v>947</v>
      </c>
      <c r="H30" s="44" t="s">
        <v>388</v>
      </c>
      <c r="J30" s="59" t="str">
        <f>'1C'!$AH$1</f>
        <v>HOOD</v>
      </c>
      <c r="K30" s="103" t="s">
        <v>52</v>
      </c>
      <c r="L30" s="59" t="s">
        <v>53</v>
      </c>
      <c r="M30" s="63" t="str">
        <f>IF(K30&lt;&gt;"",_xlfn.XLOOKUP(A30,'1C'!A:A,'1C'!R:R,"",0),"")</f>
        <v/>
      </c>
      <c r="N30" s="63"/>
      <c r="O30" s="63"/>
      <c r="P30" s="141" t="s">
        <v>949</v>
      </c>
      <c r="Q30" s="65"/>
      <c r="R30" s="63" t="s">
        <v>44</v>
      </c>
      <c r="S30" s="58" t="s">
        <v>15</v>
      </c>
      <c r="T30" s="58" t="s">
        <v>382</v>
      </c>
      <c r="U30" s="58">
        <v>3</v>
      </c>
      <c r="X30" s="58"/>
      <c r="Z30" s="58"/>
      <c r="AB30" s="58"/>
      <c r="AD30" s="58"/>
      <c r="AF30" s="58"/>
      <c r="AS30" s="57">
        <f t="shared" si="1"/>
        <v>3</v>
      </c>
      <c r="AT30" s="66" t="s">
        <v>444</v>
      </c>
      <c r="AU30" s="56" t="str">
        <f t="shared" ca="1" si="2"/>
        <v>HOOD HAT, LLC, 15332 Antioch st., #211 Pacific Palisades, CA 90272, USA</v>
      </c>
      <c r="AV30" s="56" t="str">
        <f t="shared" ca="1" si="3"/>
        <v>Соединенные Штаты</v>
      </c>
      <c r="AW30" s="76">
        <f t="shared" si="4"/>
        <v>0.1</v>
      </c>
      <c r="AX30" s="43">
        <f t="shared" si="5"/>
        <v>0.15000000000000002</v>
      </c>
      <c r="AY30" s="43">
        <f t="shared" si="6"/>
        <v>0.30000000000000004</v>
      </c>
      <c r="AZ30" s="43">
        <f t="shared" si="7"/>
        <v>0.45000000000000007</v>
      </c>
      <c r="BA30" s="152">
        <v>2184</v>
      </c>
      <c r="BB30" s="153">
        <f t="shared" si="8"/>
        <v>6552</v>
      </c>
      <c r="BC30" s="45">
        <f>IF(A30&lt;&gt;"",IF(_xlfn.XLOOKUP(A30,'1C'!A:A,'1C'!A:A,0,0)&gt;0,1,0),"")</f>
        <v>0</v>
      </c>
      <c r="BD30" s="146">
        <f>IF(C30&lt;&gt;"",IF(_xlfn.XLOOKUP(C30,'1C'!U:U,'1C'!U:U,0,0)&gt;0,0,1),"")</f>
        <v>0</v>
      </c>
      <c r="BE30" s="73">
        <f t="shared" si="9"/>
        <v>1</v>
      </c>
    </row>
    <row r="31" spans="1:57" ht="98.1" customHeight="1">
      <c r="A31" s="43" t="str">
        <f t="shared" si="0"/>
        <v>100-MWL005-NY020-HWHighway</v>
      </c>
      <c r="B31" s="45" t="str">
        <f>IF(C31&lt;&gt;"",_xlfn.XLOOKUP(A31,'1C'!A:A,'1C'!B:B,MID(_xlfn.XLOOKUP(C31,'1C'!U:U,'1C'!B:B,"new",0),1,7)&amp;IF(BE31=1,IF(L31&lt;&gt;"",_xlfn.XLOOKUP(L31,Colors!A:A,Colors!B:B,"new",0),"требуется цвет"),""),0))</f>
        <v>92-029-10</v>
      </c>
      <c r="C31" s="44" t="s">
        <v>864</v>
      </c>
      <c r="D31" s="43" t="s">
        <v>914</v>
      </c>
      <c r="E31" s="43" t="str">
        <f>IF(F31&lt;&gt;"",IFERROR(VLOOKUP(F31,Категории!A:B,2,0),""),"Требуется категория")</f>
        <v>Бейсболки</v>
      </c>
      <c r="F31" s="44" t="s">
        <v>784</v>
      </c>
      <c r="G31" s="63" t="s">
        <v>947</v>
      </c>
      <c r="H31" s="44" t="s">
        <v>388</v>
      </c>
      <c r="J31" s="59" t="str">
        <f>'1C'!$AH$1</f>
        <v>HOOD</v>
      </c>
      <c r="K31" s="103" t="s">
        <v>938</v>
      </c>
      <c r="L31" s="58" t="s">
        <v>246</v>
      </c>
      <c r="M31" s="63" t="str">
        <f>IF(K31&lt;&gt;"",_xlfn.XLOOKUP(A31,'1C'!A:A,'1C'!R:R,"",0),"")</f>
        <v/>
      </c>
      <c r="N31" s="63"/>
      <c r="O31" s="63"/>
      <c r="P31" s="141" t="s">
        <v>949</v>
      </c>
      <c r="Q31" s="65"/>
      <c r="R31" s="63" t="s">
        <v>44</v>
      </c>
      <c r="S31" s="58" t="s">
        <v>15</v>
      </c>
      <c r="T31" s="58" t="s">
        <v>382</v>
      </c>
      <c r="U31" s="58">
        <v>3</v>
      </c>
      <c r="X31" s="58"/>
      <c r="Z31" s="58"/>
      <c r="AB31" s="58"/>
      <c r="AD31" s="58"/>
      <c r="AF31" s="58"/>
      <c r="AS31" s="57">
        <f t="shared" si="1"/>
        <v>3</v>
      </c>
      <c r="AT31" s="66" t="s">
        <v>444</v>
      </c>
      <c r="AU31" s="56" t="str">
        <f t="shared" ca="1" si="2"/>
        <v>HOOD HAT, LLC, 15332 Antioch st., #211 Pacific Palisades, CA 90272, USA</v>
      </c>
      <c r="AV31" s="56" t="str">
        <f t="shared" ca="1" si="3"/>
        <v>Соединенные Штаты</v>
      </c>
      <c r="AW31" s="76">
        <f t="shared" si="4"/>
        <v>0.1</v>
      </c>
      <c r="AX31" s="43">
        <f t="shared" si="5"/>
        <v>0.15000000000000002</v>
      </c>
      <c r="AY31" s="43">
        <f t="shared" si="6"/>
        <v>0.30000000000000004</v>
      </c>
      <c r="AZ31" s="43">
        <f t="shared" si="7"/>
        <v>0.45000000000000007</v>
      </c>
      <c r="BA31" s="152">
        <v>2184</v>
      </c>
      <c r="BB31" s="153">
        <f t="shared" si="8"/>
        <v>6552</v>
      </c>
      <c r="BC31" s="45">
        <f>IF(A31&lt;&gt;"",IF(_xlfn.XLOOKUP(A31,'1C'!A:A,'1C'!A:A,0,0)&gt;0,1,0),"")</f>
        <v>0</v>
      </c>
      <c r="BD31" s="146">
        <f>IF(C31&lt;&gt;"",IF(_xlfn.XLOOKUP(C31,'1C'!U:U,'1C'!U:U,0,0)&gt;0,0,1),"")</f>
        <v>0</v>
      </c>
      <c r="BE31" s="73">
        <f t="shared" si="9"/>
        <v>1</v>
      </c>
    </row>
    <row r="32" spans="1:57" ht="98.1" customHeight="1">
      <c r="A32" s="43" t="str">
        <f t="shared" si="0"/>
        <v>100-MWL005-NY066-ATAtlantic</v>
      </c>
      <c r="B32" s="45" t="str">
        <f>IF(C32&lt;&gt;"",_xlfn.XLOOKUP(A32,'1C'!A:A,'1C'!B:B,MID(_xlfn.XLOOKUP(C32,'1C'!U:U,'1C'!B:B,"new",0),1,7)&amp;IF(BE32=1,IF(L32&lt;&gt;"",_xlfn.XLOOKUP(L32,Colors!A:A,Colors!B:B,"new",0),"требуется цвет"),""),0))</f>
        <v>92-030-41</v>
      </c>
      <c r="C32" s="44" t="s">
        <v>865</v>
      </c>
      <c r="D32" s="43" t="s">
        <v>915</v>
      </c>
      <c r="E32" s="43" t="str">
        <f>IF(F32&lt;&gt;"",IFERROR(VLOOKUP(F32,Категории!A:B,2,0),""),"Требуется категория")</f>
        <v>Бейсболки</v>
      </c>
      <c r="F32" s="44" t="s">
        <v>784</v>
      </c>
      <c r="G32" s="63" t="s">
        <v>947</v>
      </c>
      <c r="H32" s="44" t="s">
        <v>388</v>
      </c>
      <c r="J32" s="59" t="str">
        <f>'1C'!$AH$1</f>
        <v>HOOD</v>
      </c>
      <c r="K32" s="103" t="s">
        <v>940</v>
      </c>
      <c r="L32" s="58" t="s">
        <v>1002</v>
      </c>
      <c r="M32" s="63" t="str">
        <f>IF(K32&lt;&gt;"",_xlfn.XLOOKUP(A32,'1C'!A:A,'1C'!R:R,"",0),"")</f>
        <v/>
      </c>
      <c r="N32" s="63"/>
      <c r="O32" s="63"/>
      <c r="P32" s="141" t="s">
        <v>949</v>
      </c>
      <c r="Q32" s="65"/>
      <c r="R32" s="63" t="s">
        <v>44</v>
      </c>
      <c r="S32" s="58" t="s">
        <v>15</v>
      </c>
      <c r="T32" s="58" t="s">
        <v>382</v>
      </c>
      <c r="U32" s="58">
        <v>6</v>
      </c>
      <c r="X32" s="58"/>
      <c r="Z32" s="58"/>
      <c r="AB32" s="58"/>
      <c r="AD32" s="58"/>
      <c r="AF32" s="58"/>
      <c r="AS32" s="57">
        <f t="shared" si="1"/>
        <v>6</v>
      </c>
      <c r="AT32" s="66" t="s">
        <v>444</v>
      </c>
      <c r="AU32" s="56" t="str">
        <f t="shared" ca="1" si="2"/>
        <v>HOOD HAT, LLC, 15332 Antioch st., #211 Pacific Palisades, CA 90272, USA</v>
      </c>
      <c r="AV32" s="56" t="str">
        <f t="shared" ca="1" si="3"/>
        <v>Соединенные Штаты</v>
      </c>
      <c r="AW32" s="76">
        <f t="shared" si="4"/>
        <v>0.1</v>
      </c>
      <c r="AX32" s="43">
        <f t="shared" si="5"/>
        <v>0.15000000000000002</v>
      </c>
      <c r="AY32" s="43">
        <f t="shared" si="6"/>
        <v>0.60000000000000009</v>
      </c>
      <c r="AZ32" s="43">
        <f t="shared" si="7"/>
        <v>0.90000000000000013</v>
      </c>
      <c r="BA32" s="152">
        <v>2184</v>
      </c>
      <c r="BB32" s="153">
        <f t="shared" si="8"/>
        <v>13104</v>
      </c>
      <c r="BC32" s="45">
        <f>IF(A32&lt;&gt;"",IF(_xlfn.XLOOKUP(A32,'1C'!A:A,'1C'!A:A,0,0)&gt;0,1,0),"")</f>
        <v>0</v>
      </c>
      <c r="BD32" s="146">
        <f>IF(C32&lt;&gt;"",IF(_xlfn.XLOOKUP(C32,'1C'!U:U,'1C'!U:U,0,0)&gt;0,0,1),"")</f>
        <v>0</v>
      </c>
      <c r="BE32" s="73">
        <f t="shared" si="9"/>
        <v>1</v>
      </c>
    </row>
    <row r="33" spans="1:57" ht="98.1" customHeight="1">
      <c r="A33" s="43" t="str">
        <f t="shared" si="0"/>
        <v>100-MWL005-NY066-NYNavy</v>
      </c>
      <c r="B33" s="45" t="str">
        <f>IF(C33&lt;&gt;"",_xlfn.XLOOKUP(A33,'1C'!A:A,'1C'!B:B,MID(_xlfn.XLOOKUP(C33,'1C'!U:U,'1C'!B:B,"new",0),1,7)&amp;IF(BE33=1,IF(L33&lt;&gt;"",_xlfn.XLOOKUP(L33,Colors!A:A,Colors!B:B,"new",0),"требуется цвет"),""),0))</f>
        <v>92-031-65</v>
      </c>
      <c r="C33" s="44" t="s">
        <v>866</v>
      </c>
      <c r="D33" s="43" t="s">
        <v>916</v>
      </c>
      <c r="E33" s="43" t="str">
        <f>IF(F33&lt;&gt;"",IFERROR(VLOOKUP(F33,Категории!A:B,2,0),""),"Требуется категория")</f>
        <v>Бейсболки</v>
      </c>
      <c r="F33" s="44" t="s">
        <v>784</v>
      </c>
      <c r="G33" s="63" t="s">
        <v>947</v>
      </c>
      <c r="H33" s="44" t="s">
        <v>388</v>
      </c>
      <c r="J33" s="59" t="str">
        <f>'1C'!$AH$1</f>
        <v>HOOD</v>
      </c>
      <c r="K33" s="103" t="s">
        <v>54</v>
      </c>
      <c r="L33" s="59" t="s">
        <v>679</v>
      </c>
      <c r="M33" s="63" t="str">
        <f>IF(K33&lt;&gt;"",_xlfn.XLOOKUP(A33,'1C'!A:A,'1C'!R:R,"",0),"")</f>
        <v/>
      </c>
      <c r="N33" s="63"/>
      <c r="O33" s="63"/>
      <c r="P33" s="141" t="s">
        <v>949</v>
      </c>
      <c r="Q33" s="65"/>
      <c r="R33" s="63" t="s">
        <v>44</v>
      </c>
      <c r="S33" s="58" t="s">
        <v>15</v>
      </c>
      <c r="T33" s="58" t="s">
        <v>382</v>
      </c>
      <c r="U33" s="58">
        <v>12</v>
      </c>
      <c r="X33" s="58"/>
      <c r="Z33" s="58"/>
      <c r="AB33" s="58"/>
      <c r="AD33" s="58"/>
      <c r="AF33" s="58"/>
      <c r="AS33" s="57">
        <f t="shared" si="1"/>
        <v>12</v>
      </c>
      <c r="AT33" s="66" t="s">
        <v>444</v>
      </c>
      <c r="AU33" s="56" t="str">
        <f t="shared" ca="1" si="2"/>
        <v>HOOD HAT, LLC, 15332 Antioch st., #211 Pacific Palisades, CA 90272, USA</v>
      </c>
      <c r="AV33" s="56" t="str">
        <f t="shared" ca="1" si="3"/>
        <v>Соединенные Штаты</v>
      </c>
      <c r="AW33" s="76">
        <f t="shared" si="4"/>
        <v>0.1</v>
      </c>
      <c r="AX33" s="43">
        <f t="shared" si="5"/>
        <v>0.15000000000000002</v>
      </c>
      <c r="AY33" s="43">
        <f t="shared" si="6"/>
        <v>1.2000000000000002</v>
      </c>
      <c r="AZ33" s="43">
        <f t="shared" si="7"/>
        <v>1.8000000000000003</v>
      </c>
      <c r="BA33" s="152">
        <v>2184</v>
      </c>
      <c r="BB33" s="153">
        <f t="shared" si="8"/>
        <v>26208</v>
      </c>
      <c r="BC33" s="45">
        <f>IF(A33&lt;&gt;"",IF(_xlfn.XLOOKUP(A33,'1C'!A:A,'1C'!A:A,0,0)&gt;0,1,0),"")</f>
        <v>0</v>
      </c>
      <c r="BD33" s="146">
        <f>IF(C33&lt;&gt;"",IF(_xlfn.XLOOKUP(C33,'1C'!U:U,'1C'!U:U,0,0)&gt;0,0,1),"")</f>
        <v>0</v>
      </c>
      <c r="BE33" s="73">
        <f t="shared" si="9"/>
        <v>1</v>
      </c>
    </row>
    <row r="34" spans="1:57" ht="98.1" customHeight="1">
      <c r="A34" s="43" t="str">
        <f t="shared" si="0"/>
        <v>100-MWL005-NY066-RLRoyal</v>
      </c>
      <c r="B34" s="45" t="str">
        <f>IF(C34&lt;&gt;"",_xlfn.XLOOKUP(A34,'1C'!A:A,'1C'!B:B,MID(_xlfn.XLOOKUP(C34,'1C'!U:U,'1C'!B:B,"new",0),1,7)&amp;IF(BE34=1,IF(L34&lt;&gt;"",_xlfn.XLOOKUP(L34,Colors!A:A,Colors!B:B,"new",0),"требуется цвет"),""),0))</f>
        <v>92-032-21</v>
      </c>
      <c r="C34" s="44" t="s">
        <v>867</v>
      </c>
      <c r="D34" s="43" t="s">
        <v>917</v>
      </c>
      <c r="E34" s="43" t="str">
        <f>IF(F34&lt;&gt;"",IFERROR(VLOOKUP(F34,Категории!A:B,2,0),""),"Требуется категория")</f>
        <v>Бейсболки</v>
      </c>
      <c r="F34" s="44" t="s">
        <v>784</v>
      </c>
      <c r="G34" s="63" t="s">
        <v>947</v>
      </c>
      <c r="H34" s="44" t="s">
        <v>388</v>
      </c>
      <c r="J34" s="59" t="str">
        <f>'1C'!$AH$1</f>
        <v>HOOD</v>
      </c>
      <c r="K34" s="103" t="s">
        <v>939</v>
      </c>
      <c r="L34" s="58" t="s">
        <v>252</v>
      </c>
      <c r="M34" s="63" t="str">
        <f>IF(K34&lt;&gt;"",_xlfn.XLOOKUP(A34,'1C'!A:A,'1C'!R:R,"",0),"")</f>
        <v/>
      </c>
      <c r="N34" s="63"/>
      <c r="O34" s="63"/>
      <c r="P34" s="141" t="s">
        <v>949</v>
      </c>
      <c r="Q34" s="65"/>
      <c r="R34" s="63" t="s">
        <v>44</v>
      </c>
      <c r="S34" s="58" t="s">
        <v>15</v>
      </c>
      <c r="T34" s="58" t="s">
        <v>382</v>
      </c>
      <c r="U34" s="58">
        <v>3</v>
      </c>
      <c r="X34" s="58"/>
      <c r="Z34" s="58"/>
      <c r="AB34" s="58"/>
      <c r="AD34" s="58"/>
      <c r="AF34" s="58"/>
      <c r="AS34" s="57">
        <f t="shared" si="1"/>
        <v>3</v>
      </c>
      <c r="AT34" s="66" t="s">
        <v>444</v>
      </c>
      <c r="AU34" s="56" t="str">
        <f t="shared" ref="AU34:AU52" ca="1" si="10">IF(AT34&lt;&gt;"",VLOOKUP(AT34,INDIRECT(SUBSTITUTE($J34," ","")&amp;"Manufactures"),3,0),"Требуется код страны")</f>
        <v>HOOD HAT, LLC, 15332 Antioch st., #211 Pacific Palisades, CA 90272, USA</v>
      </c>
      <c r="AV34" s="56" t="str">
        <f t="shared" ref="AV34:AV52" ca="1" si="11">IF(AT34&lt;&gt;"",VLOOKUP(AT34,INDIRECT(SUBSTITUTE($J34," ","")&amp;"Manufactures"),2,0),"Требуется код страны")</f>
        <v>Соединенные Штаты</v>
      </c>
      <c r="AW34" s="76">
        <f t="shared" si="4"/>
        <v>0.1</v>
      </c>
      <c r="AX34" s="43">
        <f t="shared" si="5"/>
        <v>0.15000000000000002</v>
      </c>
      <c r="AY34" s="43">
        <f t="shared" si="6"/>
        <v>0.30000000000000004</v>
      </c>
      <c r="AZ34" s="43">
        <f t="shared" si="7"/>
        <v>0.45000000000000007</v>
      </c>
      <c r="BA34" s="152">
        <v>2184</v>
      </c>
      <c r="BB34" s="153">
        <f t="shared" si="8"/>
        <v>6552</v>
      </c>
      <c r="BC34" s="45">
        <f>IF(A34&lt;&gt;"",IF(_xlfn.XLOOKUP(A34,'1C'!A:A,'1C'!A:A,0,0)&gt;0,1,0),"")</f>
        <v>0</v>
      </c>
      <c r="BD34" s="146">
        <f>IF(C34&lt;&gt;"",IF(_xlfn.XLOOKUP(C34,'1C'!U:U,'1C'!U:U,0,0)&gt;0,0,1),"")</f>
        <v>0</v>
      </c>
      <c r="BE34" s="73">
        <f t="shared" si="9"/>
        <v>1</v>
      </c>
    </row>
    <row r="35" spans="1:57" ht="98.1" customHeight="1">
      <c r="A35" s="43" t="str">
        <f t="shared" si="0"/>
        <v>100-MWL005-TX005-HWHighway</v>
      </c>
      <c r="B35" s="45" t="str">
        <f>IF(C35&lt;&gt;"",_xlfn.XLOOKUP(A35,'1C'!A:A,'1C'!B:B,MID(_xlfn.XLOOKUP(C35,'1C'!U:U,'1C'!B:B,"new",0),1,7)&amp;IF(BE35=1,IF(L35&lt;&gt;"",_xlfn.XLOOKUP(L35,Colors!A:A,Colors!B:B,"new",0),"требуется цвет"),""),0))</f>
        <v>92-033-26</v>
      </c>
      <c r="C35" s="44" t="s">
        <v>868</v>
      </c>
      <c r="D35" s="43" t="s">
        <v>918</v>
      </c>
      <c r="E35" s="43" t="str">
        <f>IF(F35&lt;&gt;"",IFERROR(VLOOKUP(F35,Категории!A:B,2,0),""),"Требуется категория")</f>
        <v>Бейсболки</v>
      </c>
      <c r="F35" s="44" t="s">
        <v>784</v>
      </c>
      <c r="G35" s="63" t="s">
        <v>947</v>
      </c>
      <c r="H35" s="44" t="s">
        <v>388</v>
      </c>
      <c r="J35" s="59" t="str">
        <f>'1C'!$AH$1</f>
        <v>HOOD</v>
      </c>
      <c r="K35" s="103" t="s">
        <v>938</v>
      </c>
      <c r="L35" s="58" t="s">
        <v>245</v>
      </c>
      <c r="M35" s="63" t="str">
        <f>IF(K35&lt;&gt;"",_xlfn.XLOOKUP(A35,'1C'!A:A,'1C'!R:R,"",0),"")</f>
        <v/>
      </c>
      <c r="N35" s="63"/>
      <c r="O35" s="63"/>
      <c r="P35" s="141" t="s">
        <v>949</v>
      </c>
      <c r="Q35" s="65"/>
      <c r="R35" s="63" t="s">
        <v>44</v>
      </c>
      <c r="S35" s="58" t="s">
        <v>15</v>
      </c>
      <c r="T35" s="58" t="s">
        <v>382</v>
      </c>
      <c r="U35" s="58">
        <v>3</v>
      </c>
      <c r="X35" s="58"/>
      <c r="Z35" s="58"/>
      <c r="AB35" s="58"/>
      <c r="AD35" s="58"/>
      <c r="AF35" s="58"/>
      <c r="AS35" s="57">
        <f t="shared" si="1"/>
        <v>3</v>
      </c>
      <c r="AT35" s="66" t="s">
        <v>444</v>
      </c>
      <c r="AU35" s="56" t="str">
        <f t="shared" ca="1" si="10"/>
        <v>HOOD HAT, LLC, 15332 Antioch st., #211 Pacific Palisades, CA 90272, USA</v>
      </c>
      <c r="AV35" s="56" t="str">
        <f t="shared" ca="1" si="11"/>
        <v>Соединенные Штаты</v>
      </c>
      <c r="AW35" s="76">
        <f t="shared" si="4"/>
        <v>0.1</v>
      </c>
      <c r="AX35" s="43">
        <f t="shared" si="5"/>
        <v>0.15000000000000002</v>
      </c>
      <c r="AY35" s="43">
        <f t="shared" si="6"/>
        <v>0.30000000000000004</v>
      </c>
      <c r="AZ35" s="43">
        <f t="shared" si="7"/>
        <v>0.45000000000000007</v>
      </c>
      <c r="BA35" s="152">
        <v>2184</v>
      </c>
      <c r="BB35" s="153">
        <f t="shared" si="8"/>
        <v>6552</v>
      </c>
      <c r="BC35" s="45">
        <f>IF(A35&lt;&gt;"",IF(_xlfn.XLOOKUP(A35,'1C'!A:A,'1C'!A:A,0,0)&gt;0,1,0),"")</f>
        <v>0</v>
      </c>
      <c r="BD35" s="146">
        <f>IF(C35&lt;&gt;"",IF(_xlfn.XLOOKUP(C35,'1C'!U:U,'1C'!U:U,0,0)&gt;0,0,1),"")</f>
        <v>0</v>
      </c>
      <c r="BE35" s="73">
        <f t="shared" si="9"/>
        <v>1</v>
      </c>
    </row>
    <row r="36" spans="1:57" ht="98.1" customHeight="1">
      <c r="A36" s="43" t="str">
        <f t="shared" si="0"/>
        <v>100-MWL005-WA004-ATAtlantic</v>
      </c>
      <c r="B36" s="45" t="str">
        <f>IF(C36&lt;&gt;"",_xlfn.XLOOKUP(A36,'1C'!A:A,'1C'!B:B,MID(_xlfn.XLOOKUP(C36,'1C'!U:U,'1C'!B:B,"new",0),1,7)&amp;IF(BE36=1,IF(L36&lt;&gt;"",_xlfn.XLOOKUP(L36,Colors!A:A,Colors!B:B,"new",0),"требуется цвет"),""),0))</f>
        <v>92-034-41</v>
      </c>
      <c r="C36" s="44" t="s">
        <v>869</v>
      </c>
      <c r="D36" s="43" t="s">
        <v>919</v>
      </c>
      <c r="E36" s="43" t="str">
        <f>IF(F36&lt;&gt;"",IFERROR(VLOOKUP(F36,Категории!A:B,2,0),""),"Требуется категория")</f>
        <v>Бейсболки</v>
      </c>
      <c r="F36" s="44" t="s">
        <v>784</v>
      </c>
      <c r="G36" s="63" t="s">
        <v>947</v>
      </c>
      <c r="H36" s="44" t="s">
        <v>388</v>
      </c>
      <c r="J36" s="59" t="str">
        <f>'1C'!$AH$1</f>
        <v>HOOD</v>
      </c>
      <c r="K36" s="103" t="s">
        <v>940</v>
      </c>
      <c r="L36" s="58" t="s">
        <v>752</v>
      </c>
      <c r="M36" s="63" t="str">
        <f>IF(K36&lt;&gt;"",_xlfn.XLOOKUP(A36,'1C'!A:A,'1C'!R:R,"",0),"")</f>
        <v/>
      </c>
      <c r="N36" s="63"/>
      <c r="O36" s="63"/>
      <c r="P36" s="141" t="s">
        <v>949</v>
      </c>
      <c r="Q36" s="65"/>
      <c r="R36" s="63" t="s">
        <v>44</v>
      </c>
      <c r="S36" s="58" t="s">
        <v>15</v>
      </c>
      <c r="T36" s="58" t="s">
        <v>382</v>
      </c>
      <c r="U36" s="58">
        <v>3</v>
      </c>
      <c r="X36" s="58"/>
      <c r="Z36" s="58"/>
      <c r="AB36" s="58"/>
      <c r="AD36" s="58"/>
      <c r="AF36" s="58"/>
      <c r="AS36" s="59">
        <f t="shared" si="1"/>
        <v>3</v>
      </c>
      <c r="AT36" s="66" t="s">
        <v>444</v>
      </c>
      <c r="AU36" s="56" t="str">
        <f t="shared" ca="1" si="10"/>
        <v>HOOD HAT, LLC, 15332 Antioch st., #211 Pacific Palisades, CA 90272, USA</v>
      </c>
      <c r="AV36" s="56" t="str">
        <f t="shared" ca="1" si="11"/>
        <v>Соединенные Штаты</v>
      </c>
      <c r="AW36" s="76">
        <f t="shared" si="4"/>
        <v>0.1</v>
      </c>
      <c r="AX36" s="43">
        <f t="shared" si="5"/>
        <v>0.15000000000000002</v>
      </c>
      <c r="AY36" s="43">
        <f t="shared" si="6"/>
        <v>0.30000000000000004</v>
      </c>
      <c r="AZ36" s="43">
        <f t="shared" si="7"/>
        <v>0.45000000000000007</v>
      </c>
      <c r="BA36" s="152">
        <v>2184</v>
      </c>
      <c r="BB36" s="153">
        <f t="shared" si="8"/>
        <v>6552</v>
      </c>
      <c r="BC36" s="45">
        <f>IF(A36&lt;&gt;"",IF(_xlfn.XLOOKUP(A36,'1C'!A:A,'1C'!A:A,0,0)&gt;0,1,0),"")</f>
        <v>0</v>
      </c>
      <c r="BD36" s="146">
        <f>IF(C36&lt;&gt;"",IF(_xlfn.XLOOKUP(C36,'1C'!U:U,'1C'!U:U,0,0)&gt;0,0,1),"")</f>
        <v>0</v>
      </c>
      <c r="BE36" s="73">
        <f t="shared" si="9"/>
        <v>1</v>
      </c>
    </row>
    <row r="37" spans="1:57" ht="98.1" customHeight="1">
      <c r="A37" s="43" t="str">
        <f t="shared" si="0"/>
        <v>100-MWL025-CA006-FTFRESH TAR</v>
      </c>
      <c r="B37" s="45" t="str">
        <f>IF(C37&lt;&gt;"",_xlfn.XLOOKUP(A37,'1C'!A:A,'1C'!B:B,MID(_xlfn.XLOOKUP(C37,'1C'!U:U,'1C'!B:B,"new",0),1,7)&amp;IF(BE37=1,IF(L37&lt;&gt;"",_xlfn.XLOOKUP(L37,Colors!A:A,Colors!B:B,"new",0),"требуется цвет"),""),0))</f>
        <v>92-035-09</v>
      </c>
      <c r="C37" s="44" t="s">
        <v>870</v>
      </c>
      <c r="D37" s="43" t="s">
        <v>920</v>
      </c>
      <c r="E37" s="43" t="str">
        <f>IF(F37&lt;&gt;"",IFERROR(VLOOKUP(F37,Категории!A:B,2,0),""),"Требуется категория")</f>
        <v>Бейсболки</v>
      </c>
      <c r="F37" s="44" t="s">
        <v>784</v>
      </c>
      <c r="G37" s="63" t="s">
        <v>947</v>
      </c>
      <c r="H37" s="44" t="s">
        <v>388</v>
      </c>
      <c r="J37" s="43" t="str">
        <f>'1C'!$AH$1</f>
        <v>HOOD</v>
      </c>
      <c r="K37" s="104" t="s">
        <v>941</v>
      </c>
      <c r="L37" s="58" t="s">
        <v>53</v>
      </c>
      <c r="M37" s="63" t="str">
        <f>IF(K37&lt;&gt;"",_xlfn.XLOOKUP(A37,'1C'!A:A,'1C'!R:R,"",0),"")</f>
        <v/>
      </c>
      <c r="N37" s="63"/>
      <c r="O37" s="63"/>
      <c r="P37" s="141" t="s">
        <v>949</v>
      </c>
      <c r="Q37" s="65"/>
      <c r="R37" s="63" t="s">
        <v>44</v>
      </c>
      <c r="S37" s="58" t="s">
        <v>15</v>
      </c>
      <c r="T37" s="58" t="s">
        <v>382</v>
      </c>
      <c r="U37" s="58">
        <v>27</v>
      </c>
      <c r="X37" s="58"/>
      <c r="Z37" s="58"/>
      <c r="AB37" s="58"/>
      <c r="AD37" s="58"/>
      <c r="AF37" s="58"/>
      <c r="AS37" s="59">
        <f t="shared" si="1"/>
        <v>27</v>
      </c>
      <c r="AT37" s="66" t="s">
        <v>444</v>
      </c>
      <c r="AU37" s="56" t="str">
        <f t="shared" ca="1" si="10"/>
        <v>HOOD HAT, LLC, 15332 Antioch st., #211 Pacific Palisades, CA 90272, USA</v>
      </c>
      <c r="AV37" s="56" t="str">
        <f t="shared" ca="1" si="11"/>
        <v>Соединенные Штаты</v>
      </c>
      <c r="AW37" s="76">
        <f t="shared" si="4"/>
        <v>0.1</v>
      </c>
      <c r="AX37" s="43">
        <f t="shared" si="5"/>
        <v>0.15000000000000002</v>
      </c>
      <c r="AY37" s="43">
        <f t="shared" si="6"/>
        <v>2.7</v>
      </c>
      <c r="AZ37" s="43">
        <f t="shared" si="7"/>
        <v>4.0500000000000007</v>
      </c>
      <c r="BA37" s="152">
        <v>2184</v>
      </c>
      <c r="BB37" s="153">
        <f t="shared" si="8"/>
        <v>58968</v>
      </c>
      <c r="BC37" s="45">
        <f>IF(A37&lt;&gt;"",IF(_xlfn.XLOOKUP(A37,'1C'!A:A,'1C'!A:A,0,0)&gt;0,1,0),"")</f>
        <v>0</v>
      </c>
      <c r="BD37" s="146">
        <f>IF(C37&lt;&gt;"",IF(_xlfn.XLOOKUP(C37,'1C'!U:U,'1C'!U:U,0,0)&gt;0,0,1),"")</f>
        <v>0</v>
      </c>
      <c r="BE37" s="73">
        <f t="shared" si="9"/>
        <v>1</v>
      </c>
    </row>
    <row r="38" spans="1:57" ht="98.1" customHeight="1">
      <c r="A38" s="43" t="str">
        <f t="shared" si="0"/>
        <v>100-MWL025-CA012-HWHIGHWAY</v>
      </c>
      <c r="B38" s="45" t="str">
        <f>IF(C38&lt;&gt;"",_xlfn.XLOOKUP(A38,'1C'!A:A,'1C'!B:B,MID(_xlfn.XLOOKUP(C38,'1C'!U:U,'1C'!B:B,"new",0),1,7)&amp;IF(BE38=1,IF(L38&lt;&gt;"",_xlfn.XLOOKUP(L38,Colors!A:A,Colors!B:B,"new",0),"требуется цвет"),""),0))</f>
        <v>92-036-08</v>
      </c>
      <c r="C38" s="44" t="s">
        <v>871</v>
      </c>
      <c r="D38" s="43" t="s">
        <v>921</v>
      </c>
      <c r="E38" s="43" t="str">
        <f>IF(F38&lt;&gt;"",IFERROR(VLOOKUP(F38,Категории!A:B,2,0),""),"Требуется категория")</f>
        <v>Бейсболки</v>
      </c>
      <c r="F38" s="44" t="s">
        <v>784</v>
      </c>
      <c r="G38" s="63" t="s">
        <v>947</v>
      </c>
      <c r="H38" s="44" t="s">
        <v>388</v>
      </c>
      <c r="J38" s="43" t="str">
        <f>'1C'!$AH$1</f>
        <v>HOOD</v>
      </c>
      <c r="K38" s="104" t="s">
        <v>942</v>
      </c>
      <c r="L38" s="58" t="s">
        <v>83</v>
      </c>
      <c r="M38" s="63" t="str">
        <f>IF(K38&lt;&gt;"",_xlfn.XLOOKUP(A38,'1C'!A:A,'1C'!R:R,"",0),"")</f>
        <v/>
      </c>
      <c r="N38" s="63"/>
      <c r="O38" s="63"/>
      <c r="P38" s="141" t="s">
        <v>949</v>
      </c>
      <c r="Q38" s="65"/>
      <c r="R38" s="63" t="s">
        <v>44</v>
      </c>
      <c r="S38" s="58" t="s">
        <v>15</v>
      </c>
      <c r="T38" s="58" t="s">
        <v>382</v>
      </c>
      <c r="U38" s="58">
        <v>15</v>
      </c>
      <c r="X38" s="58"/>
      <c r="Z38" s="58"/>
      <c r="AB38" s="58"/>
      <c r="AD38" s="58"/>
      <c r="AF38" s="58"/>
      <c r="AS38" s="59">
        <f t="shared" si="1"/>
        <v>15</v>
      </c>
      <c r="AT38" s="66" t="s">
        <v>444</v>
      </c>
      <c r="AU38" s="56" t="str">
        <f t="shared" ca="1" si="10"/>
        <v>HOOD HAT, LLC, 15332 Antioch st., #211 Pacific Palisades, CA 90272, USA</v>
      </c>
      <c r="AV38" s="56" t="str">
        <f t="shared" ca="1" si="11"/>
        <v>Соединенные Штаты</v>
      </c>
      <c r="AW38" s="76">
        <f t="shared" si="4"/>
        <v>0.1</v>
      </c>
      <c r="AX38" s="43">
        <f t="shared" si="5"/>
        <v>0.15000000000000002</v>
      </c>
      <c r="AY38" s="43">
        <f t="shared" si="6"/>
        <v>1.5</v>
      </c>
      <c r="AZ38" s="43">
        <f t="shared" si="7"/>
        <v>2.2500000000000004</v>
      </c>
      <c r="BA38" s="152">
        <v>2184</v>
      </c>
      <c r="BB38" s="153">
        <f t="shared" si="8"/>
        <v>32760</v>
      </c>
      <c r="BC38" s="45">
        <f>IF(A38&lt;&gt;"",IF(_xlfn.XLOOKUP(A38,'1C'!A:A,'1C'!A:A,0,0)&gt;0,1,0),"")</f>
        <v>0</v>
      </c>
      <c r="BD38" s="146">
        <f>IF(C38&lt;&gt;"",IF(_xlfn.XLOOKUP(C38,'1C'!U:U,'1C'!U:U,0,0)&gt;0,0,1),"")</f>
        <v>0</v>
      </c>
      <c r="BE38" s="73">
        <f t="shared" si="9"/>
        <v>1</v>
      </c>
    </row>
    <row r="39" spans="1:57" ht="98.1" customHeight="1">
      <c r="A39" s="43" t="str">
        <f t="shared" si="0"/>
        <v>100-MWL025-CA016-BKBLACK</v>
      </c>
      <c r="B39" s="45" t="str">
        <f>IF(C39&lt;&gt;"",_xlfn.XLOOKUP(A39,'1C'!A:A,'1C'!B:B,MID(_xlfn.XLOOKUP(C39,'1C'!U:U,'1C'!B:B,"new",0),1,7)&amp;IF(BE39=1,IF(L39&lt;&gt;"",_xlfn.XLOOKUP(L39,Colors!A:A,Colors!B:B,"new",0),"требуется цвет"),""),0))</f>
        <v>92-037-09</v>
      </c>
      <c r="C39" s="44" t="s">
        <v>872</v>
      </c>
      <c r="D39" s="43" t="s">
        <v>922</v>
      </c>
      <c r="E39" s="43" t="str">
        <f>IF(F39&lt;&gt;"",IFERROR(VLOOKUP(F39,Категории!A:B,2,0),""),"Требуется категория")</f>
        <v>Бейсболки</v>
      </c>
      <c r="F39" s="44" t="s">
        <v>784</v>
      </c>
      <c r="G39" s="63" t="s">
        <v>947</v>
      </c>
      <c r="H39" s="44" t="s">
        <v>388</v>
      </c>
      <c r="J39" s="43" t="str">
        <f>'1C'!$AH$1</f>
        <v>HOOD</v>
      </c>
      <c r="K39" s="104" t="s">
        <v>936</v>
      </c>
      <c r="L39" s="59" t="s">
        <v>53</v>
      </c>
      <c r="M39" s="63" t="str">
        <f>IF(K39&lt;&gt;"",_xlfn.XLOOKUP(A39,'1C'!A:A,'1C'!R:R,"",0),"")</f>
        <v/>
      </c>
      <c r="N39" s="63"/>
      <c r="O39" s="63"/>
      <c r="P39" s="141" t="s">
        <v>949</v>
      </c>
      <c r="Q39" s="65"/>
      <c r="R39" s="63" t="s">
        <v>44</v>
      </c>
      <c r="S39" s="58" t="s">
        <v>15</v>
      </c>
      <c r="T39" s="58" t="s">
        <v>382</v>
      </c>
      <c r="U39" s="58">
        <v>12</v>
      </c>
      <c r="X39" s="58"/>
      <c r="Z39" s="58"/>
      <c r="AB39" s="58"/>
      <c r="AD39" s="58"/>
      <c r="AF39" s="58"/>
      <c r="AS39" s="59">
        <f t="shared" si="1"/>
        <v>12</v>
      </c>
      <c r="AT39" s="44" t="s">
        <v>444</v>
      </c>
      <c r="AU39" s="56" t="str">
        <f t="shared" ca="1" si="10"/>
        <v>HOOD HAT, LLC, 15332 Antioch st., #211 Pacific Palisades, CA 90272, USA</v>
      </c>
      <c r="AV39" s="56" t="str">
        <f t="shared" ca="1" si="11"/>
        <v>Соединенные Штаты</v>
      </c>
      <c r="AW39" s="76">
        <f t="shared" si="4"/>
        <v>0.1</v>
      </c>
      <c r="AX39" s="43">
        <f t="shared" si="5"/>
        <v>0.15000000000000002</v>
      </c>
      <c r="AY39" s="43">
        <f t="shared" si="6"/>
        <v>1.2000000000000002</v>
      </c>
      <c r="AZ39" s="43">
        <f t="shared" si="7"/>
        <v>1.8000000000000003</v>
      </c>
      <c r="BA39" s="152">
        <v>2184</v>
      </c>
      <c r="BB39" s="153">
        <f t="shared" si="8"/>
        <v>26208</v>
      </c>
      <c r="BC39" s="45">
        <f>IF(A39&lt;&gt;"",IF(_xlfn.XLOOKUP(A39,'1C'!A:A,'1C'!A:A,0,0)&gt;0,1,0),"")</f>
        <v>0</v>
      </c>
      <c r="BD39" s="146">
        <f>IF(C39&lt;&gt;"",IF(_xlfn.XLOOKUP(C39,'1C'!U:U,'1C'!U:U,0,0)&gt;0,0,1),"")</f>
        <v>0</v>
      </c>
      <c r="BE39" s="73">
        <f t="shared" si="9"/>
        <v>1</v>
      </c>
    </row>
    <row r="40" spans="1:57" ht="98.1" customHeight="1">
      <c r="A40" s="43" t="str">
        <f t="shared" si="0"/>
        <v>100-MWL025-NY018-BKBLACK</v>
      </c>
      <c r="B40" s="45" t="str">
        <f>IF(C40&lt;&gt;"",_xlfn.XLOOKUP(A40,'1C'!A:A,'1C'!B:B,MID(_xlfn.XLOOKUP(C40,'1C'!U:U,'1C'!B:B,"new",0),1,7)&amp;IF(BE40=1,IF(L40&lt;&gt;"",_xlfn.XLOOKUP(L40,Colors!A:A,Colors!B:B,"new",0),"требуется цвет"),""),0))</f>
        <v>92-038-09</v>
      </c>
      <c r="C40" s="44" t="s">
        <v>873</v>
      </c>
      <c r="D40" s="43" t="s">
        <v>923</v>
      </c>
      <c r="E40" s="43" t="str">
        <f>IF(F40&lt;&gt;"",IFERROR(VLOOKUP(F40,Категории!A:B,2,0),""),"Требуется категория")</f>
        <v>Бейсболки</v>
      </c>
      <c r="F40" s="44" t="s">
        <v>784</v>
      </c>
      <c r="G40" s="63" t="s">
        <v>947</v>
      </c>
      <c r="H40" s="44" t="s">
        <v>388</v>
      </c>
      <c r="J40" s="43" t="str">
        <f>'1C'!$AH$1</f>
        <v>HOOD</v>
      </c>
      <c r="K40" s="104" t="s">
        <v>936</v>
      </c>
      <c r="L40" s="59" t="s">
        <v>53</v>
      </c>
      <c r="M40" s="63" t="str">
        <f>IF(K40&lt;&gt;"",_xlfn.XLOOKUP(A40,'1C'!A:A,'1C'!R:R,"",0),"")</f>
        <v/>
      </c>
      <c r="N40" s="63"/>
      <c r="O40" s="63"/>
      <c r="P40" s="141" t="s">
        <v>949</v>
      </c>
      <c r="Q40" s="65"/>
      <c r="R40" s="63" t="s">
        <v>44</v>
      </c>
      <c r="S40" s="58" t="s">
        <v>15</v>
      </c>
      <c r="T40" s="58" t="s">
        <v>382</v>
      </c>
      <c r="U40" s="58">
        <v>18</v>
      </c>
      <c r="X40" s="58"/>
      <c r="Z40" s="58"/>
      <c r="AB40" s="58"/>
      <c r="AD40" s="58"/>
      <c r="AF40" s="58"/>
      <c r="AS40" s="59">
        <f t="shared" si="1"/>
        <v>18</v>
      </c>
      <c r="AT40" s="44" t="s">
        <v>444</v>
      </c>
      <c r="AU40" s="56" t="str">
        <f t="shared" ca="1" si="10"/>
        <v>HOOD HAT, LLC, 15332 Antioch st., #211 Pacific Palisades, CA 90272, USA</v>
      </c>
      <c r="AV40" s="56" t="str">
        <f t="shared" ca="1" si="11"/>
        <v>Соединенные Штаты</v>
      </c>
      <c r="AW40" s="76">
        <f t="shared" si="4"/>
        <v>0.1</v>
      </c>
      <c r="AX40" s="43">
        <f t="shared" si="5"/>
        <v>0.15000000000000002</v>
      </c>
      <c r="AY40" s="43">
        <f t="shared" si="6"/>
        <v>1.8</v>
      </c>
      <c r="AZ40" s="43">
        <f t="shared" si="7"/>
        <v>2.7</v>
      </c>
      <c r="BA40" s="152">
        <v>2184</v>
      </c>
      <c r="BB40" s="153">
        <f t="shared" si="8"/>
        <v>39312</v>
      </c>
      <c r="BC40" s="45">
        <f>IF(A40&lt;&gt;"",IF(_xlfn.XLOOKUP(A40,'1C'!A:A,'1C'!A:A,0,0)&gt;0,1,0),"")</f>
        <v>0</v>
      </c>
      <c r="BD40" s="146">
        <f>IF(C40&lt;&gt;"",IF(_xlfn.XLOOKUP(C40,'1C'!U:U,'1C'!U:U,0,0)&gt;0,0,1),"")</f>
        <v>0</v>
      </c>
      <c r="BE40" s="73">
        <f t="shared" si="9"/>
        <v>1</v>
      </c>
    </row>
    <row r="41" spans="1:57" ht="98.1" customHeight="1">
      <c r="A41" s="43" t="str">
        <f t="shared" si="0"/>
        <v>100-MWL025-NY027-FTFRESH TAR</v>
      </c>
      <c r="B41" s="45" t="str">
        <f>IF(C41&lt;&gt;"",_xlfn.XLOOKUP(A41,'1C'!A:A,'1C'!B:B,MID(_xlfn.XLOOKUP(C41,'1C'!U:U,'1C'!B:B,"new",0),1,7)&amp;IF(BE41=1,IF(L41&lt;&gt;"",_xlfn.XLOOKUP(L41,Colors!A:A,Colors!B:B,"new",0),"требуется цвет"),""),0))</f>
        <v>92-039-09</v>
      </c>
      <c r="C41" s="44" t="s">
        <v>874</v>
      </c>
      <c r="D41" s="43" t="s">
        <v>924</v>
      </c>
      <c r="E41" s="43" t="str">
        <f>IF(F41&lt;&gt;"",IFERROR(VLOOKUP(F41,Категории!A:B,2,0),""),"Требуется категория")</f>
        <v>Бейсболки</v>
      </c>
      <c r="F41" s="44" t="s">
        <v>784</v>
      </c>
      <c r="G41" s="63" t="s">
        <v>947</v>
      </c>
      <c r="H41" s="44" t="s">
        <v>388</v>
      </c>
      <c r="J41" s="43" t="str">
        <f>'1C'!$AH$1</f>
        <v>HOOD</v>
      </c>
      <c r="K41" s="104" t="s">
        <v>941</v>
      </c>
      <c r="L41" s="63" t="s">
        <v>53</v>
      </c>
      <c r="M41" s="63" t="str">
        <f>IF(K41&lt;&gt;"",_xlfn.XLOOKUP(A41,'1C'!A:A,'1C'!R:R,"",0),"")</f>
        <v/>
      </c>
      <c r="N41" s="63"/>
      <c r="O41" s="63"/>
      <c r="P41" s="141" t="s">
        <v>949</v>
      </c>
      <c r="Q41" s="65"/>
      <c r="R41" s="63" t="s">
        <v>44</v>
      </c>
      <c r="S41" s="58" t="s">
        <v>15</v>
      </c>
      <c r="T41" s="58" t="s">
        <v>382</v>
      </c>
      <c r="U41" s="58">
        <v>27</v>
      </c>
      <c r="X41" s="58"/>
      <c r="Z41" s="58"/>
      <c r="AB41" s="58"/>
      <c r="AD41" s="58"/>
      <c r="AF41" s="58"/>
      <c r="AS41" s="59">
        <f t="shared" si="1"/>
        <v>27</v>
      </c>
      <c r="AT41" s="44" t="s">
        <v>444</v>
      </c>
      <c r="AU41" s="56" t="str">
        <f t="shared" ca="1" si="10"/>
        <v>HOOD HAT, LLC, 15332 Antioch st., #211 Pacific Palisades, CA 90272, USA</v>
      </c>
      <c r="AV41" s="56" t="str">
        <f t="shared" ca="1" si="11"/>
        <v>Соединенные Штаты</v>
      </c>
      <c r="AW41" s="76">
        <f t="shared" si="4"/>
        <v>0.1</v>
      </c>
      <c r="AX41" s="43">
        <f t="shared" si="5"/>
        <v>0.15000000000000002</v>
      </c>
      <c r="AY41" s="43">
        <f t="shared" si="6"/>
        <v>2.7</v>
      </c>
      <c r="AZ41" s="43">
        <f t="shared" si="7"/>
        <v>4.0500000000000007</v>
      </c>
      <c r="BA41" s="152">
        <v>2184</v>
      </c>
      <c r="BB41" s="153">
        <f t="shared" si="8"/>
        <v>58968</v>
      </c>
      <c r="BC41" s="45">
        <f>IF(A41&lt;&gt;"",IF(_xlfn.XLOOKUP(A41,'1C'!A:A,'1C'!A:A,0,0)&gt;0,1,0),"")</f>
        <v>0</v>
      </c>
      <c r="BD41" s="146">
        <f>IF(C41&lt;&gt;"",IF(_xlfn.XLOOKUP(C41,'1C'!U:U,'1C'!U:U,0,0)&gt;0,0,1),"")</f>
        <v>0</v>
      </c>
      <c r="BE41" s="73">
        <f t="shared" si="9"/>
        <v>1</v>
      </c>
    </row>
    <row r="42" spans="1:57" ht="98.1" customHeight="1">
      <c r="A42" s="43" t="str">
        <f t="shared" si="0"/>
        <v>103-SWC001-CA001-KHKhaki</v>
      </c>
      <c r="B42" s="45" t="str">
        <f>IF(C42&lt;&gt;"",_xlfn.XLOOKUP(A42,'1C'!A:A,'1C'!B:B,MID(_xlfn.XLOOKUP(C42,'1C'!U:U,'1C'!B:B,"new",0),1,7)&amp;IF(BE42=1,IF(L42&lt;&gt;"",_xlfn.XLOOKUP(L42,Colors!A:A,Colors!B:B,"new",0),"требуется цвет"),""),0))</f>
        <v>92-040-73</v>
      </c>
      <c r="C42" s="44" t="s">
        <v>875</v>
      </c>
      <c r="D42" s="43" t="s">
        <v>925</v>
      </c>
      <c r="E42" s="43" t="str">
        <f>IF(F42&lt;&gt;"",IFERROR(VLOOKUP(F42,Категории!A:B,2,0),""),"Требуется категория")</f>
        <v>Бейсболки</v>
      </c>
      <c r="F42" s="44" t="s">
        <v>784</v>
      </c>
      <c r="G42" s="63" t="s">
        <v>947</v>
      </c>
      <c r="H42" s="44" t="s">
        <v>388</v>
      </c>
      <c r="J42" s="43" t="str">
        <f>'1C'!$AH$1</f>
        <v>HOOD</v>
      </c>
      <c r="K42" s="104" t="s">
        <v>943</v>
      </c>
      <c r="L42" s="58" t="s">
        <v>81</v>
      </c>
      <c r="M42" s="63" t="str">
        <f>IF(K42&lt;&gt;"",_xlfn.XLOOKUP(A42,'1C'!A:A,'1C'!R:R,"",0),"")</f>
        <v/>
      </c>
      <c r="N42" s="63"/>
      <c r="O42" s="63"/>
      <c r="P42" s="141" t="s">
        <v>948</v>
      </c>
      <c r="Q42" s="65"/>
      <c r="R42" s="63" t="s">
        <v>43</v>
      </c>
      <c r="S42" s="58" t="s">
        <v>15</v>
      </c>
      <c r="T42" s="58" t="s">
        <v>382</v>
      </c>
      <c r="U42" s="58">
        <v>15</v>
      </c>
      <c r="X42" s="58"/>
      <c r="Z42" s="58"/>
      <c r="AB42" s="58"/>
      <c r="AD42" s="58"/>
      <c r="AF42" s="58"/>
      <c r="AS42" s="59">
        <f t="shared" si="1"/>
        <v>15</v>
      </c>
      <c r="AT42" s="44" t="s">
        <v>444</v>
      </c>
      <c r="AU42" s="56" t="str">
        <f t="shared" ca="1" si="10"/>
        <v>HOOD HAT, LLC, 15332 Antioch st., #211 Pacific Palisades, CA 90272, USA</v>
      </c>
      <c r="AV42" s="56" t="str">
        <f t="shared" ca="1" si="11"/>
        <v>Соединенные Штаты</v>
      </c>
      <c r="AW42" s="76">
        <f t="shared" si="4"/>
        <v>0.1</v>
      </c>
      <c r="AX42" s="43">
        <f t="shared" si="5"/>
        <v>0.15000000000000002</v>
      </c>
      <c r="AY42" s="43">
        <f t="shared" si="6"/>
        <v>1.5</v>
      </c>
      <c r="AZ42" s="43">
        <f t="shared" si="7"/>
        <v>2.2500000000000004</v>
      </c>
      <c r="BA42" s="152">
        <v>2184</v>
      </c>
      <c r="BB42" s="153">
        <f t="shared" si="8"/>
        <v>32760</v>
      </c>
      <c r="BC42" s="45">
        <f>IF(A42&lt;&gt;"",IF(_xlfn.XLOOKUP(A42,'1C'!A:A,'1C'!A:A,0,0)&gt;0,1,0),"")</f>
        <v>0</v>
      </c>
      <c r="BD42" s="146">
        <f>IF(C42&lt;&gt;"",IF(_xlfn.XLOOKUP(C42,'1C'!U:U,'1C'!U:U,0,0)&gt;0,0,1),"")</f>
        <v>0</v>
      </c>
      <c r="BE42" s="73">
        <f t="shared" si="9"/>
        <v>1</v>
      </c>
    </row>
    <row r="43" spans="1:57" ht="98.1" customHeight="1">
      <c r="A43" s="43" t="str">
        <f t="shared" si="0"/>
        <v>103-SWC001-CA002-KHKhaki</v>
      </c>
      <c r="B43" s="45" t="str">
        <f>IF(C43&lt;&gt;"",_xlfn.XLOOKUP(A43,'1C'!A:A,'1C'!B:B,MID(_xlfn.XLOOKUP(C43,'1C'!U:U,'1C'!B:B,"new",0),1,7)&amp;IF(BE43=1,IF(L43&lt;&gt;"",_xlfn.XLOOKUP(L43,Colors!A:A,Colors!B:B,"new",0),"требуется цвет"),""),0))</f>
        <v>92-041-83</v>
      </c>
      <c r="C43" s="44" t="s">
        <v>876</v>
      </c>
      <c r="D43" s="43" t="s">
        <v>926</v>
      </c>
      <c r="E43" s="43" t="str">
        <f>IF(F43&lt;&gt;"",IFERROR(VLOOKUP(F43,Категории!A:B,2,0),""),"Требуется категория")</f>
        <v>Бейсболки</v>
      </c>
      <c r="F43" s="44" t="s">
        <v>784</v>
      </c>
      <c r="G43" s="63" t="s">
        <v>947</v>
      </c>
      <c r="H43" s="44" t="s">
        <v>388</v>
      </c>
      <c r="J43" s="43" t="str">
        <f>'1C'!$AH$1</f>
        <v>HOOD</v>
      </c>
      <c r="K43" s="104" t="s">
        <v>943</v>
      </c>
      <c r="L43" s="58" t="s">
        <v>1003</v>
      </c>
      <c r="M43" s="63" t="str">
        <f>IF(K43&lt;&gt;"",_xlfn.XLOOKUP(A43,'1C'!A:A,'1C'!R:R,"",0),"")</f>
        <v/>
      </c>
      <c r="N43" s="63"/>
      <c r="O43" s="63"/>
      <c r="P43" s="141" t="s">
        <v>948</v>
      </c>
      <c r="Q43" s="65"/>
      <c r="R43" s="63" t="s">
        <v>43</v>
      </c>
      <c r="S43" s="58" t="s">
        <v>15</v>
      </c>
      <c r="T43" s="58" t="s">
        <v>382</v>
      </c>
      <c r="U43" s="58">
        <v>15</v>
      </c>
      <c r="X43" s="58"/>
      <c r="Z43" s="58"/>
      <c r="AB43" s="58"/>
      <c r="AD43" s="58"/>
      <c r="AF43" s="58"/>
      <c r="AS43" s="59">
        <f t="shared" si="1"/>
        <v>15</v>
      </c>
      <c r="AT43" s="44" t="s">
        <v>444</v>
      </c>
      <c r="AU43" s="56" t="str">
        <f t="shared" ca="1" si="10"/>
        <v>HOOD HAT, LLC, 15332 Antioch st., #211 Pacific Palisades, CA 90272, USA</v>
      </c>
      <c r="AV43" s="56" t="str">
        <f t="shared" ca="1" si="11"/>
        <v>Соединенные Штаты</v>
      </c>
      <c r="AW43" s="76">
        <f t="shared" si="4"/>
        <v>0.1</v>
      </c>
      <c r="AX43" s="43">
        <f t="shared" si="5"/>
        <v>0.15000000000000002</v>
      </c>
      <c r="AY43" s="43">
        <f t="shared" si="6"/>
        <v>1.5</v>
      </c>
      <c r="AZ43" s="43">
        <f t="shared" si="7"/>
        <v>2.2500000000000004</v>
      </c>
      <c r="BA43" s="152">
        <v>2184</v>
      </c>
      <c r="BB43" s="153">
        <f t="shared" si="8"/>
        <v>32760</v>
      </c>
      <c r="BC43" s="45">
        <f>IF(A43&lt;&gt;"",IF(_xlfn.XLOOKUP(A43,'1C'!A:A,'1C'!A:A,0,0)&gt;0,1,0),"")</f>
        <v>0</v>
      </c>
      <c r="BD43" s="146">
        <f>IF(C43&lt;&gt;"",IF(_xlfn.XLOOKUP(C43,'1C'!U:U,'1C'!U:U,0,0)&gt;0,0,1),"")</f>
        <v>0</v>
      </c>
      <c r="BE43" s="73">
        <f t="shared" si="9"/>
        <v>1</v>
      </c>
    </row>
    <row r="44" spans="1:57" ht="98.1" customHeight="1">
      <c r="A44" s="43" t="str">
        <f t="shared" si="0"/>
        <v>103-SWC001-CA007-GYGrey</v>
      </c>
      <c r="B44" s="45" t="str">
        <f>IF(C44&lt;&gt;"",_xlfn.XLOOKUP(A44,'1C'!A:A,'1C'!B:B,MID(_xlfn.XLOOKUP(C44,'1C'!U:U,'1C'!B:B,"new",0),1,7)&amp;IF(BE44=1,IF(L44&lt;&gt;"",_xlfn.XLOOKUP(L44,Colors!A:A,Colors!B:B,"new",0),"требуется цвет"),""),0))</f>
        <v>92-042-08</v>
      </c>
      <c r="C44" s="44" t="s">
        <v>877</v>
      </c>
      <c r="D44" s="43" t="s">
        <v>927</v>
      </c>
      <c r="E44" s="43" t="str">
        <f>IF(F44&lt;&gt;"",IFERROR(VLOOKUP(F44,Категории!A:B,2,0),""),"Требуется категория")</f>
        <v>Бейсболки</v>
      </c>
      <c r="F44" s="44" t="s">
        <v>784</v>
      </c>
      <c r="G44" s="63" t="s">
        <v>947</v>
      </c>
      <c r="H44" s="44" t="s">
        <v>388</v>
      </c>
      <c r="J44" s="43" t="str">
        <f>'1C'!$AH$1</f>
        <v>HOOD</v>
      </c>
      <c r="K44" s="104" t="s">
        <v>82</v>
      </c>
      <c r="L44" s="56" t="s">
        <v>241</v>
      </c>
      <c r="M44" s="63" t="str">
        <f>IF(K44&lt;&gt;"",_xlfn.XLOOKUP(A44,'1C'!A:A,'1C'!R:R,"",0),"")</f>
        <v/>
      </c>
      <c r="N44" s="63"/>
      <c r="O44" s="63"/>
      <c r="P44" s="141" t="s">
        <v>948</v>
      </c>
      <c r="Q44" s="65"/>
      <c r="R44" s="63" t="s">
        <v>43</v>
      </c>
      <c r="S44" s="58" t="s">
        <v>15</v>
      </c>
      <c r="T44" s="58" t="s">
        <v>382</v>
      </c>
      <c r="U44" s="58">
        <v>18</v>
      </c>
      <c r="X44" s="58"/>
      <c r="Z44" s="58"/>
      <c r="AB44" s="58"/>
      <c r="AD44" s="58"/>
      <c r="AF44" s="58"/>
      <c r="AS44" s="59">
        <f t="shared" si="1"/>
        <v>18</v>
      </c>
      <c r="AT44" s="44" t="s">
        <v>444</v>
      </c>
      <c r="AU44" s="56" t="str">
        <f t="shared" ca="1" si="10"/>
        <v>HOOD HAT, LLC, 15332 Antioch st., #211 Pacific Palisades, CA 90272, USA</v>
      </c>
      <c r="AV44" s="56" t="str">
        <f t="shared" ca="1" si="11"/>
        <v>Соединенные Штаты</v>
      </c>
      <c r="AW44" s="76">
        <f t="shared" si="4"/>
        <v>0.1</v>
      </c>
      <c r="AX44" s="43">
        <f t="shared" si="5"/>
        <v>0.15000000000000002</v>
      </c>
      <c r="AY44" s="43">
        <f t="shared" si="6"/>
        <v>1.8</v>
      </c>
      <c r="AZ44" s="43">
        <f t="shared" si="7"/>
        <v>2.7</v>
      </c>
      <c r="BA44" s="152">
        <v>2184</v>
      </c>
      <c r="BB44" s="153">
        <f t="shared" si="8"/>
        <v>39312</v>
      </c>
      <c r="BC44" s="45">
        <f>IF(A44&lt;&gt;"",IF(_xlfn.XLOOKUP(A44,'1C'!A:A,'1C'!A:A,0,0)&gt;0,1,0),"")</f>
        <v>0</v>
      </c>
      <c r="BD44" s="146">
        <f>IF(C44&lt;&gt;"",IF(_xlfn.XLOOKUP(C44,'1C'!U:U,'1C'!U:U,0,0)&gt;0,0,1),"")</f>
        <v>0</v>
      </c>
      <c r="BE44" s="73">
        <f t="shared" si="9"/>
        <v>1</v>
      </c>
    </row>
    <row r="45" spans="1:57" ht="98.1" customHeight="1">
      <c r="A45" s="43" t="str">
        <f t="shared" si="0"/>
        <v>103-SWC001-CA008-MCMocha</v>
      </c>
      <c r="B45" s="45" t="str">
        <f>IF(C45&lt;&gt;"",_xlfn.XLOOKUP(A45,'1C'!A:A,'1C'!B:B,MID(_xlfn.XLOOKUP(C45,'1C'!U:U,'1C'!B:B,"new",0),1,7)&amp;IF(BE45=1,IF(L45&lt;&gt;"",_xlfn.XLOOKUP(L45,Colors!A:A,Colors!B:B,"new",0),"требуется цвет"),""),0))</f>
        <v>92-043-83</v>
      </c>
      <c r="C45" s="44" t="s">
        <v>878</v>
      </c>
      <c r="D45" s="43" t="s">
        <v>928</v>
      </c>
      <c r="E45" s="43" t="str">
        <f>IF(F45&lt;&gt;"",IFERROR(VLOOKUP(F45,Категории!A:B,2,0),""),"Требуется категория")</f>
        <v>Бейсболки</v>
      </c>
      <c r="F45" s="44" t="s">
        <v>784</v>
      </c>
      <c r="G45" s="63" t="s">
        <v>947</v>
      </c>
      <c r="H45" s="44" t="s">
        <v>388</v>
      </c>
      <c r="J45" s="43" t="str">
        <f>'1C'!$AH$1</f>
        <v>HOOD</v>
      </c>
      <c r="K45" s="104" t="s">
        <v>944</v>
      </c>
      <c r="L45" s="58" t="s">
        <v>1004</v>
      </c>
      <c r="M45" s="63" t="str">
        <f>IF(K45&lt;&gt;"",_xlfn.XLOOKUP(A45,'1C'!A:A,'1C'!R:R,"",0),"")</f>
        <v/>
      </c>
      <c r="N45" s="63"/>
      <c r="O45" s="63"/>
      <c r="P45" s="141" t="s">
        <v>948</v>
      </c>
      <c r="Q45" s="65"/>
      <c r="R45" s="63" t="s">
        <v>43</v>
      </c>
      <c r="S45" s="58" t="s">
        <v>15</v>
      </c>
      <c r="T45" s="58" t="s">
        <v>382</v>
      </c>
      <c r="U45" s="58">
        <v>27</v>
      </c>
      <c r="X45" s="58"/>
      <c r="Z45" s="58"/>
      <c r="AB45" s="58"/>
      <c r="AD45" s="58"/>
      <c r="AF45" s="58"/>
      <c r="AS45" s="59">
        <f t="shared" si="1"/>
        <v>27</v>
      </c>
      <c r="AT45" s="44" t="s">
        <v>444</v>
      </c>
      <c r="AU45" s="56" t="str">
        <f t="shared" ca="1" si="10"/>
        <v>HOOD HAT, LLC, 15332 Antioch st., #211 Pacific Palisades, CA 90272, USA</v>
      </c>
      <c r="AV45" s="56" t="str">
        <f t="shared" ca="1" si="11"/>
        <v>Соединенные Штаты</v>
      </c>
      <c r="AW45" s="76">
        <f t="shared" si="4"/>
        <v>0.1</v>
      </c>
      <c r="AX45" s="43">
        <f t="shared" si="5"/>
        <v>0.15000000000000002</v>
      </c>
      <c r="AY45" s="43">
        <f t="shared" si="6"/>
        <v>2.7</v>
      </c>
      <c r="AZ45" s="43">
        <f t="shared" si="7"/>
        <v>4.0500000000000007</v>
      </c>
      <c r="BA45" s="152">
        <v>2184</v>
      </c>
      <c r="BB45" s="153">
        <f t="shared" si="8"/>
        <v>58968</v>
      </c>
      <c r="BC45" s="45">
        <f>IF(A45&lt;&gt;"",IF(_xlfn.XLOOKUP(A45,'1C'!A:A,'1C'!A:A,0,0)&gt;0,1,0),"")</f>
        <v>0</v>
      </c>
      <c r="BD45" s="146">
        <f>IF(C45&lt;&gt;"",IF(_xlfn.XLOOKUP(C45,'1C'!U:U,'1C'!U:U,0,0)&gt;0,0,1),"")</f>
        <v>0</v>
      </c>
      <c r="BE45" s="73">
        <f t="shared" si="9"/>
        <v>1</v>
      </c>
    </row>
    <row r="46" spans="1:57" ht="98.1" customHeight="1">
      <c r="A46" s="43" t="str">
        <f t="shared" si="0"/>
        <v>103-SWC001-NY001-KHKhaki</v>
      </c>
      <c r="B46" s="45" t="str">
        <f>IF(C46&lt;&gt;"",_xlfn.XLOOKUP(A46,'1C'!A:A,'1C'!B:B,MID(_xlfn.XLOOKUP(C46,'1C'!U:U,'1C'!B:B,"new",0),1,7)&amp;IF(BE46=1,IF(L46&lt;&gt;"",_xlfn.XLOOKUP(L46,Colors!A:A,Colors!B:B,"new",0),"требуется цвет"),""),0))</f>
        <v>92-044-04</v>
      </c>
      <c r="C46" s="44" t="s">
        <v>879</v>
      </c>
      <c r="D46" s="43" t="s">
        <v>929</v>
      </c>
      <c r="E46" s="43" t="str">
        <f>IF(F46&lt;&gt;"",IFERROR(VLOOKUP(F46,Категории!A:B,2,0),""),"Требуется категория")</f>
        <v>Бейсболки</v>
      </c>
      <c r="F46" s="44" t="s">
        <v>784</v>
      </c>
      <c r="G46" s="63" t="s">
        <v>947</v>
      </c>
      <c r="H46" s="44" t="s">
        <v>388</v>
      </c>
      <c r="J46" s="43" t="str">
        <f>'1C'!$AH$1</f>
        <v>HOOD</v>
      </c>
      <c r="K46" s="104" t="s">
        <v>943</v>
      </c>
      <c r="L46" s="63" t="s">
        <v>1005</v>
      </c>
      <c r="M46" s="63" t="str">
        <f>IF(K46&lt;&gt;"",_xlfn.XLOOKUP(A46,'1C'!A:A,'1C'!R:R,"",0),"")</f>
        <v/>
      </c>
      <c r="N46" s="63"/>
      <c r="O46" s="63"/>
      <c r="P46" s="141" t="s">
        <v>948</v>
      </c>
      <c r="Q46" s="65"/>
      <c r="R46" s="63" t="s">
        <v>43</v>
      </c>
      <c r="S46" s="58" t="s">
        <v>15</v>
      </c>
      <c r="T46" s="58" t="s">
        <v>382</v>
      </c>
      <c r="U46" s="58">
        <v>15</v>
      </c>
      <c r="X46" s="58"/>
      <c r="Z46" s="58"/>
      <c r="AB46" s="58"/>
      <c r="AD46" s="58"/>
      <c r="AF46" s="58"/>
      <c r="AS46" s="59">
        <f t="shared" si="1"/>
        <v>15</v>
      </c>
      <c r="AT46" s="44" t="s">
        <v>444</v>
      </c>
      <c r="AU46" s="56" t="str">
        <f t="shared" ca="1" si="10"/>
        <v>HOOD HAT, LLC, 15332 Antioch st., #211 Pacific Palisades, CA 90272, USA</v>
      </c>
      <c r="AV46" s="56" t="str">
        <f t="shared" ca="1" si="11"/>
        <v>Соединенные Штаты</v>
      </c>
      <c r="AW46" s="76">
        <f t="shared" si="4"/>
        <v>0.1</v>
      </c>
      <c r="AX46" s="43">
        <f t="shared" si="5"/>
        <v>0.15000000000000002</v>
      </c>
      <c r="AY46" s="43">
        <f t="shared" si="6"/>
        <v>1.5</v>
      </c>
      <c r="AZ46" s="43">
        <f t="shared" si="7"/>
        <v>2.2500000000000004</v>
      </c>
      <c r="BA46" s="152">
        <v>2184</v>
      </c>
      <c r="BB46" s="153">
        <f t="shared" si="8"/>
        <v>32760</v>
      </c>
      <c r="BC46" s="45">
        <f>IF(A46&lt;&gt;"",IF(_xlfn.XLOOKUP(A46,'1C'!A:A,'1C'!A:A,0,0)&gt;0,1,0),"")</f>
        <v>0</v>
      </c>
      <c r="BD46" s="146">
        <f>IF(C46&lt;&gt;"",IF(_xlfn.XLOOKUP(C46,'1C'!U:U,'1C'!U:U,0,0)&gt;0,0,1),"")</f>
        <v>0</v>
      </c>
      <c r="BE46" s="73">
        <f t="shared" si="9"/>
        <v>1</v>
      </c>
    </row>
    <row r="47" spans="1:57" ht="98.1" customHeight="1">
      <c r="A47" s="43" t="str">
        <f t="shared" si="0"/>
        <v>103-SWC001-NY015-BKBlack</v>
      </c>
      <c r="B47" s="45" t="str">
        <f>IF(C47&lt;&gt;"",_xlfn.XLOOKUP(A47,'1C'!A:A,'1C'!B:B,MID(_xlfn.XLOOKUP(C47,'1C'!U:U,'1C'!B:B,"new",0),1,7)&amp;IF(BE47=1,IF(L47&lt;&gt;"",_xlfn.XLOOKUP(L47,Colors!A:A,Colors!B:B,"new",0),"требуется цвет"),""),0))</f>
        <v>92-045-72</v>
      </c>
      <c r="C47" s="44" t="s">
        <v>880</v>
      </c>
      <c r="D47" s="43" t="s">
        <v>930</v>
      </c>
      <c r="E47" s="43" t="str">
        <f>IF(F47&lt;&gt;"",IFERROR(VLOOKUP(F47,Категории!A:B,2,0),""),"Требуется категория")</f>
        <v>Бейсболки</v>
      </c>
      <c r="F47" s="44" t="s">
        <v>784</v>
      </c>
      <c r="G47" s="63" t="s">
        <v>947</v>
      </c>
      <c r="H47" s="44" t="s">
        <v>388</v>
      </c>
      <c r="J47" s="43" t="str">
        <f>'1C'!$AH$1</f>
        <v>HOOD</v>
      </c>
      <c r="K47" s="104" t="s">
        <v>52</v>
      </c>
      <c r="L47" s="56" t="s">
        <v>293</v>
      </c>
      <c r="M47" s="63" t="str">
        <f>IF(K47&lt;&gt;"",_xlfn.XLOOKUP(A47,'1C'!A:A,'1C'!R:R,"",0),"")</f>
        <v/>
      </c>
      <c r="N47" s="63"/>
      <c r="O47" s="63"/>
      <c r="P47" s="141" t="s">
        <v>948</v>
      </c>
      <c r="Q47" s="65"/>
      <c r="R47" s="63" t="s">
        <v>43</v>
      </c>
      <c r="S47" s="58" t="s">
        <v>15</v>
      </c>
      <c r="T47" s="58" t="s">
        <v>382</v>
      </c>
      <c r="U47" s="58">
        <v>15</v>
      </c>
      <c r="X47" s="58"/>
      <c r="Z47" s="58"/>
      <c r="AB47" s="58"/>
      <c r="AD47" s="58"/>
      <c r="AF47" s="58"/>
      <c r="AS47" s="59">
        <f t="shared" si="1"/>
        <v>15</v>
      </c>
      <c r="AT47" s="44" t="s">
        <v>444</v>
      </c>
      <c r="AU47" s="56" t="str">
        <f t="shared" ca="1" si="10"/>
        <v>HOOD HAT, LLC, 15332 Antioch st., #211 Pacific Palisades, CA 90272, USA</v>
      </c>
      <c r="AV47" s="56" t="str">
        <f t="shared" ca="1" si="11"/>
        <v>Соединенные Штаты</v>
      </c>
      <c r="AW47" s="76">
        <f t="shared" si="4"/>
        <v>0.1</v>
      </c>
      <c r="AX47" s="43">
        <f t="shared" si="5"/>
        <v>0.15000000000000002</v>
      </c>
      <c r="AY47" s="43">
        <f t="shared" si="6"/>
        <v>1.5</v>
      </c>
      <c r="AZ47" s="43">
        <f t="shared" si="7"/>
        <v>2.2500000000000004</v>
      </c>
      <c r="BA47" s="152">
        <v>2184</v>
      </c>
      <c r="BB47" s="153">
        <f t="shared" si="8"/>
        <v>32760</v>
      </c>
      <c r="BC47" s="45">
        <f>IF(A47&lt;&gt;"",IF(_xlfn.XLOOKUP(A47,'1C'!A:A,'1C'!A:A,0,0)&gt;0,1,0),"")</f>
        <v>0</v>
      </c>
      <c r="BD47" s="146">
        <f>IF(C47&lt;&gt;"",IF(_xlfn.XLOOKUP(C47,'1C'!U:U,'1C'!U:U,0,0)&gt;0,0,1),"")</f>
        <v>0</v>
      </c>
      <c r="BE47" s="73">
        <f t="shared" si="9"/>
        <v>1</v>
      </c>
    </row>
    <row r="48" spans="1:57" ht="98.1" customHeight="1">
      <c r="A48" s="43" t="str">
        <f t="shared" si="0"/>
        <v>103-SWC001-NY022-GYGrey</v>
      </c>
      <c r="B48" s="45" t="str">
        <f>IF(C48&lt;&gt;"",_xlfn.XLOOKUP(A48,'1C'!A:A,'1C'!B:B,MID(_xlfn.XLOOKUP(C48,'1C'!U:U,'1C'!B:B,"new",0),1,7)&amp;IF(BE48=1,IF(L48&lt;&gt;"",_xlfn.XLOOKUP(L48,Colors!A:A,Colors!B:B,"new",0),"требуется цвет"),""),0))</f>
        <v>92-046-10</v>
      </c>
      <c r="C48" s="44" t="s">
        <v>881</v>
      </c>
      <c r="D48" s="43" t="s">
        <v>931</v>
      </c>
      <c r="E48" s="43" t="str">
        <f>IF(F48&lt;&gt;"",IFERROR(VLOOKUP(F48,Категории!A:B,2,0),""),"Требуется категория")</f>
        <v>Бейсболки</v>
      </c>
      <c r="F48" s="44" t="s">
        <v>784</v>
      </c>
      <c r="G48" s="63" t="s">
        <v>947</v>
      </c>
      <c r="H48" s="44" t="s">
        <v>388</v>
      </c>
      <c r="J48" s="43" t="str">
        <f>'1C'!$AH$1</f>
        <v>HOOD</v>
      </c>
      <c r="K48" s="104" t="s">
        <v>82</v>
      </c>
      <c r="L48" s="56" t="s">
        <v>246</v>
      </c>
      <c r="M48" s="63" t="str">
        <f>IF(K48&lt;&gt;"",_xlfn.XLOOKUP(A48,'1C'!A:A,'1C'!R:R,"",0),"")</f>
        <v/>
      </c>
      <c r="N48" s="63"/>
      <c r="O48" s="63"/>
      <c r="P48" s="141" t="s">
        <v>948</v>
      </c>
      <c r="Q48" s="65"/>
      <c r="R48" s="63" t="s">
        <v>43</v>
      </c>
      <c r="S48" s="58" t="s">
        <v>15</v>
      </c>
      <c r="T48" s="58" t="s">
        <v>382</v>
      </c>
      <c r="U48" s="58">
        <v>15</v>
      </c>
      <c r="X48" s="58"/>
      <c r="Z48" s="58"/>
      <c r="AB48" s="58"/>
      <c r="AD48" s="58"/>
      <c r="AF48" s="58"/>
      <c r="AS48" s="59">
        <f t="shared" si="1"/>
        <v>15</v>
      </c>
      <c r="AT48" s="44" t="s">
        <v>444</v>
      </c>
      <c r="AU48" s="56" t="str">
        <f t="shared" ca="1" si="10"/>
        <v>HOOD HAT, LLC, 15332 Antioch st., #211 Pacific Palisades, CA 90272, USA</v>
      </c>
      <c r="AV48" s="56" t="str">
        <f t="shared" ca="1" si="11"/>
        <v>Соединенные Штаты</v>
      </c>
      <c r="AW48" s="76">
        <f t="shared" si="4"/>
        <v>0.1</v>
      </c>
      <c r="AX48" s="43">
        <f t="shared" si="5"/>
        <v>0.15000000000000002</v>
      </c>
      <c r="AY48" s="43">
        <f t="shared" si="6"/>
        <v>1.5</v>
      </c>
      <c r="AZ48" s="43">
        <f t="shared" si="7"/>
        <v>2.2500000000000004</v>
      </c>
      <c r="BA48" s="152">
        <v>2184</v>
      </c>
      <c r="BB48" s="153">
        <f t="shared" si="8"/>
        <v>32760</v>
      </c>
      <c r="BC48" s="45">
        <f>IF(A48&lt;&gt;"",IF(_xlfn.XLOOKUP(A48,'1C'!A:A,'1C'!A:A,0,0)&gt;0,1,0),"")</f>
        <v>0</v>
      </c>
      <c r="BD48" s="146">
        <f>IF(C48&lt;&gt;"",IF(_xlfn.XLOOKUP(C48,'1C'!U:U,'1C'!U:U,0,0)&gt;0,0,1),"")</f>
        <v>0</v>
      </c>
      <c r="BE48" s="73">
        <f t="shared" si="9"/>
        <v>1</v>
      </c>
    </row>
    <row r="49" spans="1:57" ht="98.1" customHeight="1">
      <c r="A49" s="43" t="str">
        <f t="shared" si="0"/>
        <v>103-SWC001-NY037-BDBud</v>
      </c>
      <c r="B49" s="45" t="str">
        <f>IF(C49&lt;&gt;"",_xlfn.XLOOKUP(A49,'1C'!A:A,'1C'!B:B,MID(_xlfn.XLOOKUP(C49,'1C'!U:U,'1C'!B:B,"new",0),1,7)&amp;IF(BE49=1,IF(L49&lt;&gt;"",_xlfn.XLOOKUP(L49,Colors!A:A,Colors!B:B,"new",0),"требуется цвет"),""),0))</f>
        <v>92-047-11</v>
      </c>
      <c r="C49" s="44" t="s">
        <v>882</v>
      </c>
      <c r="D49" s="43" t="s">
        <v>932</v>
      </c>
      <c r="E49" s="43" t="str">
        <f>IF(F49&lt;&gt;"",IFERROR(VLOOKUP(F49,Категории!A:B,2,0),""),"Требуется категория")</f>
        <v>Бейсболки</v>
      </c>
      <c r="F49" s="44" t="s">
        <v>784</v>
      </c>
      <c r="G49" s="63" t="s">
        <v>947</v>
      </c>
      <c r="H49" s="44" t="s">
        <v>388</v>
      </c>
      <c r="J49" s="43" t="str">
        <f>'1C'!$AH$1</f>
        <v>HOOD</v>
      </c>
      <c r="K49" s="104" t="s">
        <v>945</v>
      </c>
      <c r="L49" s="63" t="s">
        <v>1006</v>
      </c>
      <c r="M49" s="63" t="str">
        <f>IF(K49&lt;&gt;"",_xlfn.XLOOKUP(A49,'1C'!A:A,'1C'!R:R,"",0),"")</f>
        <v/>
      </c>
      <c r="N49" s="63"/>
      <c r="O49" s="63"/>
      <c r="P49" s="141" t="s">
        <v>948</v>
      </c>
      <c r="Q49" s="65"/>
      <c r="R49" s="63" t="s">
        <v>43</v>
      </c>
      <c r="S49" s="58" t="s">
        <v>15</v>
      </c>
      <c r="T49" s="58" t="s">
        <v>382</v>
      </c>
      <c r="U49" s="58">
        <v>18</v>
      </c>
      <c r="X49" s="58"/>
      <c r="Z49" s="58"/>
      <c r="AB49" s="58"/>
      <c r="AD49" s="58"/>
      <c r="AF49" s="58"/>
      <c r="AS49" s="59">
        <f t="shared" si="1"/>
        <v>18</v>
      </c>
      <c r="AT49" s="44" t="s">
        <v>444</v>
      </c>
      <c r="AU49" s="56" t="str">
        <f t="shared" ca="1" si="10"/>
        <v>HOOD HAT, LLC, 15332 Antioch st., #211 Pacific Palisades, CA 90272, USA</v>
      </c>
      <c r="AV49" s="56" t="str">
        <f t="shared" ca="1" si="11"/>
        <v>Соединенные Штаты</v>
      </c>
      <c r="AW49" s="76">
        <f t="shared" si="4"/>
        <v>0.1</v>
      </c>
      <c r="AX49" s="43">
        <f t="shared" si="5"/>
        <v>0.15000000000000002</v>
      </c>
      <c r="AY49" s="43">
        <f t="shared" si="6"/>
        <v>1.8</v>
      </c>
      <c r="AZ49" s="43">
        <f t="shared" si="7"/>
        <v>2.7</v>
      </c>
      <c r="BA49" s="152">
        <v>2184</v>
      </c>
      <c r="BB49" s="153">
        <f t="shared" si="8"/>
        <v>39312</v>
      </c>
      <c r="BC49" s="45">
        <f>IF(A49&lt;&gt;"",IF(_xlfn.XLOOKUP(A49,'1C'!A:A,'1C'!A:A,0,0)&gt;0,1,0),"")</f>
        <v>0</v>
      </c>
      <c r="BD49" s="146">
        <f>IF(C49&lt;&gt;"",IF(_xlfn.XLOOKUP(C49,'1C'!U:U,'1C'!U:U,0,0)&gt;0,0,1),"")</f>
        <v>0</v>
      </c>
      <c r="BE49" s="73">
        <f t="shared" si="9"/>
        <v>1</v>
      </c>
    </row>
    <row r="50" spans="1:57" ht="98.1" customHeight="1">
      <c r="A50" s="43" t="str">
        <f t="shared" si="0"/>
        <v>103-SWC001-UT002-MCMocha</v>
      </c>
      <c r="B50" s="45" t="str">
        <f>IF(C50&lt;&gt;"",_xlfn.XLOOKUP(A50,'1C'!A:A,'1C'!B:B,MID(_xlfn.XLOOKUP(C50,'1C'!U:U,'1C'!B:B,"new",0),1,7)&amp;IF(BE50=1,IF(L50&lt;&gt;"",_xlfn.XLOOKUP(L50,Colors!A:A,Colors!B:B,"new",0),"требуется цвет"),""),0))</f>
        <v>92-048-15</v>
      </c>
      <c r="C50" s="44" t="s">
        <v>883</v>
      </c>
      <c r="D50" s="43" t="s">
        <v>933</v>
      </c>
      <c r="E50" s="43" t="str">
        <f>IF(F50&lt;&gt;"",IFERROR(VLOOKUP(F50,Категории!A:B,2,0),""),"Требуется категория")</f>
        <v>Бейсболки</v>
      </c>
      <c r="F50" s="44" t="s">
        <v>784</v>
      </c>
      <c r="G50" s="63" t="s">
        <v>947</v>
      </c>
      <c r="H50" s="44" t="s">
        <v>388</v>
      </c>
      <c r="J50" s="43" t="str">
        <f>'1C'!$AH$1</f>
        <v>HOOD</v>
      </c>
      <c r="K50" s="104" t="s">
        <v>944</v>
      </c>
      <c r="L50" s="58" t="s">
        <v>226</v>
      </c>
      <c r="M50" s="63" t="str">
        <f>IF(K50&lt;&gt;"",_xlfn.XLOOKUP(A50,'1C'!A:A,'1C'!R:R,"",0),"")</f>
        <v/>
      </c>
      <c r="N50" s="63"/>
      <c r="O50" s="63"/>
      <c r="P50" s="141" t="s">
        <v>948</v>
      </c>
      <c r="Q50" s="65"/>
      <c r="R50" s="63" t="s">
        <v>43</v>
      </c>
      <c r="S50" s="58" t="s">
        <v>15</v>
      </c>
      <c r="T50" s="58" t="s">
        <v>382</v>
      </c>
      <c r="U50" s="58">
        <v>15</v>
      </c>
      <c r="X50" s="58"/>
      <c r="Z50" s="58"/>
      <c r="AB50" s="58"/>
      <c r="AD50" s="58"/>
      <c r="AF50" s="58"/>
      <c r="AS50" s="59">
        <f t="shared" si="1"/>
        <v>15</v>
      </c>
      <c r="AT50" s="44" t="s">
        <v>444</v>
      </c>
      <c r="AU50" s="56" t="str">
        <f t="shared" ca="1" si="10"/>
        <v>HOOD HAT, LLC, 15332 Antioch st., #211 Pacific Palisades, CA 90272, USA</v>
      </c>
      <c r="AV50" s="56" t="str">
        <f t="shared" ca="1" si="11"/>
        <v>Соединенные Штаты</v>
      </c>
      <c r="AW50" s="76">
        <f t="shared" si="4"/>
        <v>0.1</v>
      </c>
      <c r="AX50" s="43">
        <f t="shared" si="5"/>
        <v>0.15000000000000002</v>
      </c>
      <c r="AY50" s="43">
        <f t="shared" si="6"/>
        <v>1.5</v>
      </c>
      <c r="AZ50" s="43">
        <f t="shared" si="7"/>
        <v>2.2500000000000004</v>
      </c>
      <c r="BA50" s="152">
        <v>2184</v>
      </c>
      <c r="BB50" s="153">
        <f t="shared" si="8"/>
        <v>32760</v>
      </c>
      <c r="BC50" s="45">
        <f>IF(A50&lt;&gt;"",IF(_xlfn.XLOOKUP(A50,'1C'!A:A,'1C'!A:A,0,0)&gt;0,1,0),"")</f>
        <v>0</v>
      </c>
      <c r="BD50" s="146">
        <f>IF(C50&lt;&gt;"",IF(_xlfn.XLOOKUP(C50,'1C'!U:U,'1C'!U:U,0,0)&gt;0,0,1),"")</f>
        <v>0</v>
      </c>
      <c r="BE50" s="73">
        <f t="shared" si="9"/>
        <v>1</v>
      </c>
    </row>
    <row r="51" spans="1:57" ht="98.1" customHeight="1">
      <c r="A51" s="43" t="str">
        <f t="shared" si="0"/>
        <v>103-SWC002-NY020-BKBlack</v>
      </c>
      <c r="B51" s="45" t="str">
        <f>IF(C51&lt;&gt;"",_xlfn.XLOOKUP(A51,'1C'!A:A,'1C'!B:B,MID(_xlfn.XLOOKUP(C51,'1C'!U:U,'1C'!B:B,"new",0),1,7)&amp;IF(BE51=1,IF(L51&lt;&gt;"",_xlfn.XLOOKUP(L51,Colors!A:A,Colors!B:B,"new",0),"требуется цвет"),""),0))</f>
        <v>92-049-72</v>
      </c>
      <c r="C51" s="44" t="s">
        <v>884</v>
      </c>
      <c r="D51" s="43" t="s">
        <v>934</v>
      </c>
      <c r="E51" s="43" t="str">
        <f>IF(F51&lt;&gt;"",IFERROR(VLOOKUP(F51,Категории!A:B,2,0),""),"Требуется категория")</f>
        <v>Бейсболки</v>
      </c>
      <c r="F51" s="44" t="s">
        <v>784</v>
      </c>
      <c r="G51" s="63" t="s">
        <v>947</v>
      </c>
      <c r="H51" s="44" t="s">
        <v>388</v>
      </c>
      <c r="J51" s="43" t="str">
        <f>'1C'!$AH$1</f>
        <v>HOOD</v>
      </c>
      <c r="K51" s="104" t="s">
        <v>52</v>
      </c>
      <c r="L51" s="59" t="s">
        <v>293</v>
      </c>
      <c r="M51" s="63" t="str">
        <f>IF(K51&lt;&gt;"",_xlfn.XLOOKUP(A51,'1C'!A:A,'1C'!R:R,"",0),"")</f>
        <v/>
      </c>
      <c r="N51" s="63"/>
      <c r="O51" s="63"/>
      <c r="P51" s="141" t="s">
        <v>948</v>
      </c>
      <c r="Q51" s="65"/>
      <c r="R51" s="63" t="s">
        <v>43</v>
      </c>
      <c r="S51" s="58" t="s">
        <v>15</v>
      </c>
      <c r="T51" s="58" t="s">
        <v>382</v>
      </c>
      <c r="U51" s="58">
        <v>18</v>
      </c>
      <c r="X51" s="58"/>
      <c r="Z51" s="58"/>
      <c r="AB51" s="58"/>
      <c r="AD51" s="58"/>
      <c r="AF51" s="58"/>
      <c r="AS51" s="59">
        <f t="shared" si="1"/>
        <v>18</v>
      </c>
      <c r="AT51" s="44" t="s">
        <v>444</v>
      </c>
      <c r="AU51" s="56" t="str">
        <f t="shared" ca="1" si="10"/>
        <v>HOOD HAT, LLC, 15332 Antioch st., #211 Pacific Palisades, CA 90272, USA</v>
      </c>
      <c r="AV51" s="56" t="str">
        <f t="shared" ca="1" si="11"/>
        <v>Соединенные Штаты</v>
      </c>
      <c r="AW51" s="76">
        <f t="shared" si="4"/>
        <v>0.1</v>
      </c>
      <c r="AX51" s="43">
        <f t="shared" si="5"/>
        <v>0.15000000000000002</v>
      </c>
      <c r="AY51" s="43">
        <f t="shared" si="6"/>
        <v>1.8</v>
      </c>
      <c r="AZ51" s="43">
        <f t="shared" si="7"/>
        <v>2.7</v>
      </c>
      <c r="BA51" s="152">
        <v>2184</v>
      </c>
      <c r="BB51" s="153">
        <f t="shared" si="8"/>
        <v>39312</v>
      </c>
      <c r="BC51" s="45">
        <f>IF(A51&lt;&gt;"",IF(_xlfn.XLOOKUP(A51,'1C'!A:A,'1C'!A:A,0,0)&gt;0,1,0),"")</f>
        <v>0</v>
      </c>
      <c r="BD51" s="146">
        <f>IF(C51&lt;&gt;"",IF(_xlfn.XLOOKUP(C51,'1C'!U:U,'1C'!U:U,0,0)&gt;0,0,1),"")</f>
        <v>0</v>
      </c>
      <c r="BE51" s="73">
        <f t="shared" si="9"/>
        <v>1</v>
      </c>
    </row>
    <row r="52" spans="1:57" ht="98.1" customHeight="1">
      <c r="A52" s="43" t="str">
        <f t="shared" si="0"/>
        <v>103-SWC003-CA047-STStout</v>
      </c>
      <c r="B52" s="45" t="str">
        <f>IF(C52&lt;&gt;"",_xlfn.XLOOKUP(A52,'1C'!A:A,'1C'!B:B,MID(_xlfn.XLOOKUP(C52,'1C'!U:U,'1C'!B:B,"new",0),1,7)&amp;IF(BE52=1,IF(L52&lt;&gt;"",_xlfn.XLOOKUP(L52,Colors!A:A,Colors!B:B,"new",0),"требуется цвет"),""),0))</f>
        <v>92-050-72</v>
      </c>
      <c r="C52" s="44" t="s">
        <v>885</v>
      </c>
      <c r="D52" s="43" t="s">
        <v>935</v>
      </c>
      <c r="E52" s="43" t="str">
        <f>IF(F52&lt;&gt;"",IFERROR(VLOOKUP(F52,Категории!A:B,2,0),""),"Требуется категория")</f>
        <v>Бейсболки</v>
      </c>
      <c r="F52" s="44" t="s">
        <v>784</v>
      </c>
      <c r="G52" s="63" t="s">
        <v>947</v>
      </c>
      <c r="H52" s="44" t="s">
        <v>388</v>
      </c>
      <c r="J52" s="43" t="str">
        <f>'1C'!$AH$1</f>
        <v>HOOD</v>
      </c>
      <c r="K52" s="104" t="s">
        <v>946</v>
      </c>
      <c r="L52" s="58" t="s">
        <v>170</v>
      </c>
      <c r="M52" s="63" t="str">
        <f>IF(K52&lt;&gt;"",_xlfn.XLOOKUP(A52,'1C'!A:A,'1C'!R:R,"",0),"")</f>
        <v/>
      </c>
      <c r="N52" s="63"/>
      <c r="O52" s="63"/>
      <c r="P52" s="141" t="s">
        <v>948</v>
      </c>
      <c r="Q52" s="65"/>
      <c r="R52" s="63" t="s">
        <v>43</v>
      </c>
      <c r="S52" s="58" t="s">
        <v>15</v>
      </c>
      <c r="T52" s="58" t="s">
        <v>382</v>
      </c>
      <c r="U52" s="58">
        <v>3</v>
      </c>
      <c r="X52" s="58"/>
      <c r="Z52" s="58"/>
      <c r="AB52" s="58"/>
      <c r="AD52" s="58"/>
      <c r="AF52" s="58"/>
      <c r="AS52" s="59">
        <f t="shared" si="1"/>
        <v>3</v>
      </c>
      <c r="AT52" s="142" t="s">
        <v>444</v>
      </c>
      <c r="AU52" s="56" t="str">
        <f t="shared" ca="1" si="10"/>
        <v>HOOD HAT, LLC, 15332 Antioch st., #211 Pacific Palisades, CA 90272, USA</v>
      </c>
      <c r="AV52" s="56" t="str">
        <f t="shared" ca="1" si="11"/>
        <v>Соединенные Штаты</v>
      </c>
      <c r="AW52" s="76">
        <f t="shared" si="4"/>
        <v>0.1</v>
      </c>
      <c r="AX52" s="43">
        <f t="shared" si="5"/>
        <v>0.15000000000000002</v>
      </c>
      <c r="AY52" s="43">
        <f t="shared" si="6"/>
        <v>0.30000000000000004</v>
      </c>
      <c r="AZ52" s="43">
        <f t="shared" si="7"/>
        <v>0.45000000000000007</v>
      </c>
      <c r="BA52" s="152">
        <v>2184</v>
      </c>
      <c r="BB52" s="153">
        <f t="shared" si="8"/>
        <v>6552</v>
      </c>
      <c r="BC52" s="45">
        <f>IF(A52&lt;&gt;"",IF(_xlfn.XLOOKUP(A52,'1C'!A:A,'1C'!A:A,0,0)&gt;0,1,0),"")</f>
        <v>0</v>
      </c>
      <c r="BD52" s="146">
        <f>IF(C52&lt;&gt;"",IF(_xlfn.XLOOKUP(C52,'1C'!U:U,'1C'!U:U,0,0)&gt;0,0,1),"")</f>
        <v>0</v>
      </c>
      <c r="BE52" s="73">
        <f t="shared" si="9"/>
        <v>1</v>
      </c>
    </row>
    <row r="53" spans="1:57" ht="98.1" customHeight="1">
      <c r="G53" s="56"/>
      <c r="M53" s="66"/>
      <c r="N53" s="66"/>
      <c r="O53" s="66"/>
      <c r="P53" s="141"/>
      <c r="Q53" s="65"/>
      <c r="R53" s="63"/>
      <c r="S53" s="58"/>
      <c r="T53" s="58"/>
      <c r="U53" s="58"/>
      <c r="X53" s="58"/>
      <c r="Z53" s="58"/>
      <c r="AB53" s="58"/>
      <c r="AD53" s="58"/>
      <c r="AF53" s="58"/>
      <c r="AU53" s="56"/>
      <c r="AV53" s="56"/>
      <c r="BD53" s="105"/>
      <c r="BE53" s="73"/>
    </row>
    <row r="54" spans="1:57" ht="98.1" customHeight="1">
      <c r="G54" s="56"/>
      <c r="M54" s="66"/>
      <c r="N54" s="66"/>
      <c r="O54" s="66"/>
      <c r="P54" s="141"/>
      <c r="Q54" s="65"/>
      <c r="R54" s="63"/>
      <c r="S54" s="58"/>
      <c r="T54" s="58"/>
      <c r="U54" s="58"/>
      <c r="X54" s="58"/>
      <c r="Z54" s="58"/>
      <c r="AB54" s="58"/>
      <c r="AD54" s="58"/>
      <c r="AF54" s="58"/>
      <c r="AU54" s="56"/>
      <c r="AV54" s="56"/>
      <c r="BD54" s="105"/>
      <c r="BE54" s="73"/>
    </row>
    <row r="55" spans="1:57" ht="98.1" customHeight="1">
      <c r="G55" s="56"/>
      <c r="L55" s="63"/>
      <c r="M55" s="66"/>
      <c r="N55" s="66"/>
      <c r="O55" s="66"/>
      <c r="P55" s="141"/>
      <c r="Q55" s="65"/>
      <c r="R55" s="63"/>
      <c r="S55" s="58"/>
      <c r="T55" s="58"/>
      <c r="U55" s="58"/>
      <c r="X55" s="58"/>
      <c r="Z55" s="58"/>
      <c r="AB55" s="58"/>
      <c r="AD55" s="58"/>
      <c r="AF55" s="58"/>
      <c r="AU55" s="56"/>
      <c r="AV55" s="56"/>
      <c r="BD55" s="105"/>
      <c r="BE55" s="73"/>
    </row>
    <row r="56" spans="1:57" ht="98.1" customHeight="1">
      <c r="G56" s="56"/>
      <c r="L56" s="63"/>
      <c r="M56" s="66"/>
      <c r="N56" s="66"/>
      <c r="O56" s="66"/>
      <c r="P56" s="141"/>
      <c r="Q56" s="65"/>
      <c r="R56" s="63"/>
      <c r="S56" s="58"/>
      <c r="T56" s="58"/>
      <c r="U56" s="58"/>
      <c r="X56" s="58"/>
      <c r="Z56" s="58"/>
      <c r="AB56" s="58"/>
      <c r="AD56" s="58"/>
      <c r="AF56" s="58"/>
      <c r="AU56" s="56"/>
      <c r="AV56" s="56"/>
      <c r="BD56" s="105"/>
      <c r="BE56" s="73"/>
    </row>
    <row r="57" spans="1:57" ht="98.1" customHeight="1">
      <c r="G57" s="56"/>
      <c r="L57" s="63"/>
      <c r="M57" s="66"/>
      <c r="N57" s="66"/>
      <c r="O57" s="66"/>
      <c r="P57" s="141"/>
      <c r="Q57" s="65"/>
      <c r="R57" s="63"/>
      <c r="S57" s="58"/>
      <c r="T57" s="58"/>
      <c r="U57" s="58"/>
      <c r="X57" s="58"/>
      <c r="Z57" s="58"/>
      <c r="AB57" s="58"/>
      <c r="AD57" s="58"/>
      <c r="AF57" s="58"/>
      <c r="AU57" s="56"/>
      <c r="AV57" s="56"/>
      <c r="BD57" s="105"/>
      <c r="BE57" s="73"/>
    </row>
    <row r="58" spans="1:57" ht="98.1" customHeight="1">
      <c r="G58" s="56"/>
      <c r="L58" s="63"/>
      <c r="M58" s="66"/>
      <c r="N58" s="66"/>
      <c r="O58" s="66"/>
      <c r="P58" s="141"/>
      <c r="Q58" s="65"/>
      <c r="R58" s="63"/>
      <c r="S58" s="58"/>
      <c r="T58" s="58"/>
      <c r="U58" s="58"/>
      <c r="X58" s="58"/>
      <c r="Z58" s="58"/>
      <c r="AB58" s="58"/>
      <c r="AD58" s="58"/>
      <c r="AF58" s="58"/>
      <c r="AU58" s="56"/>
      <c r="AV58" s="56"/>
      <c r="BD58" s="105"/>
      <c r="BE58" s="73"/>
    </row>
    <row r="59" spans="1:57" ht="98.1" customHeight="1">
      <c r="G59" s="56"/>
      <c r="L59" s="63"/>
      <c r="M59" s="66"/>
      <c r="N59" s="66"/>
      <c r="O59" s="66"/>
      <c r="P59" s="141"/>
      <c r="Q59" s="65"/>
      <c r="R59" s="63"/>
      <c r="S59" s="58"/>
      <c r="T59" s="58"/>
      <c r="U59" s="58"/>
      <c r="X59" s="58"/>
      <c r="Z59" s="58"/>
      <c r="AB59" s="58"/>
      <c r="AD59" s="58"/>
      <c r="AF59" s="58"/>
      <c r="AU59" s="56"/>
      <c r="AV59" s="56"/>
      <c r="BD59" s="105"/>
      <c r="BE59" s="73"/>
    </row>
    <row r="60" spans="1:57" ht="98.1" customHeight="1">
      <c r="G60" s="56"/>
      <c r="M60" s="66"/>
      <c r="N60" s="66"/>
      <c r="O60" s="66"/>
      <c r="P60" s="141"/>
      <c r="Q60" s="65"/>
      <c r="R60" s="63"/>
      <c r="S60" s="58"/>
      <c r="T60" s="58"/>
      <c r="U60" s="58"/>
      <c r="X60" s="58"/>
      <c r="Z60" s="58"/>
      <c r="AB60" s="58"/>
      <c r="AD60" s="58"/>
      <c r="AF60" s="58"/>
      <c r="AU60" s="56"/>
      <c r="AV60" s="56"/>
      <c r="BD60" s="105"/>
      <c r="BE60" s="73"/>
    </row>
    <row r="61" spans="1:57" ht="98.1" customHeight="1">
      <c r="G61" s="56"/>
      <c r="M61" s="66"/>
      <c r="N61" s="66"/>
      <c r="O61" s="66"/>
      <c r="P61" s="141"/>
      <c r="Q61" s="65"/>
      <c r="R61" s="63"/>
      <c r="S61" s="58"/>
      <c r="T61" s="58"/>
      <c r="U61" s="58"/>
      <c r="X61" s="58"/>
      <c r="Z61" s="58"/>
      <c r="AB61" s="58"/>
      <c r="AD61" s="58"/>
      <c r="AF61" s="58"/>
      <c r="AU61" s="56"/>
      <c r="AV61" s="56"/>
      <c r="BD61" s="105"/>
      <c r="BE61" s="73"/>
    </row>
    <row r="62" spans="1:57" ht="98.1" customHeight="1">
      <c r="G62" s="56"/>
      <c r="M62" s="66"/>
      <c r="N62" s="66"/>
      <c r="O62" s="66"/>
      <c r="P62" s="141"/>
      <c r="Q62" s="65"/>
      <c r="R62" s="63"/>
      <c r="S62" s="58"/>
      <c r="T62" s="58"/>
      <c r="U62" s="58"/>
      <c r="X62" s="58"/>
      <c r="Z62" s="58"/>
      <c r="AB62" s="58"/>
      <c r="AD62" s="58"/>
      <c r="AF62" s="58"/>
      <c r="AU62" s="56"/>
      <c r="AV62" s="56"/>
      <c r="BD62" s="105"/>
      <c r="BE62" s="73"/>
    </row>
    <row r="63" spans="1:57" ht="98.1" customHeight="1">
      <c r="G63" s="56"/>
      <c r="M63" s="66"/>
      <c r="N63" s="66"/>
      <c r="O63" s="66"/>
      <c r="P63" s="141"/>
      <c r="Q63" s="65"/>
      <c r="R63" s="63"/>
      <c r="S63" s="58"/>
      <c r="T63" s="58"/>
      <c r="U63" s="58"/>
      <c r="X63" s="58"/>
      <c r="Z63" s="58"/>
      <c r="AB63" s="58"/>
      <c r="AD63" s="58"/>
      <c r="AF63" s="58"/>
      <c r="AU63" s="56"/>
      <c r="AV63" s="56"/>
      <c r="BD63" s="105"/>
      <c r="BE63" s="73"/>
    </row>
    <row r="64" spans="1:57" ht="98.1" customHeight="1">
      <c r="G64" s="56"/>
      <c r="M64" s="66"/>
      <c r="N64" s="66"/>
      <c r="O64" s="66"/>
      <c r="P64" s="141"/>
      <c r="Q64" s="65"/>
      <c r="R64" s="63"/>
      <c r="S64" s="58"/>
      <c r="T64" s="58"/>
      <c r="U64" s="58"/>
      <c r="X64" s="58"/>
      <c r="Z64" s="58"/>
      <c r="AB64" s="58"/>
      <c r="AD64" s="58"/>
      <c r="AF64" s="58"/>
      <c r="AU64" s="56"/>
      <c r="AV64" s="56"/>
      <c r="BD64" s="105"/>
      <c r="BE64" s="73"/>
    </row>
    <row r="65" spans="7:57" ht="98.1" customHeight="1">
      <c r="G65" s="56"/>
      <c r="L65" s="63"/>
      <c r="M65" s="66"/>
      <c r="N65" s="66"/>
      <c r="O65" s="66"/>
      <c r="P65" s="141"/>
      <c r="Q65" s="65"/>
      <c r="R65" s="63"/>
      <c r="S65" s="58"/>
      <c r="T65" s="58"/>
      <c r="U65" s="58"/>
      <c r="X65" s="58"/>
      <c r="Z65" s="58"/>
      <c r="AB65" s="58"/>
      <c r="AD65" s="58"/>
      <c r="AF65" s="58"/>
      <c r="AU65" s="56"/>
      <c r="AV65" s="56"/>
      <c r="BD65" s="105"/>
      <c r="BE65" s="73"/>
    </row>
    <row r="66" spans="7:57" ht="98.1" customHeight="1">
      <c r="G66" s="56"/>
      <c r="L66" s="63"/>
      <c r="M66" s="66"/>
      <c r="N66" s="66"/>
      <c r="O66" s="66"/>
      <c r="P66" s="141"/>
      <c r="Q66" s="65"/>
      <c r="R66" s="63"/>
      <c r="S66" s="58"/>
      <c r="T66" s="58"/>
      <c r="U66" s="58"/>
      <c r="X66" s="58"/>
      <c r="Z66" s="58"/>
      <c r="AB66" s="58"/>
      <c r="AD66" s="58"/>
      <c r="AF66" s="58"/>
      <c r="AU66" s="56"/>
      <c r="AV66" s="56"/>
      <c r="BD66" s="105"/>
      <c r="BE66" s="73"/>
    </row>
    <row r="67" spans="7:57" ht="98.1" customHeight="1">
      <c r="G67" s="56"/>
      <c r="L67" s="63"/>
      <c r="M67" s="66"/>
      <c r="N67" s="66"/>
      <c r="O67" s="66"/>
      <c r="P67" s="141"/>
      <c r="Q67" s="65"/>
      <c r="R67" s="63"/>
      <c r="S67" s="58"/>
      <c r="T67" s="58"/>
      <c r="U67" s="58"/>
      <c r="X67" s="58"/>
      <c r="Z67" s="58"/>
      <c r="AB67" s="58"/>
      <c r="AD67" s="58"/>
      <c r="AF67" s="58"/>
      <c r="AU67" s="56"/>
      <c r="AV67" s="56"/>
      <c r="BD67" s="105"/>
      <c r="BE67" s="73"/>
    </row>
    <row r="68" spans="7:57" ht="98.1" customHeight="1">
      <c r="G68" s="56"/>
      <c r="L68" s="63"/>
      <c r="M68" s="66"/>
      <c r="N68" s="66"/>
      <c r="O68" s="66"/>
      <c r="P68" s="141"/>
      <c r="Q68" s="65"/>
      <c r="R68" s="63"/>
      <c r="S68" s="58"/>
      <c r="T68" s="58"/>
      <c r="U68" s="58"/>
      <c r="X68" s="58"/>
      <c r="Z68" s="58"/>
      <c r="AB68" s="58"/>
      <c r="AD68" s="58"/>
      <c r="AF68" s="58"/>
      <c r="AU68" s="56"/>
      <c r="AV68" s="56"/>
      <c r="BD68" s="105"/>
      <c r="BE68" s="73"/>
    </row>
    <row r="69" spans="7:57" ht="98.1" customHeight="1">
      <c r="G69" s="56"/>
      <c r="L69" s="63"/>
      <c r="M69" s="66"/>
      <c r="N69" s="66"/>
      <c r="O69" s="66"/>
      <c r="P69" s="141"/>
      <c r="Q69" s="65"/>
      <c r="R69" s="63"/>
      <c r="S69" s="58"/>
      <c r="T69" s="58"/>
      <c r="U69" s="58"/>
      <c r="X69" s="58"/>
      <c r="Z69" s="58"/>
      <c r="AB69" s="58"/>
      <c r="AD69" s="58"/>
      <c r="AF69" s="58"/>
      <c r="AU69" s="56"/>
      <c r="AV69" s="56"/>
      <c r="BD69" s="105"/>
      <c r="BE69" s="73"/>
    </row>
    <row r="70" spans="7:57" ht="98.1" customHeight="1">
      <c r="G70" s="56"/>
      <c r="L70" s="63"/>
      <c r="M70" s="66"/>
      <c r="N70" s="66"/>
      <c r="O70" s="66"/>
      <c r="P70" s="141"/>
      <c r="Q70" s="65"/>
      <c r="R70" s="63"/>
      <c r="S70" s="58"/>
      <c r="T70" s="58"/>
      <c r="U70" s="58"/>
      <c r="X70" s="58"/>
      <c r="Z70" s="58"/>
      <c r="AB70" s="58"/>
      <c r="AD70" s="58"/>
      <c r="AF70" s="58"/>
      <c r="AU70" s="56"/>
      <c r="AV70" s="56"/>
      <c r="BD70" s="105"/>
      <c r="BE70" s="73"/>
    </row>
    <row r="71" spans="7:57" ht="98.1" customHeight="1">
      <c r="G71" s="56"/>
      <c r="L71" s="63"/>
      <c r="M71" s="66"/>
      <c r="N71" s="66"/>
      <c r="O71" s="66"/>
      <c r="P71" s="141"/>
      <c r="Q71" s="65"/>
      <c r="R71" s="63"/>
      <c r="S71" s="58"/>
      <c r="T71" s="58"/>
      <c r="U71" s="58"/>
      <c r="X71" s="58"/>
      <c r="Z71" s="58"/>
      <c r="AB71" s="58"/>
      <c r="AD71" s="58"/>
      <c r="AF71" s="58"/>
      <c r="AU71" s="56"/>
      <c r="AV71" s="56"/>
      <c r="BD71" s="105"/>
      <c r="BE71" s="73"/>
    </row>
    <row r="72" spans="7:57" ht="98.1" customHeight="1">
      <c r="G72" s="56"/>
      <c r="M72" s="66"/>
      <c r="N72" s="66"/>
      <c r="O72" s="66"/>
      <c r="P72" s="141"/>
      <c r="Q72" s="65"/>
      <c r="R72" s="63"/>
      <c r="S72" s="58"/>
      <c r="T72" s="58"/>
      <c r="U72" s="58"/>
      <c r="X72" s="58"/>
      <c r="Z72" s="58"/>
      <c r="AB72" s="58"/>
      <c r="AD72" s="58"/>
      <c r="AF72" s="58"/>
      <c r="AU72" s="56"/>
      <c r="AV72" s="56"/>
      <c r="BD72" s="105"/>
      <c r="BE72" s="73"/>
    </row>
    <row r="73" spans="7:57" ht="98.1" customHeight="1">
      <c r="G73" s="56"/>
      <c r="M73" s="66"/>
      <c r="N73" s="66"/>
      <c r="O73" s="66"/>
      <c r="P73" s="141"/>
      <c r="Q73" s="65"/>
      <c r="R73" s="63"/>
      <c r="S73" s="58"/>
      <c r="T73" s="58"/>
      <c r="U73" s="58"/>
      <c r="X73" s="58"/>
      <c r="Z73" s="58"/>
      <c r="AB73" s="58"/>
      <c r="AD73" s="58"/>
      <c r="AF73" s="58"/>
      <c r="AU73" s="56"/>
      <c r="AV73" s="56"/>
      <c r="BD73" s="105"/>
      <c r="BE73" s="73"/>
    </row>
    <row r="74" spans="7:57" ht="98.1" customHeight="1">
      <c r="G74" s="56"/>
      <c r="M74" s="66"/>
      <c r="N74" s="66"/>
      <c r="O74" s="66"/>
      <c r="P74" s="141"/>
      <c r="Q74" s="65"/>
      <c r="R74" s="63"/>
      <c r="S74" s="58"/>
      <c r="T74" s="58"/>
      <c r="U74" s="58"/>
      <c r="X74" s="58"/>
      <c r="Z74" s="58"/>
      <c r="AB74" s="58"/>
      <c r="AD74" s="58"/>
      <c r="AF74" s="58"/>
      <c r="AU74" s="56"/>
      <c r="AV74" s="56"/>
      <c r="BD74" s="105"/>
      <c r="BE74" s="73"/>
    </row>
    <row r="75" spans="7:57" ht="98.1" customHeight="1">
      <c r="G75" s="56"/>
      <c r="M75" s="66"/>
      <c r="N75" s="66"/>
      <c r="O75" s="66"/>
      <c r="P75" s="141"/>
      <c r="Q75" s="65"/>
      <c r="R75" s="63"/>
      <c r="S75" s="58"/>
      <c r="T75" s="58"/>
      <c r="U75" s="58"/>
      <c r="X75" s="58"/>
      <c r="Z75" s="58"/>
      <c r="AB75" s="58"/>
      <c r="AD75" s="58"/>
      <c r="AF75" s="58"/>
      <c r="AU75" s="56"/>
      <c r="AV75" s="56"/>
      <c r="BD75" s="105"/>
      <c r="BE75" s="73"/>
    </row>
    <row r="76" spans="7:57" ht="98.1" customHeight="1">
      <c r="G76" s="56"/>
      <c r="M76" s="66"/>
      <c r="N76" s="66"/>
      <c r="O76" s="66"/>
      <c r="P76" s="141"/>
      <c r="Q76" s="65"/>
      <c r="R76" s="63"/>
      <c r="S76" s="58"/>
      <c r="T76" s="58"/>
      <c r="U76" s="58"/>
      <c r="X76" s="58"/>
      <c r="Z76" s="58"/>
      <c r="AB76" s="58"/>
      <c r="AD76" s="58"/>
      <c r="AF76" s="58"/>
      <c r="AU76" s="56"/>
      <c r="AV76" s="56"/>
      <c r="BD76" s="105"/>
      <c r="BE76" s="73"/>
    </row>
    <row r="77" spans="7:57" ht="98.1" customHeight="1">
      <c r="G77" s="56"/>
      <c r="L77" s="63"/>
      <c r="M77" s="66"/>
      <c r="N77" s="66"/>
      <c r="O77" s="66"/>
      <c r="P77" s="141"/>
      <c r="Q77" s="65"/>
      <c r="R77" s="63"/>
      <c r="S77" s="58"/>
      <c r="T77" s="58"/>
      <c r="U77" s="58"/>
      <c r="X77" s="58"/>
      <c r="Z77" s="58"/>
      <c r="AB77" s="58"/>
      <c r="AD77" s="58"/>
      <c r="AF77" s="58"/>
      <c r="AU77" s="56"/>
      <c r="AV77" s="56"/>
      <c r="BD77" s="105"/>
      <c r="BE77" s="73"/>
    </row>
    <row r="78" spans="7:57" ht="98.1" customHeight="1">
      <c r="G78" s="56"/>
      <c r="M78" s="66"/>
      <c r="N78" s="66"/>
      <c r="O78" s="66"/>
      <c r="P78" s="141"/>
      <c r="Q78" s="65"/>
      <c r="R78" s="63"/>
      <c r="S78" s="58"/>
      <c r="T78" s="58"/>
      <c r="U78" s="58"/>
      <c r="X78" s="58"/>
      <c r="Z78" s="58"/>
      <c r="AB78" s="58"/>
      <c r="AD78" s="58"/>
      <c r="AF78" s="58"/>
      <c r="AU78" s="56"/>
      <c r="AV78" s="56"/>
      <c r="BD78" s="105"/>
      <c r="BE78" s="73"/>
    </row>
    <row r="79" spans="7:57" ht="98.1" customHeight="1">
      <c r="G79" s="56"/>
      <c r="M79" s="66"/>
      <c r="N79" s="66"/>
      <c r="O79" s="66"/>
      <c r="P79" s="141"/>
      <c r="Q79" s="65"/>
      <c r="R79" s="63"/>
      <c r="S79" s="58"/>
      <c r="T79" s="58"/>
      <c r="U79" s="58"/>
      <c r="X79" s="58"/>
      <c r="Z79" s="58"/>
      <c r="AB79" s="58"/>
      <c r="AD79" s="58"/>
      <c r="AF79" s="58"/>
      <c r="AU79" s="56"/>
      <c r="AV79" s="56"/>
      <c r="BD79" s="105"/>
      <c r="BE79" s="73"/>
    </row>
    <row r="80" spans="7:57" ht="98.1" customHeight="1">
      <c r="G80" s="56"/>
      <c r="M80" s="66"/>
      <c r="N80" s="66"/>
      <c r="O80" s="66"/>
      <c r="P80" s="141"/>
      <c r="Q80" s="65"/>
      <c r="R80" s="63"/>
      <c r="S80" s="58"/>
      <c r="T80" s="58"/>
      <c r="U80" s="58"/>
      <c r="X80" s="58"/>
      <c r="Z80" s="58"/>
      <c r="AB80" s="58"/>
      <c r="AD80" s="58"/>
      <c r="AF80" s="58"/>
      <c r="AU80" s="56"/>
      <c r="AV80" s="56"/>
      <c r="BD80" s="105"/>
      <c r="BE80" s="73"/>
    </row>
    <row r="81" spans="7:57" ht="98.1" customHeight="1">
      <c r="G81" s="56"/>
      <c r="M81" s="66"/>
      <c r="N81" s="66"/>
      <c r="O81" s="66"/>
      <c r="P81" s="141"/>
      <c r="Q81" s="65"/>
      <c r="R81" s="63"/>
      <c r="S81" s="58"/>
      <c r="T81" s="58"/>
      <c r="U81" s="58"/>
      <c r="X81" s="58"/>
      <c r="Z81" s="58"/>
      <c r="AB81" s="58"/>
      <c r="AD81" s="58"/>
      <c r="AF81" s="58"/>
      <c r="AU81" s="56"/>
      <c r="AV81" s="56"/>
      <c r="BD81" s="105"/>
      <c r="BE81" s="73"/>
    </row>
    <row r="82" spans="7:57" ht="98.1" customHeight="1">
      <c r="G82" s="56"/>
      <c r="M82" s="66"/>
      <c r="N82" s="66"/>
      <c r="O82" s="66"/>
      <c r="P82" s="141"/>
      <c r="Q82" s="65"/>
      <c r="R82" s="63"/>
      <c r="S82" s="58"/>
      <c r="T82" s="58"/>
      <c r="U82" s="58"/>
      <c r="X82" s="58"/>
      <c r="Z82" s="58"/>
      <c r="AB82" s="58"/>
      <c r="AD82" s="58"/>
      <c r="AF82" s="58"/>
      <c r="AU82" s="56"/>
      <c r="AV82" s="56"/>
      <c r="BD82" s="105"/>
      <c r="BE82" s="73"/>
    </row>
    <row r="83" spans="7:57" ht="98.1" customHeight="1">
      <c r="G83" s="56"/>
      <c r="M83" s="66"/>
      <c r="N83" s="66"/>
      <c r="O83" s="66"/>
      <c r="P83" s="141"/>
      <c r="Q83" s="65"/>
      <c r="R83" s="63"/>
      <c r="S83" s="58"/>
      <c r="T83" s="58"/>
      <c r="U83" s="58"/>
      <c r="X83" s="58"/>
      <c r="Z83" s="58"/>
      <c r="AB83" s="58"/>
      <c r="AD83" s="58"/>
      <c r="AF83" s="58"/>
      <c r="AU83" s="56"/>
      <c r="AV83" s="56"/>
      <c r="BD83" s="105"/>
      <c r="BE83" s="73"/>
    </row>
    <row r="84" spans="7:57" ht="98.1" customHeight="1">
      <c r="G84" s="56"/>
      <c r="M84" s="66"/>
      <c r="N84" s="66"/>
      <c r="O84" s="66"/>
      <c r="Q84" s="65"/>
      <c r="S84" s="58"/>
    </row>
    <row r="85" spans="7:57" ht="98.1" customHeight="1">
      <c r="G85" s="56"/>
      <c r="M85" s="66"/>
      <c r="N85" s="66"/>
      <c r="O85" s="66"/>
      <c r="Q85" s="65"/>
      <c r="S85" s="58"/>
    </row>
    <row r="86" spans="7:57" ht="98.1" customHeight="1">
      <c r="G86" s="56"/>
      <c r="L86" s="63"/>
      <c r="M86" s="66"/>
      <c r="N86" s="66"/>
      <c r="O86" s="66"/>
      <c r="P86" s="63"/>
      <c r="Q86" s="65"/>
      <c r="R86" s="63"/>
      <c r="S86" s="58"/>
      <c r="T86" s="58"/>
    </row>
    <row r="87" spans="7:57" ht="98.1" customHeight="1">
      <c r="G87" s="56"/>
      <c r="M87" s="66"/>
      <c r="N87" s="66"/>
      <c r="O87" s="66"/>
      <c r="Q87" s="65"/>
      <c r="S87" s="58"/>
    </row>
    <row r="88" spans="7:57" ht="98.1" customHeight="1">
      <c r="G88" s="56"/>
      <c r="M88" s="66"/>
      <c r="N88" s="66"/>
      <c r="O88" s="66"/>
      <c r="Q88" s="65"/>
      <c r="S88" s="58"/>
    </row>
    <row r="89" spans="7:57" ht="98.1" customHeight="1">
      <c r="G89" s="56"/>
      <c r="M89" s="66"/>
      <c r="N89" s="66"/>
      <c r="O89" s="66"/>
      <c r="Q89" s="65"/>
      <c r="S89" s="58"/>
    </row>
    <row r="90" spans="7:57" ht="98.1" customHeight="1">
      <c r="G90" s="56"/>
      <c r="M90" s="66"/>
      <c r="N90" s="66"/>
      <c r="O90" s="66"/>
      <c r="Q90" s="65"/>
      <c r="S90" s="58"/>
    </row>
    <row r="91" spans="7:57" ht="98.1" customHeight="1">
      <c r="G91" s="56"/>
      <c r="M91" s="66"/>
      <c r="N91" s="66"/>
      <c r="O91" s="66"/>
      <c r="Q91" s="65"/>
      <c r="S91" s="58"/>
    </row>
    <row r="92" spans="7:57" ht="98.1" customHeight="1">
      <c r="G92" s="56"/>
      <c r="M92" s="66"/>
      <c r="N92" s="66"/>
      <c r="O92" s="66"/>
      <c r="Q92" s="65"/>
      <c r="S92" s="58"/>
    </row>
    <row r="93" spans="7:57" ht="98.1" customHeight="1">
      <c r="G93" s="56"/>
      <c r="L93" s="63"/>
      <c r="M93" s="66"/>
      <c r="N93" s="66"/>
      <c r="O93" s="66"/>
      <c r="P93" s="63"/>
      <c r="Q93" s="65"/>
      <c r="R93" s="63"/>
      <c r="S93" s="58"/>
      <c r="T93" s="58"/>
    </row>
    <row r="94" spans="7:57" ht="98.1" customHeight="1">
      <c r="G94" s="56"/>
      <c r="M94" s="66"/>
      <c r="N94" s="66"/>
      <c r="O94" s="66"/>
      <c r="Q94" s="65"/>
      <c r="S94" s="58"/>
    </row>
    <row r="95" spans="7:57" ht="98.1" customHeight="1">
      <c r="G95" s="56"/>
      <c r="L95" s="63"/>
      <c r="M95" s="66"/>
      <c r="N95" s="66"/>
      <c r="O95" s="66"/>
      <c r="P95" s="63"/>
      <c r="Q95" s="65"/>
      <c r="R95" s="63"/>
      <c r="S95" s="58"/>
      <c r="T95" s="58"/>
    </row>
    <row r="96" spans="7:57" ht="98.1" customHeight="1">
      <c r="G96" s="56"/>
      <c r="M96" s="66"/>
      <c r="N96" s="66"/>
      <c r="O96" s="66"/>
      <c r="Q96" s="65"/>
      <c r="S96" s="58"/>
    </row>
    <row r="97" spans="7:20" ht="98.1" customHeight="1">
      <c r="G97" s="56"/>
      <c r="M97" s="66"/>
      <c r="N97" s="66"/>
      <c r="O97" s="66"/>
      <c r="Q97" s="65"/>
      <c r="S97" s="58"/>
    </row>
    <row r="98" spans="7:20" ht="98.1" customHeight="1">
      <c r="G98" s="56"/>
      <c r="L98" s="63"/>
      <c r="M98" s="66"/>
      <c r="N98" s="66"/>
      <c r="O98" s="66"/>
      <c r="P98" s="63"/>
      <c r="Q98" s="65"/>
      <c r="R98" s="63"/>
      <c r="S98" s="58"/>
      <c r="T98" s="58"/>
    </row>
    <row r="99" spans="7:20" ht="98.1" customHeight="1">
      <c r="G99" s="56"/>
      <c r="L99" s="63"/>
      <c r="M99" s="66"/>
      <c r="N99" s="66"/>
      <c r="O99" s="66"/>
      <c r="P99" s="63"/>
      <c r="Q99" s="65"/>
      <c r="R99" s="63"/>
      <c r="S99" s="58"/>
      <c r="T99" s="58"/>
    </row>
    <row r="100" spans="7:20" ht="98.1" customHeight="1">
      <c r="G100" s="56"/>
      <c r="M100" s="66"/>
      <c r="N100" s="66"/>
      <c r="O100" s="66"/>
      <c r="Q100" s="65"/>
      <c r="S100" s="58"/>
    </row>
    <row r="101" spans="7:20" ht="98.1" customHeight="1">
      <c r="G101" s="56"/>
      <c r="L101" s="63"/>
      <c r="M101" s="66"/>
      <c r="N101" s="66"/>
      <c r="O101" s="66"/>
      <c r="P101" s="63"/>
      <c r="Q101" s="65"/>
      <c r="R101" s="63"/>
      <c r="S101" s="58"/>
      <c r="T101" s="58"/>
    </row>
    <row r="102" spans="7:20" ht="98.1" customHeight="1">
      <c r="G102" s="56"/>
      <c r="L102" s="63"/>
      <c r="M102" s="66"/>
      <c r="N102" s="66"/>
      <c r="O102" s="66"/>
      <c r="P102" s="63"/>
      <c r="Q102" s="65"/>
      <c r="R102" s="63"/>
      <c r="S102" s="58"/>
      <c r="T102" s="58"/>
    </row>
    <row r="103" spans="7:20" ht="98.1" customHeight="1">
      <c r="G103" s="56"/>
      <c r="L103" s="63"/>
      <c r="M103" s="66"/>
      <c r="N103" s="66"/>
      <c r="O103" s="66"/>
      <c r="P103" s="63"/>
      <c r="Q103" s="65"/>
      <c r="R103" s="63"/>
      <c r="S103" s="58"/>
      <c r="T103" s="58"/>
    </row>
    <row r="104" spans="7:20" ht="98.1" customHeight="1">
      <c r="G104" s="56"/>
      <c r="M104" s="66"/>
      <c r="N104" s="66"/>
      <c r="O104" s="66"/>
      <c r="Q104" s="65"/>
      <c r="S104" s="58"/>
    </row>
    <row r="105" spans="7:20" ht="98.1" customHeight="1">
      <c r="G105" s="56"/>
      <c r="M105" s="66"/>
      <c r="N105" s="66"/>
      <c r="O105" s="66"/>
      <c r="Q105" s="65"/>
      <c r="S105" s="58"/>
    </row>
    <row r="106" spans="7:20" ht="98.1" customHeight="1">
      <c r="G106" s="56"/>
      <c r="L106" s="63"/>
      <c r="M106" s="66"/>
      <c r="N106" s="66"/>
      <c r="O106" s="66"/>
      <c r="P106" s="63"/>
      <c r="Q106" s="65"/>
      <c r="R106" s="63"/>
      <c r="S106" s="58"/>
      <c r="T106" s="58"/>
    </row>
    <row r="107" spans="7:20" ht="98.1" customHeight="1">
      <c r="G107" s="56"/>
      <c r="L107" s="63"/>
      <c r="M107" s="66"/>
      <c r="N107" s="66"/>
      <c r="O107" s="66"/>
      <c r="P107" s="63"/>
      <c r="Q107" s="65"/>
      <c r="R107" s="63"/>
      <c r="S107" s="58"/>
      <c r="T107" s="58"/>
    </row>
    <row r="108" spans="7:20" ht="98.1" customHeight="1">
      <c r="G108" s="56"/>
      <c r="L108" s="63"/>
      <c r="M108" s="66"/>
      <c r="N108" s="66"/>
      <c r="O108" s="66"/>
      <c r="P108" s="63"/>
      <c r="Q108" s="65"/>
      <c r="R108" s="63"/>
      <c r="S108" s="58"/>
      <c r="T108" s="58"/>
    </row>
    <row r="109" spans="7:20" ht="98.1" customHeight="1">
      <c r="G109" s="56"/>
      <c r="L109" s="63"/>
      <c r="M109" s="66"/>
      <c r="N109" s="66"/>
      <c r="O109" s="66"/>
      <c r="P109" s="63"/>
      <c r="Q109" s="65"/>
      <c r="R109" s="63"/>
      <c r="S109" s="58"/>
      <c r="T109" s="58"/>
    </row>
    <row r="110" spans="7:20" ht="98.1" customHeight="1">
      <c r="G110" s="56"/>
      <c r="L110" s="63"/>
      <c r="M110" s="66"/>
      <c r="N110" s="66"/>
      <c r="O110" s="66"/>
      <c r="P110" s="63"/>
      <c r="Q110" s="65"/>
      <c r="R110" s="63"/>
      <c r="S110" s="58"/>
      <c r="T110" s="58"/>
    </row>
    <row r="111" spans="7:20" ht="98.1" customHeight="1">
      <c r="G111" s="56"/>
      <c r="L111" s="63"/>
      <c r="M111" s="66"/>
      <c r="N111" s="66"/>
      <c r="O111" s="66"/>
      <c r="P111" s="63"/>
      <c r="Q111" s="65"/>
      <c r="R111" s="63"/>
      <c r="S111" s="58"/>
      <c r="T111" s="58"/>
    </row>
    <row r="112" spans="7:20" ht="98.1" customHeight="1">
      <c r="G112" s="56"/>
      <c r="M112" s="66"/>
      <c r="N112" s="66"/>
      <c r="O112" s="66"/>
      <c r="Q112" s="65"/>
      <c r="S112" s="58"/>
    </row>
    <row r="113" spans="7:20" ht="98.1" customHeight="1">
      <c r="G113" s="56"/>
      <c r="M113" s="66"/>
      <c r="N113" s="66"/>
      <c r="O113" s="66"/>
      <c r="Q113" s="65"/>
      <c r="S113" s="58"/>
    </row>
    <row r="114" spans="7:20" ht="98.1" customHeight="1">
      <c r="G114" s="56"/>
      <c r="L114" s="63"/>
      <c r="M114" s="66"/>
      <c r="N114" s="66"/>
      <c r="O114" s="66"/>
      <c r="P114" s="63"/>
      <c r="Q114" s="65"/>
      <c r="R114" s="63"/>
      <c r="S114" s="58"/>
      <c r="T114" s="58"/>
    </row>
    <row r="115" spans="7:20" ht="98.1" customHeight="1">
      <c r="G115" s="56"/>
      <c r="L115" s="63"/>
      <c r="M115" s="66"/>
      <c r="N115" s="66"/>
      <c r="O115" s="66"/>
      <c r="P115" s="63"/>
      <c r="Q115" s="65"/>
      <c r="R115" s="63"/>
      <c r="S115" s="58"/>
      <c r="T115" s="58"/>
    </row>
    <row r="116" spans="7:20" ht="98.1" customHeight="1">
      <c r="G116" s="56"/>
      <c r="L116" s="63"/>
      <c r="M116" s="66"/>
      <c r="N116" s="66"/>
      <c r="O116" s="66"/>
      <c r="P116" s="63"/>
      <c r="Q116" s="65"/>
      <c r="R116" s="63"/>
      <c r="S116" s="58"/>
      <c r="T116" s="58"/>
    </row>
    <row r="117" spans="7:20" ht="98.1" customHeight="1">
      <c r="G117" s="56"/>
      <c r="L117" s="63"/>
      <c r="M117" s="66"/>
      <c r="N117" s="66"/>
      <c r="O117" s="66"/>
      <c r="P117" s="63"/>
      <c r="Q117" s="65"/>
      <c r="R117" s="63"/>
      <c r="S117" s="58"/>
      <c r="T117" s="58"/>
    </row>
    <row r="118" spans="7:20" ht="98.1" customHeight="1">
      <c r="G118" s="56"/>
      <c r="M118" s="66"/>
      <c r="N118" s="66"/>
      <c r="O118" s="66"/>
      <c r="Q118" s="65"/>
      <c r="S118" s="58"/>
    </row>
    <row r="119" spans="7:20" ht="98.1" customHeight="1">
      <c r="G119" s="56"/>
      <c r="M119" s="66"/>
      <c r="N119" s="66"/>
      <c r="O119" s="66"/>
      <c r="Q119" s="65"/>
      <c r="S119" s="58"/>
    </row>
    <row r="120" spans="7:20" ht="98.1" customHeight="1">
      <c r="G120" s="56"/>
      <c r="M120" s="66"/>
      <c r="N120" s="66"/>
      <c r="O120" s="66"/>
      <c r="Q120" s="65"/>
      <c r="S120" s="58"/>
    </row>
    <row r="121" spans="7:20" ht="98.1" customHeight="1">
      <c r="G121" s="56"/>
      <c r="M121" s="66"/>
      <c r="N121" s="66"/>
      <c r="O121" s="66"/>
      <c r="Q121" s="65"/>
      <c r="S121" s="58"/>
    </row>
    <row r="122" spans="7:20" ht="98.1" customHeight="1">
      <c r="G122" s="56"/>
      <c r="M122" s="66"/>
      <c r="N122" s="66"/>
      <c r="O122" s="66"/>
      <c r="Q122" s="65"/>
      <c r="S122" s="58"/>
    </row>
    <row r="123" spans="7:20" ht="98.1" customHeight="1">
      <c r="G123" s="56"/>
      <c r="M123" s="66"/>
      <c r="N123" s="66"/>
      <c r="O123" s="66"/>
      <c r="Q123" s="65"/>
      <c r="S123" s="58"/>
    </row>
    <row r="124" spans="7:20" ht="98.1" customHeight="1">
      <c r="G124" s="56"/>
      <c r="M124" s="66"/>
      <c r="N124" s="66"/>
      <c r="O124" s="66"/>
      <c r="Q124" s="65"/>
      <c r="S124" s="58"/>
    </row>
    <row r="125" spans="7:20" ht="98.1" customHeight="1">
      <c r="G125" s="56"/>
      <c r="M125" s="66"/>
      <c r="N125" s="66"/>
      <c r="O125" s="66"/>
      <c r="Q125" s="65"/>
      <c r="S125" s="58"/>
    </row>
    <row r="126" spans="7:20" ht="98.1" customHeight="1">
      <c r="G126" s="56"/>
      <c r="L126" s="63"/>
      <c r="M126" s="66"/>
      <c r="N126" s="66"/>
      <c r="O126" s="66"/>
      <c r="P126" s="63"/>
      <c r="Q126" s="65"/>
      <c r="R126" s="63"/>
      <c r="S126" s="58"/>
      <c r="T126" s="58"/>
    </row>
    <row r="127" spans="7:20" ht="98.1" customHeight="1">
      <c r="G127" s="56"/>
      <c r="M127" s="66"/>
      <c r="N127" s="66"/>
      <c r="O127" s="66"/>
      <c r="Q127" s="65"/>
      <c r="S127" s="58"/>
    </row>
    <row r="128" spans="7:20" ht="98.1" customHeight="1">
      <c r="G128" s="56"/>
      <c r="L128" s="63"/>
      <c r="M128" s="66"/>
      <c r="N128" s="66"/>
      <c r="O128" s="66"/>
      <c r="P128" s="63"/>
      <c r="Q128" s="65"/>
      <c r="R128" s="63"/>
      <c r="S128" s="58"/>
      <c r="T128" s="58"/>
    </row>
    <row r="129" spans="7:20" ht="98.1" customHeight="1">
      <c r="G129" s="56"/>
      <c r="M129" s="66"/>
      <c r="N129" s="66"/>
      <c r="O129" s="66"/>
      <c r="Q129" s="65"/>
      <c r="S129" s="58"/>
    </row>
    <row r="130" spans="7:20" ht="98.1" customHeight="1">
      <c r="G130" s="56"/>
      <c r="M130" s="66"/>
      <c r="N130" s="66"/>
      <c r="O130" s="66"/>
      <c r="Q130" s="65"/>
      <c r="S130" s="58"/>
    </row>
    <row r="131" spans="7:20" ht="98.1" customHeight="1">
      <c r="G131" s="56"/>
      <c r="M131" s="66"/>
      <c r="N131" s="66"/>
      <c r="O131" s="66"/>
      <c r="Q131" s="65"/>
      <c r="S131" s="58"/>
    </row>
    <row r="132" spans="7:20" ht="98.1" customHeight="1">
      <c r="G132" s="56"/>
      <c r="M132" s="66"/>
      <c r="N132" s="66"/>
      <c r="O132" s="66"/>
      <c r="Q132" s="65"/>
      <c r="S132" s="58"/>
    </row>
    <row r="133" spans="7:20" ht="98.1" customHeight="1">
      <c r="G133" s="56"/>
      <c r="M133" s="66"/>
      <c r="N133" s="66"/>
      <c r="O133" s="66"/>
      <c r="Q133" s="65"/>
      <c r="S133" s="58"/>
    </row>
    <row r="134" spans="7:20" ht="98.1" customHeight="1">
      <c r="G134" s="56"/>
      <c r="M134" s="66"/>
      <c r="N134" s="66"/>
      <c r="O134" s="66"/>
      <c r="Q134" s="65"/>
      <c r="S134" s="58"/>
    </row>
    <row r="135" spans="7:20" ht="98.1" customHeight="1">
      <c r="G135" s="56"/>
      <c r="L135" s="63"/>
      <c r="M135" s="66"/>
      <c r="N135" s="66"/>
      <c r="O135" s="66"/>
      <c r="P135" s="63"/>
      <c r="Q135" s="65"/>
      <c r="R135" s="63"/>
      <c r="S135" s="58"/>
      <c r="T135" s="58"/>
    </row>
    <row r="136" spans="7:20" ht="98.1" customHeight="1">
      <c r="G136" s="56"/>
      <c r="L136" s="63"/>
      <c r="M136" s="66"/>
      <c r="N136" s="66"/>
      <c r="O136" s="66"/>
      <c r="P136" s="63"/>
      <c r="Q136" s="65"/>
      <c r="R136" s="63"/>
      <c r="S136" s="58"/>
      <c r="T136" s="58"/>
    </row>
    <row r="137" spans="7:20" ht="98.1" customHeight="1">
      <c r="G137" s="56"/>
      <c r="L137" s="63"/>
      <c r="M137" s="66"/>
      <c r="N137" s="66"/>
      <c r="O137" s="66"/>
      <c r="P137" s="63"/>
      <c r="Q137" s="65"/>
      <c r="R137" s="63"/>
      <c r="S137" s="58"/>
      <c r="T137" s="58"/>
    </row>
    <row r="138" spans="7:20" ht="98.1" customHeight="1">
      <c r="G138" s="56"/>
      <c r="M138" s="66"/>
      <c r="N138" s="66"/>
      <c r="O138" s="66"/>
      <c r="Q138" s="65"/>
      <c r="S138" s="58"/>
    </row>
    <row r="139" spans="7:20" ht="98.1" customHeight="1">
      <c r="G139" s="56"/>
      <c r="L139" s="63"/>
      <c r="M139" s="66"/>
      <c r="N139" s="66"/>
      <c r="O139" s="66"/>
      <c r="P139" s="63"/>
      <c r="Q139" s="65"/>
      <c r="R139" s="63"/>
      <c r="S139" s="58"/>
      <c r="T139" s="58"/>
    </row>
    <row r="140" spans="7:20" ht="98.1" customHeight="1">
      <c r="G140" s="56"/>
      <c r="L140" s="63"/>
      <c r="M140" s="66"/>
      <c r="N140" s="66"/>
      <c r="O140" s="66"/>
      <c r="P140" s="63"/>
      <c r="Q140" s="65"/>
      <c r="R140" s="63"/>
      <c r="S140" s="58"/>
      <c r="T140" s="58"/>
    </row>
    <row r="141" spans="7:20" ht="98.1" customHeight="1">
      <c r="G141" s="56"/>
      <c r="M141" s="66"/>
      <c r="N141" s="66"/>
      <c r="O141" s="66"/>
      <c r="Q141" s="65"/>
      <c r="S141" s="58"/>
    </row>
    <row r="142" spans="7:20" ht="98.1" customHeight="1">
      <c r="G142" s="56"/>
      <c r="M142" s="66"/>
      <c r="N142" s="66"/>
      <c r="O142" s="66"/>
      <c r="Q142" s="65"/>
      <c r="S142" s="58"/>
    </row>
    <row r="143" spans="7:20" ht="98.1" customHeight="1">
      <c r="G143" s="56"/>
      <c r="M143" s="66"/>
      <c r="N143" s="66"/>
      <c r="O143" s="66"/>
      <c r="Q143" s="65"/>
      <c r="S143" s="58"/>
    </row>
    <row r="144" spans="7:20" ht="98.1" customHeight="1">
      <c r="M144" s="66"/>
      <c r="N144" s="66"/>
      <c r="O144" s="66"/>
      <c r="Q144" s="65"/>
    </row>
    <row r="145" spans="13:17" ht="98.1" customHeight="1">
      <c r="M145" s="66"/>
      <c r="N145" s="66"/>
      <c r="O145" s="66"/>
      <c r="Q145" s="65"/>
    </row>
    <row r="146" spans="13:17" ht="98.1" customHeight="1">
      <c r="M146" s="66"/>
      <c r="N146" s="66"/>
      <c r="O146" s="66"/>
      <c r="Q146" s="65"/>
    </row>
    <row r="147" spans="13:17" ht="98.1" customHeight="1">
      <c r="M147" s="66"/>
      <c r="N147" s="66"/>
      <c r="O147" s="66"/>
      <c r="Q147" s="65"/>
    </row>
    <row r="148" spans="13:17" ht="98.1" customHeight="1">
      <c r="M148" s="66"/>
      <c r="N148" s="66"/>
      <c r="O148" s="66"/>
      <c r="Q148" s="65"/>
    </row>
    <row r="149" spans="13:17" ht="98.1" customHeight="1">
      <c r="M149" s="66"/>
      <c r="N149" s="66"/>
      <c r="O149" s="66"/>
      <c r="Q149" s="65"/>
    </row>
    <row r="150" spans="13:17" ht="98.1" customHeight="1">
      <c r="M150" s="66"/>
      <c r="N150" s="66"/>
      <c r="O150" s="66"/>
      <c r="Q150" s="65"/>
    </row>
    <row r="151" spans="13:17" ht="98.1" customHeight="1">
      <c r="M151" s="66"/>
      <c r="N151" s="66"/>
      <c r="O151" s="66"/>
      <c r="Q151" s="65"/>
    </row>
    <row r="152" spans="13:17" ht="98.1" customHeight="1">
      <c r="M152" s="66"/>
      <c r="N152" s="66"/>
      <c r="O152" s="66"/>
      <c r="Q152" s="65"/>
    </row>
    <row r="153" spans="13:17" ht="98.1" customHeight="1">
      <c r="M153" s="66"/>
      <c r="N153" s="66"/>
      <c r="O153" s="66"/>
      <c r="Q153" s="65"/>
    </row>
    <row r="154" spans="13:17" ht="98.1" customHeight="1">
      <c r="P154" s="104"/>
    </row>
  </sheetData>
  <sheetProtection formatColumns="0" formatRows="0" sort="0" autoFilter="0"/>
  <autoFilter ref="A1:BF1" xr:uid="{00000000-0001-0000-0000-000000000000}"/>
  <conditionalFormatting sqref="U2:AS356">
    <cfRule type="expression" dxfId="27" priority="6">
      <formula>IF(УФ_Переключатель=1,IF(ISNUMBER(U2),IF(U2&gt;0,TRUE,FALSE),FALSE))</formula>
    </cfRule>
  </conditionalFormatting>
  <conditionalFormatting sqref="A2:H356 AS2:BC356 BE2:BE356 J2:T356">
    <cfRule type="expression" dxfId="26" priority="13">
      <formula>IF(УФ_Переключатель=1,IF(A2&lt;&gt;"",TRUE,FALSE))</formula>
    </cfRule>
    <cfRule type="expression" dxfId="25" priority="14">
      <formula>IF(УФ_Переключатель=1,IF($A2&lt;&gt;"",NOT(_xludf.isFormula(A2)),FALSE))</formula>
    </cfRule>
  </conditionalFormatting>
  <conditionalFormatting sqref="BE1:BE356 A4:BC356 A3:H3 J3:BC3 M3:O52 A1:BC2">
    <cfRule type="expression" dxfId="24" priority="15">
      <formula>IF(УФ_Переключатель=1,IFERROR(TEXT(RIGHT(A1,255),"###"),TRUE))</formula>
    </cfRule>
  </conditionalFormatting>
  <conditionalFormatting sqref="A4:BE356 A3:H3 J3:BE3 M3:O52 A1:BE2">
    <cfRule type="expression" dxfId="23" priority="12">
      <formula>IF(УФ_Переключатель=1,_xludf.isFormula(A1))</formula>
    </cfRule>
    <cfRule type="expression" dxfId="22" priority="16">
      <formula>IF(УФ_Переключатель=1,IF($A1&lt;&gt;"",TRUE,FALSE))</formula>
    </cfRule>
  </conditionalFormatting>
  <conditionalFormatting sqref="B1:B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R1:R1048576" xr:uid="{00000000-0002-0000-0000-000004000000}">
      <formula1>Типы1С</formula1>
    </dataValidation>
    <dataValidation type="list" allowBlank="1" showInputMessage="1" showErrorMessage="1" sqref="S1 S3:S1048576" xr:uid="{00000000-0002-0000-0000-000005000000}">
      <formula1>ТипыТехничка</formula1>
    </dataValidation>
    <dataValidation type="list" allowBlank="1" showInputMessage="1" showErrorMessage="1" sqref="T1:T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T1:AT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57</xdr:col>
                    <xdr:colOff>66675</xdr:colOff>
                    <xdr:row>0</xdr:row>
                    <xdr:rowOff>552450</xdr:rowOff>
                  </from>
                  <to>
                    <xdr:col>57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57</xdr:col>
                    <xdr:colOff>2238375</xdr:colOff>
                    <xdr:row>0</xdr:row>
                    <xdr:rowOff>542925</xdr:rowOff>
                  </from>
                  <to>
                    <xdr:col>57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57</xdr:col>
                    <xdr:colOff>2238375</xdr:colOff>
                    <xdr:row>0</xdr:row>
                    <xdr:rowOff>95250</xdr:rowOff>
                  </from>
                  <to>
                    <xdr:col>57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57</xdr:col>
                    <xdr:colOff>66675</xdr:colOff>
                    <xdr:row>0</xdr:row>
                    <xdr:rowOff>95250</xdr:rowOff>
                  </from>
                  <to>
                    <xdr:col>57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57</xdr:col>
                    <xdr:colOff>66675</xdr:colOff>
                    <xdr:row>0</xdr:row>
                    <xdr:rowOff>314325</xdr:rowOff>
                  </from>
                  <to>
                    <xdr:col>57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30</xdr:col>
                    <xdr:colOff>581025</xdr:colOff>
                    <xdr:row>0</xdr:row>
                    <xdr:rowOff>38100</xdr:rowOff>
                  </from>
                  <to>
                    <xdr:col>32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57</xdr:col>
                    <xdr:colOff>2238375</xdr:colOff>
                    <xdr:row>0</xdr:row>
                    <xdr:rowOff>304800</xdr:rowOff>
                  </from>
                  <to>
                    <xdr:col>57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57</xdr:col>
                    <xdr:colOff>4219575</xdr:colOff>
                    <xdr:row>0</xdr:row>
                    <xdr:rowOff>542925</xdr:rowOff>
                  </from>
                  <to>
                    <xdr:col>57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57</xdr:col>
                    <xdr:colOff>4219575</xdr:colOff>
                    <xdr:row>0</xdr:row>
                    <xdr:rowOff>95250</xdr:rowOff>
                  </from>
                  <to>
                    <xdr:col>57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57</xdr:col>
                    <xdr:colOff>4219575</xdr:colOff>
                    <xdr:row>0</xdr:row>
                    <xdr:rowOff>304800</xdr:rowOff>
                  </from>
                  <to>
                    <xdr:col>57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L19" sqref="L19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805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950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7" t="s">
        <v>788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789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804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324" workbookViewId="0">
      <selection activeCell="A342" sqref="A1:B104857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832</v>
      </c>
      <c r="E20" s="117" t="s">
        <v>83</v>
      </c>
    </row>
    <row r="21" spans="1:5" ht="15.75" customHeight="1">
      <c r="A21" s="117" t="s">
        <v>231</v>
      </c>
      <c r="B21" s="118" t="s">
        <v>664</v>
      </c>
      <c r="D21" s="119" t="s">
        <v>816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830</v>
      </c>
      <c r="E22" s="117" t="s">
        <v>86</v>
      </c>
    </row>
    <row r="23" spans="1:5">
      <c r="A23" s="117" t="s">
        <v>710</v>
      </c>
      <c r="B23" s="118" t="s">
        <v>624</v>
      </c>
      <c r="D23" s="119" t="s">
        <v>817</v>
      </c>
      <c r="E23" s="117" t="s">
        <v>161</v>
      </c>
    </row>
    <row r="24" spans="1:5">
      <c r="A24" s="117" t="s">
        <v>296</v>
      </c>
      <c r="B24" s="118" t="s">
        <v>639</v>
      </c>
      <c r="D24" s="119" t="s">
        <v>814</v>
      </c>
      <c r="E24" s="117" t="s">
        <v>57</v>
      </c>
    </row>
    <row r="25" spans="1:5">
      <c r="A25" s="117" t="s">
        <v>252</v>
      </c>
      <c r="B25" s="118" t="s">
        <v>670</v>
      </c>
      <c r="D25" s="119" t="s">
        <v>815</v>
      </c>
      <c r="E25" s="117" t="s">
        <v>71</v>
      </c>
    </row>
    <row r="26" spans="1:5">
      <c r="A26" s="117" t="s">
        <v>681</v>
      </c>
      <c r="B26" s="118" t="s">
        <v>639</v>
      </c>
      <c r="D26" s="117" t="s">
        <v>634</v>
      </c>
      <c r="E26" s="117" t="s">
        <v>195</v>
      </c>
    </row>
    <row r="27" spans="1:5">
      <c r="A27" s="117" t="s">
        <v>304</v>
      </c>
      <c r="B27" s="118" t="s">
        <v>608</v>
      </c>
      <c r="D27" s="14"/>
      <c r="E27" s="14"/>
    </row>
    <row r="28" spans="1:5">
      <c r="A28" s="117" t="s">
        <v>249</v>
      </c>
      <c r="B28" s="118" t="s">
        <v>629</v>
      </c>
      <c r="D28" s="14"/>
      <c r="E28" s="14"/>
    </row>
    <row r="29" spans="1:5">
      <c r="A29" s="117" t="s">
        <v>179</v>
      </c>
      <c r="B29" s="118" t="s">
        <v>619</v>
      </c>
      <c r="D29" s="14"/>
      <c r="E29" s="14"/>
    </row>
    <row r="30" spans="1:5">
      <c r="A30" s="117" t="s">
        <v>274</v>
      </c>
      <c r="B30" s="118" t="s">
        <v>619</v>
      </c>
      <c r="D30" s="14"/>
      <c r="E30" s="14"/>
    </row>
    <row r="31" spans="1:5">
      <c r="A31" s="117" t="s">
        <v>302</v>
      </c>
      <c r="B31" s="118" t="s">
        <v>598</v>
      </c>
      <c r="D31" s="14"/>
      <c r="E31" s="14"/>
    </row>
    <row r="32" spans="1:5">
      <c r="A32" s="117" t="s">
        <v>180</v>
      </c>
      <c r="B32" s="118" t="s">
        <v>650</v>
      </c>
      <c r="D32" s="14"/>
      <c r="E32" s="14"/>
    </row>
    <row r="33" spans="1:5">
      <c r="A33" s="117" t="s">
        <v>596</v>
      </c>
      <c r="B33" s="118" t="s">
        <v>626</v>
      </c>
      <c r="D33" s="14"/>
      <c r="E33" s="14"/>
    </row>
    <row r="34" spans="1:5">
      <c r="A34" s="117" t="s">
        <v>60</v>
      </c>
      <c r="B34" s="118" t="s">
        <v>625</v>
      </c>
      <c r="D34" s="14"/>
      <c r="E34" s="14"/>
    </row>
    <row r="35" spans="1:5">
      <c r="A35" s="117" t="s">
        <v>241</v>
      </c>
      <c r="B35" s="118" t="s">
        <v>627</v>
      </c>
      <c r="D35" s="14"/>
      <c r="E35" s="14"/>
    </row>
    <row r="36" spans="1:5">
      <c r="A36" s="117" t="s">
        <v>308</v>
      </c>
      <c r="B36" s="118" t="s">
        <v>550</v>
      </c>
      <c r="D36" s="14"/>
      <c r="E36" s="14"/>
    </row>
    <row r="37" spans="1:5">
      <c r="A37" s="117" t="s">
        <v>294</v>
      </c>
      <c r="B37" s="118" t="s">
        <v>626</v>
      </c>
      <c r="D37" s="14"/>
      <c r="E37" s="14"/>
    </row>
    <row r="38" spans="1:5">
      <c r="A38" s="117" t="s">
        <v>306</v>
      </c>
      <c r="B38" s="118" t="s">
        <v>626</v>
      </c>
      <c r="D38" s="14"/>
      <c r="E38" s="14"/>
    </row>
    <row r="39" spans="1:5">
      <c r="A39" s="117" t="s">
        <v>185</v>
      </c>
      <c r="B39" s="118" t="s">
        <v>619</v>
      </c>
      <c r="D39" s="14"/>
      <c r="E39" s="14"/>
    </row>
    <row r="40" spans="1:5">
      <c r="A40" s="117" t="s">
        <v>186</v>
      </c>
      <c r="B40" s="118" t="s">
        <v>598</v>
      </c>
      <c r="D40" s="14"/>
      <c r="E40" s="14"/>
    </row>
    <row r="41" spans="1:5">
      <c r="A41" s="117" t="s">
        <v>135</v>
      </c>
      <c r="B41" s="118" t="s">
        <v>618</v>
      </c>
      <c r="D41" s="14"/>
      <c r="E41" s="14"/>
    </row>
    <row r="42" spans="1:5">
      <c r="A42" s="117" t="s">
        <v>217</v>
      </c>
      <c r="B42" s="118" t="s">
        <v>623</v>
      </c>
      <c r="D42" s="14"/>
      <c r="E42" s="14"/>
    </row>
    <row r="43" spans="1:5">
      <c r="A43" s="117" t="s">
        <v>682</v>
      </c>
      <c r="B43" s="118" t="s">
        <v>638</v>
      </c>
      <c r="D43" s="14"/>
      <c r="E43" s="14"/>
    </row>
    <row r="44" spans="1:5">
      <c r="A44" s="117" t="s">
        <v>300</v>
      </c>
      <c r="B44" s="118" t="s">
        <v>599</v>
      </c>
      <c r="D44" s="14"/>
      <c r="E44" s="14"/>
    </row>
    <row r="45" spans="1:5">
      <c r="A45" s="117" t="s">
        <v>683</v>
      </c>
      <c r="B45" s="118" t="s">
        <v>680</v>
      </c>
      <c r="D45" s="14"/>
      <c r="E45" s="14"/>
    </row>
    <row r="46" spans="1:5">
      <c r="A46" s="117" t="s">
        <v>593</v>
      </c>
      <c r="B46" s="118" t="s">
        <v>676</v>
      </c>
      <c r="D46" s="14"/>
      <c r="E46" s="14"/>
    </row>
    <row r="47" spans="1:5">
      <c r="A47" s="117" t="s">
        <v>230</v>
      </c>
      <c r="B47" s="118" t="s">
        <v>644</v>
      </c>
      <c r="D47" s="14"/>
      <c r="E47" s="14"/>
    </row>
    <row r="48" spans="1:5">
      <c r="A48" s="117" t="s">
        <v>120</v>
      </c>
      <c r="B48" s="118" t="s">
        <v>664</v>
      </c>
      <c r="D48" s="14"/>
      <c r="E48" s="14"/>
    </row>
    <row r="49" spans="1:5">
      <c r="A49" s="117" t="s">
        <v>83</v>
      </c>
      <c r="B49" s="118" t="s">
        <v>627</v>
      </c>
      <c r="D49" s="14"/>
      <c r="E49" s="14"/>
    </row>
    <row r="50" spans="1:5">
      <c r="A50" s="117" t="s">
        <v>246</v>
      </c>
      <c r="B50" s="118" t="s">
        <v>550</v>
      </c>
      <c r="D50" s="14"/>
      <c r="E50" s="14"/>
    </row>
    <row r="51" spans="1:5">
      <c r="A51" s="117" t="s">
        <v>241</v>
      </c>
      <c r="B51" s="118" t="s">
        <v>684</v>
      </c>
      <c r="D51" s="14"/>
      <c r="E51" s="14"/>
    </row>
    <row r="52" spans="1:5">
      <c r="A52" s="117" t="s">
        <v>245</v>
      </c>
      <c r="B52" s="118" t="s">
        <v>615</v>
      </c>
      <c r="D52" s="14"/>
      <c r="E52" s="14"/>
    </row>
    <row r="53" spans="1:5">
      <c r="A53" s="117" t="s">
        <v>160</v>
      </c>
      <c r="B53" s="118" t="s">
        <v>623</v>
      </c>
      <c r="D53" s="14"/>
      <c r="E53" s="14"/>
    </row>
    <row r="54" spans="1:5">
      <c r="A54" s="117" t="s">
        <v>65</v>
      </c>
      <c r="B54" s="118" t="s">
        <v>648</v>
      </c>
      <c r="D54" s="14"/>
      <c r="E54" s="14"/>
    </row>
    <row r="55" spans="1:5">
      <c r="A55" s="117" t="s">
        <v>807</v>
      </c>
      <c r="B55" s="118" t="s">
        <v>648</v>
      </c>
      <c r="D55" s="14"/>
      <c r="E55" s="14"/>
    </row>
    <row r="56" spans="1:5">
      <c r="A56" s="117" t="s">
        <v>685</v>
      </c>
      <c r="B56" s="118" t="s">
        <v>613</v>
      </c>
      <c r="D56" s="14"/>
      <c r="E56" s="14"/>
    </row>
    <row r="57" spans="1:5">
      <c r="A57" s="117" t="s">
        <v>254</v>
      </c>
      <c r="B57" s="118" t="s">
        <v>680</v>
      </c>
      <c r="D57" s="14"/>
      <c r="E57" s="14"/>
    </row>
    <row r="58" spans="1:5">
      <c r="A58" s="117" t="s">
        <v>686</v>
      </c>
      <c r="B58" s="118" t="s">
        <v>687</v>
      </c>
      <c r="D58" s="14"/>
      <c r="E58" s="14"/>
    </row>
    <row r="59" spans="1:5">
      <c r="A59" s="117" t="s">
        <v>688</v>
      </c>
      <c r="B59" s="118" t="s">
        <v>646</v>
      </c>
      <c r="D59" s="14"/>
      <c r="E59" s="14"/>
    </row>
    <row r="60" spans="1:5">
      <c r="A60" s="117" t="s">
        <v>280</v>
      </c>
      <c r="B60" s="118" t="s">
        <v>635</v>
      </c>
      <c r="D60" s="14"/>
      <c r="E60" s="14"/>
    </row>
    <row r="61" spans="1:5">
      <c r="A61" s="117" t="s">
        <v>51</v>
      </c>
      <c r="B61" s="118" t="s">
        <v>689</v>
      </c>
      <c r="D61" s="14"/>
      <c r="E61" s="14"/>
    </row>
    <row r="62" spans="1:5">
      <c r="A62" s="117" t="s">
        <v>97</v>
      </c>
      <c r="B62" s="118" t="s">
        <v>642</v>
      </c>
      <c r="D62" s="14"/>
      <c r="E62" s="14"/>
    </row>
    <row r="63" spans="1:5">
      <c r="A63" s="117" t="s">
        <v>51</v>
      </c>
      <c r="B63" s="118" t="s">
        <v>613</v>
      </c>
      <c r="D63" s="14"/>
      <c r="E63" s="14"/>
    </row>
    <row r="64" spans="1:5">
      <c r="A64" s="117" t="s">
        <v>185</v>
      </c>
      <c r="B64" s="118" t="s">
        <v>598</v>
      </c>
      <c r="D64" s="14"/>
      <c r="E64" s="14"/>
    </row>
    <row r="65" spans="1:5">
      <c r="A65" s="117" t="s">
        <v>111</v>
      </c>
      <c r="B65" s="118" t="s">
        <v>690</v>
      </c>
      <c r="D65" s="14"/>
      <c r="E65" s="14"/>
    </row>
    <row r="66" spans="1:5">
      <c r="A66" s="117" t="s">
        <v>184</v>
      </c>
      <c r="B66" s="118" t="s">
        <v>669</v>
      </c>
      <c r="D66" s="14"/>
      <c r="E66" s="14"/>
    </row>
    <row r="67" spans="1:5">
      <c r="A67" s="117" t="s">
        <v>256</v>
      </c>
      <c r="B67" s="118" t="s">
        <v>680</v>
      </c>
      <c r="D67" s="14"/>
      <c r="E67" s="14"/>
    </row>
    <row r="68" spans="1:5">
      <c r="A68" s="117" t="s">
        <v>202</v>
      </c>
      <c r="B68" s="118" t="s">
        <v>659</v>
      </c>
      <c r="D68" s="14"/>
      <c r="E68" s="14"/>
    </row>
    <row r="69" spans="1:5">
      <c r="A69" s="117" t="s">
        <v>691</v>
      </c>
      <c r="B69" s="118" t="s">
        <v>684</v>
      </c>
      <c r="D69" s="14"/>
      <c r="E69" s="14"/>
    </row>
    <row r="70" spans="1:5">
      <c r="A70" s="117" t="s">
        <v>692</v>
      </c>
      <c r="B70" s="118" t="s">
        <v>613</v>
      </c>
      <c r="D70" s="14"/>
      <c r="E70" s="14"/>
    </row>
    <row r="71" spans="1:5">
      <c r="A71" s="117" t="s">
        <v>299</v>
      </c>
      <c r="B71" s="118" t="s">
        <v>674</v>
      </c>
      <c r="D71" s="14"/>
      <c r="E71" s="14"/>
    </row>
    <row r="72" spans="1:5">
      <c r="A72" s="117" t="s">
        <v>693</v>
      </c>
      <c r="B72" s="118" t="s">
        <v>648</v>
      </c>
      <c r="D72" s="14"/>
      <c r="E72" s="14"/>
    </row>
    <row r="73" spans="1:5">
      <c r="A73" s="117" t="s">
        <v>290</v>
      </c>
      <c r="B73" s="118" t="s">
        <v>605</v>
      </c>
      <c r="D73" s="14"/>
      <c r="E73" s="14"/>
    </row>
    <row r="74" spans="1:5">
      <c r="A74" s="117" t="s">
        <v>308</v>
      </c>
      <c r="B74" s="118" t="s">
        <v>694</v>
      </c>
      <c r="D74" s="14"/>
      <c r="E74" s="14"/>
    </row>
    <row r="75" spans="1:5">
      <c r="A75" s="117" t="s">
        <v>695</v>
      </c>
      <c r="B75" s="118" t="s">
        <v>601</v>
      </c>
      <c r="D75" s="14"/>
      <c r="E75" s="14"/>
    </row>
    <row r="76" spans="1:5">
      <c r="A76" s="117" t="s">
        <v>259</v>
      </c>
      <c r="B76" s="118" t="s">
        <v>597</v>
      </c>
      <c r="D76" s="14"/>
      <c r="E76" s="14"/>
    </row>
    <row r="77" spans="1:5">
      <c r="A77" s="117" t="s">
        <v>695</v>
      </c>
      <c r="B77" s="118" t="s">
        <v>666</v>
      </c>
      <c r="D77" s="14"/>
      <c r="E77" s="14"/>
    </row>
    <row r="78" spans="1:5">
      <c r="A78" s="117" t="s">
        <v>696</v>
      </c>
      <c r="B78" s="118" t="s">
        <v>606</v>
      </c>
      <c r="D78" s="14"/>
      <c r="E78" s="14"/>
    </row>
    <row r="79" spans="1:5">
      <c r="A79" s="117" t="s">
        <v>282</v>
      </c>
      <c r="B79" s="118" t="s">
        <v>672</v>
      </c>
      <c r="D79" s="14"/>
      <c r="E79" s="14"/>
    </row>
    <row r="80" spans="1:5">
      <c r="A80" s="117" t="s">
        <v>296</v>
      </c>
      <c r="B80" s="118" t="s">
        <v>599</v>
      </c>
      <c r="D80" s="14"/>
      <c r="E80" s="14"/>
    </row>
    <row r="81" spans="1:5">
      <c r="A81" s="117" t="s">
        <v>307</v>
      </c>
      <c r="B81" s="118" t="s">
        <v>675</v>
      </c>
      <c r="D81" s="14"/>
      <c r="E81" s="14"/>
    </row>
    <row r="82" spans="1:5">
      <c r="A82" s="117" t="s">
        <v>697</v>
      </c>
      <c r="B82" s="118" t="s">
        <v>698</v>
      </c>
      <c r="D82" s="14"/>
      <c r="E82" s="14"/>
    </row>
    <row r="83" spans="1:5">
      <c r="A83" s="117" t="s">
        <v>63</v>
      </c>
      <c r="B83" s="118" t="s">
        <v>632</v>
      </c>
      <c r="D83" s="14"/>
      <c r="E83" s="14"/>
    </row>
    <row r="84" spans="1:5">
      <c r="A84" s="117" t="s">
        <v>107</v>
      </c>
      <c r="B84" s="118" t="s">
        <v>637</v>
      </c>
      <c r="D84" s="14"/>
      <c r="E84" s="14"/>
    </row>
    <row r="85" spans="1:5">
      <c r="A85" s="117" t="s">
        <v>244</v>
      </c>
      <c r="B85" s="118" t="s">
        <v>662</v>
      </c>
      <c r="D85" s="14"/>
      <c r="E85" s="14"/>
    </row>
    <row r="86" spans="1:5">
      <c r="A86" s="117" t="s">
        <v>60</v>
      </c>
      <c r="B86" s="118" t="s">
        <v>629</v>
      </c>
      <c r="D86" s="14"/>
      <c r="E86" s="14"/>
    </row>
    <row r="87" spans="1:5">
      <c r="A87" s="117" t="s">
        <v>83</v>
      </c>
      <c r="B87" s="118" t="s">
        <v>660</v>
      </c>
      <c r="D87" s="14"/>
      <c r="E87" s="14"/>
    </row>
    <row r="88" spans="1:5">
      <c r="A88" s="117" t="s">
        <v>209</v>
      </c>
      <c r="B88" s="118" t="s">
        <v>660</v>
      </c>
      <c r="D88" s="14"/>
      <c r="E88" s="14"/>
    </row>
    <row r="89" spans="1:5">
      <c r="A89" s="117" t="s">
        <v>86</v>
      </c>
      <c r="B89" s="118" t="s">
        <v>622</v>
      </c>
      <c r="D89" s="14"/>
      <c r="E89" s="14"/>
    </row>
    <row r="90" spans="1:5">
      <c r="A90" s="117" t="s">
        <v>199</v>
      </c>
      <c r="B90" s="118" t="s">
        <v>623</v>
      </c>
      <c r="D90" s="14"/>
      <c r="E90" s="14"/>
    </row>
    <row r="91" spans="1:5">
      <c r="A91" s="117" t="s">
        <v>306</v>
      </c>
      <c r="B91" s="118" t="s">
        <v>633</v>
      </c>
      <c r="D91" s="14"/>
      <c r="E91" s="14"/>
    </row>
    <row r="92" spans="1:5">
      <c r="A92" s="117" t="s">
        <v>293</v>
      </c>
      <c r="B92" s="118" t="s">
        <v>598</v>
      </c>
      <c r="D92" s="14"/>
      <c r="E92" s="14"/>
    </row>
    <row r="93" spans="1:5">
      <c r="A93" s="117" t="s">
        <v>194</v>
      </c>
      <c r="B93" s="118" t="s">
        <v>627</v>
      </c>
      <c r="D93" s="14"/>
      <c r="E93" s="14"/>
    </row>
    <row r="94" spans="1:5">
      <c r="A94" s="117" t="s">
        <v>309</v>
      </c>
      <c r="B94" s="118" t="s">
        <v>597</v>
      </c>
      <c r="D94" s="14"/>
      <c r="E94" s="14"/>
    </row>
    <row r="95" spans="1:5">
      <c r="A95" s="117" t="s">
        <v>299</v>
      </c>
      <c r="B95" s="118" t="s">
        <v>628</v>
      </c>
      <c r="D95" s="14"/>
      <c r="E95" s="14"/>
    </row>
    <row r="96" spans="1:5">
      <c r="A96" s="117" t="s">
        <v>298</v>
      </c>
      <c r="B96" s="118" t="s">
        <v>626</v>
      </c>
      <c r="D96" s="14"/>
      <c r="E96" s="14"/>
    </row>
    <row r="97" spans="1:5">
      <c r="A97" s="117" t="s">
        <v>592</v>
      </c>
      <c r="B97" s="118" t="s">
        <v>626</v>
      </c>
      <c r="D97" s="14"/>
      <c r="E97" s="14"/>
    </row>
    <row r="98" spans="1:5">
      <c r="A98" s="117" t="s">
        <v>699</v>
      </c>
      <c r="B98" s="118" t="s">
        <v>629</v>
      </c>
      <c r="D98" s="14"/>
      <c r="E98" s="14"/>
    </row>
    <row r="99" spans="1:5">
      <c r="A99" s="117" t="s">
        <v>700</v>
      </c>
      <c r="B99" s="118" t="s">
        <v>621</v>
      </c>
      <c r="D99" s="14"/>
      <c r="E99" s="14"/>
    </row>
    <row r="100" spans="1:5">
      <c r="A100" s="117" t="s">
        <v>106</v>
      </c>
      <c r="B100" s="118" t="s">
        <v>620</v>
      </c>
      <c r="D100" s="14"/>
      <c r="E100" s="14"/>
    </row>
    <row r="101" spans="1:5">
      <c r="A101" s="117" t="s">
        <v>595</v>
      </c>
      <c r="B101" s="118" t="s">
        <v>621</v>
      </c>
      <c r="D101" s="14"/>
      <c r="E101" s="14"/>
    </row>
    <row r="102" spans="1:5">
      <c r="A102" s="117" t="s">
        <v>235</v>
      </c>
      <c r="B102" s="118" t="s">
        <v>615</v>
      </c>
      <c r="D102" s="14"/>
      <c r="E102" s="14"/>
    </row>
    <row r="103" spans="1:5">
      <c r="A103" s="117" t="s">
        <v>307</v>
      </c>
      <c r="B103" s="118" t="s">
        <v>662</v>
      </c>
      <c r="D103" s="14"/>
      <c r="E103" s="14"/>
    </row>
    <row r="104" spans="1:5">
      <c r="A104" s="117" t="s">
        <v>306</v>
      </c>
      <c r="B104" s="118" t="s">
        <v>627</v>
      </c>
      <c r="D104" s="14"/>
      <c r="E104" s="14"/>
    </row>
    <row r="105" spans="1:5">
      <c r="A105" s="117" t="s">
        <v>305</v>
      </c>
      <c r="B105" s="118" t="s">
        <v>627</v>
      </c>
      <c r="D105" s="14"/>
      <c r="E105" s="14"/>
    </row>
    <row r="106" spans="1:5">
      <c r="A106" s="117" t="s">
        <v>242</v>
      </c>
      <c r="B106" s="118" t="s">
        <v>652</v>
      </c>
      <c r="D106" s="14"/>
      <c r="E106" s="14"/>
    </row>
    <row r="107" spans="1:5">
      <c r="A107" s="117" t="s">
        <v>53</v>
      </c>
      <c r="B107" s="118" t="s">
        <v>621</v>
      </c>
      <c r="D107" s="14"/>
      <c r="E107" s="14"/>
    </row>
    <row r="108" spans="1:5">
      <c r="A108" s="117" t="s">
        <v>251</v>
      </c>
      <c r="B108" s="118" t="s">
        <v>629</v>
      </c>
      <c r="D108" s="14"/>
      <c r="E108" s="14"/>
    </row>
    <row r="109" spans="1:5">
      <c r="A109" s="117" t="s">
        <v>111</v>
      </c>
      <c r="B109" s="118" t="s">
        <v>620</v>
      </c>
      <c r="D109" s="14"/>
      <c r="E109" s="14"/>
    </row>
    <row r="110" spans="1:5">
      <c r="A110" s="117" t="s">
        <v>203</v>
      </c>
      <c r="B110" s="118" t="s">
        <v>623</v>
      </c>
      <c r="D110" s="14"/>
      <c r="E110" s="14"/>
    </row>
    <row r="111" spans="1:5">
      <c r="A111" s="117" t="s">
        <v>170</v>
      </c>
      <c r="B111" s="118" t="s">
        <v>598</v>
      </c>
      <c r="D111" s="14"/>
      <c r="E111" s="14"/>
    </row>
    <row r="112" spans="1:5">
      <c r="A112" s="117" t="s">
        <v>701</v>
      </c>
      <c r="B112" s="118" t="s">
        <v>631</v>
      </c>
      <c r="D112" s="14"/>
      <c r="E112" s="14"/>
    </row>
    <row r="113" spans="1:5">
      <c r="A113" s="117" t="s">
        <v>195</v>
      </c>
      <c r="B113" s="118" t="s">
        <v>622</v>
      </c>
      <c r="D113" s="14"/>
      <c r="E113" s="14"/>
    </row>
    <row r="114" spans="1:5">
      <c r="A114" s="117" t="s">
        <v>753</v>
      </c>
      <c r="B114" s="118" t="s">
        <v>622</v>
      </c>
      <c r="D114" s="14"/>
      <c r="E114" s="14"/>
    </row>
    <row r="115" spans="1:5">
      <c r="A115" s="117" t="s">
        <v>195</v>
      </c>
      <c r="B115" s="118" t="s">
        <v>627</v>
      </c>
      <c r="D115" s="14"/>
      <c r="E115" s="14"/>
    </row>
    <row r="116" spans="1:5">
      <c r="A116" s="117" t="s">
        <v>594</v>
      </c>
      <c r="B116" s="118" t="s">
        <v>672</v>
      </c>
      <c r="D116" s="14"/>
      <c r="E116" s="14"/>
    </row>
    <row r="117" spans="1:5">
      <c r="A117" s="117" t="s">
        <v>309</v>
      </c>
      <c r="B117" s="118" t="s">
        <v>629</v>
      </c>
      <c r="D117" s="14"/>
      <c r="E117" s="14"/>
    </row>
    <row r="118" spans="1:5">
      <c r="A118" s="117" t="s">
        <v>86</v>
      </c>
      <c r="B118" s="118" t="s">
        <v>630</v>
      </c>
      <c r="D118" s="14"/>
      <c r="E118" s="14"/>
    </row>
    <row r="119" spans="1:5">
      <c r="A119" s="117" t="s">
        <v>269</v>
      </c>
      <c r="B119" s="118" t="s">
        <v>622</v>
      </c>
      <c r="D119" s="14"/>
      <c r="E119" s="14"/>
    </row>
    <row r="120" spans="1:5">
      <c r="A120" s="117" t="s">
        <v>293</v>
      </c>
      <c r="B120" s="118" t="s">
        <v>610</v>
      </c>
      <c r="D120" s="14"/>
      <c r="E120" s="14"/>
    </row>
    <row r="121" spans="1:5">
      <c r="A121" s="117" t="s">
        <v>51</v>
      </c>
      <c r="B121" s="118" t="s">
        <v>627</v>
      </c>
      <c r="D121" s="14"/>
      <c r="E121" s="14"/>
    </row>
    <row r="122" spans="1:5">
      <c r="A122" s="117" t="s">
        <v>253</v>
      </c>
      <c r="B122" s="118" t="s">
        <v>599</v>
      </c>
      <c r="D122" s="14"/>
      <c r="E122" s="14"/>
    </row>
    <row r="123" spans="1:5">
      <c r="A123" s="117" t="s">
        <v>259</v>
      </c>
      <c r="B123" s="118" t="s">
        <v>626</v>
      </c>
      <c r="D123" s="14"/>
      <c r="E123" s="14"/>
    </row>
    <row r="124" spans="1:5">
      <c r="A124" s="117" t="s">
        <v>301</v>
      </c>
      <c r="B124" s="118" t="s">
        <v>657</v>
      </c>
      <c r="D124" s="14"/>
      <c r="E124" s="14"/>
    </row>
    <row r="125" spans="1:5">
      <c r="A125" s="117" t="s">
        <v>702</v>
      </c>
      <c r="B125" s="118" t="s">
        <v>615</v>
      </c>
      <c r="D125" s="14"/>
      <c r="E125" s="14"/>
    </row>
    <row r="126" spans="1:5">
      <c r="A126" s="117" t="s">
        <v>118</v>
      </c>
      <c r="B126" s="118" t="s">
        <v>656</v>
      </c>
      <c r="D126" s="14"/>
      <c r="E126" s="14"/>
    </row>
    <row r="127" spans="1:5">
      <c r="A127" s="117" t="s">
        <v>286</v>
      </c>
      <c r="B127" s="118" t="s">
        <v>612</v>
      </c>
      <c r="D127" s="14"/>
      <c r="E127" s="14"/>
    </row>
    <row r="128" spans="1:5">
      <c r="A128" s="117" t="s">
        <v>1002</v>
      </c>
      <c r="B128" s="118" t="s">
        <v>612</v>
      </c>
      <c r="D128" s="14"/>
      <c r="E128" s="14"/>
    </row>
    <row r="129" spans="1:5">
      <c r="A129" s="117" t="s">
        <v>306</v>
      </c>
      <c r="B129" s="118" t="s">
        <v>622</v>
      </c>
      <c r="D129" s="14"/>
      <c r="E129" s="14"/>
    </row>
    <row r="130" spans="1:5">
      <c r="A130" s="117" t="s">
        <v>226</v>
      </c>
      <c r="B130" s="118" t="s">
        <v>667</v>
      </c>
      <c r="D130" s="14"/>
      <c r="E130" s="14"/>
    </row>
    <row r="131" spans="1:5">
      <c r="A131" s="117" t="s">
        <v>53</v>
      </c>
      <c r="B131" s="118" t="s">
        <v>630</v>
      </c>
      <c r="D131" s="14"/>
      <c r="E131" s="14"/>
    </row>
    <row r="132" spans="1:5">
      <c r="A132" s="117" t="s">
        <v>250</v>
      </c>
      <c r="B132" s="118" t="s">
        <v>684</v>
      </c>
      <c r="D132" s="14"/>
      <c r="E132" s="14"/>
    </row>
    <row r="133" spans="1:5">
      <c r="A133" s="117" t="s">
        <v>703</v>
      </c>
      <c r="B133" s="118" t="s">
        <v>665</v>
      </c>
      <c r="D133" s="14"/>
      <c r="E133" s="14"/>
    </row>
    <row r="134" spans="1:5">
      <c r="A134" s="117" t="s">
        <v>205</v>
      </c>
      <c r="B134" s="118" t="s">
        <v>632</v>
      </c>
      <c r="D134" s="14"/>
      <c r="E134" s="14"/>
    </row>
    <row r="135" spans="1:5">
      <c r="A135" s="117" t="s">
        <v>101</v>
      </c>
      <c r="B135" s="118" t="s">
        <v>608</v>
      </c>
      <c r="D135" s="14"/>
      <c r="E135" s="14"/>
    </row>
    <row r="136" spans="1:5">
      <c r="A136" s="117" t="s">
        <v>704</v>
      </c>
      <c r="B136" s="118" t="s">
        <v>626</v>
      </c>
      <c r="D136" s="14"/>
      <c r="E136" s="14"/>
    </row>
    <row r="137" spans="1:5">
      <c r="A137" s="117" t="s">
        <v>246</v>
      </c>
      <c r="B137" s="118" t="s">
        <v>626</v>
      </c>
      <c r="D137" s="14"/>
      <c r="E137" s="14"/>
    </row>
    <row r="138" spans="1:5">
      <c r="A138" s="117" t="s">
        <v>133</v>
      </c>
      <c r="B138" s="118" t="s">
        <v>618</v>
      </c>
      <c r="D138" s="14"/>
      <c r="E138" s="14"/>
    </row>
    <row r="139" spans="1:5">
      <c r="A139" s="117" t="s">
        <v>705</v>
      </c>
      <c r="B139" s="118" t="s">
        <v>661</v>
      </c>
      <c r="D139" s="14"/>
      <c r="E139" s="14"/>
    </row>
    <row r="140" spans="1:5">
      <c r="A140" s="117" t="s">
        <v>109</v>
      </c>
      <c r="B140" s="118" t="s">
        <v>625</v>
      </c>
      <c r="D140" s="14"/>
      <c r="E140" s="14"/>
    </row>
    <row r="141" spans="1:5">
      <c r="A141" s="117" t="s">
        <v>83</v>
      </c>
      <c r="B141" s="118" t="s">
        <v>622</v>
      </c>
      <c r="D141" s="14"/>
      <c r="E141" s="14"/>
    </row>
    <row r="142" spans="1:5">
      <c r="A142" s="117" t="s">
        <v>141</v>
      </c>
      <c r="B142" s="118" t="s">
        <v>626</v>
      </c>
      <c r="D142" s="14"/>
      <c r="E142" s="14"/>
    </row>
    <row r="143" spans="1:5">
      <c r="A143" s="117" t="s">
        <v>183</v>
      </c>
      <c r="B143" s="118" t="s">
        <v>633</v>
      </c>
      <c r="D143" s="14"/>
      <c r="E143" s="14"/>
    </row>
    <row r="144" spans="1:5">
      <c r="A144" s="117" t="s">
        <v>185</v>
      </c>
      <c r="B144" s="118" t="s">
        <v>633</v>
      </c>
      <c r="D144" s="14"/>
      <c r="E144" s="14"/>
    </row>
    <row r="145" spans="1:5">
      <c r="A145" s="117" t="s">
        <v>57</v>
      </c>
      <c r="B145" s="118" t="s">
        <v>621</v>
      </c>
      <c r="D145" s="14"/>
      <c r="E145" s="14"/>
    </row>
    <row r="146" spans="1:5">
      <c r="A146" s="117" t="s">
        <v>86</v>
      </c>
      <c r="B146" s="118" t="s">
        <v>623</v>
      </c>
      <c r="D146" s="14"/>
      <c r="E146" s="14"/>
    </row>
    <row r="147" spans="1:5">
      <c r="A147" s="117" t="s">
        <v>296</v>
      </c>
      <c r="B147" s="118" t="s">
        <v>626</v>
      </c>
      <c r="D147" s="14"/>
      <c r="E147" s="14"/>
    </row>
    <row r="148" spans="1:5">
      <c r="A148" s="117" t="s">
        <v>706</v>
      </c>
      <c r="B148" s="118" t="s">
        <v>623</v>
      </c>
      <c r="D148" s="14"/>
      <c r="E148" s="14"/>
    </row>
    <row r="149" spans="1:5">
      <c r="A149" s="117" t="s">
        <v>133</v>
      </c>
      <c r="B149" s="118" t="s">
        <v>597</v>
      </c>
      <c r="D149" s="14"/>
      <c r="E149" s="14"/>
    </row>
    <row r="150" spans="1:5">
      <c r="A150" s="117" t="s">
        <v>175</v>
      </c>
      <c r="B150" s="118" t="s">
        <v>622</v>
      </c>
      <c r="D150" s="14"/>
      <c r="E150" s="14"/>
    </row>
    <row r="151" spans="1:5">
      <c r="A151" s="117" t="s">
        <v>158</v>
      </c>
      <c r="B151" s="118" t="s">
        <v>633</v>
      </c>
      <c r="D151" s="14"/>
      <c r="E151" s="14"/>
    </row>
    <row r="152" spans="1:5">
      <c r="A152" s="117" t="s">
        <v>86</v>
      </c>
      <c r="B152" s="118" t="s">
        <v>667</v>
      </c>
      <c r="D152" s="14"/>
      <c r="E152" s="14"/>
    </row>
    <row r="153" spans="1:5">
      <c r="A153" s="117" t="s">
        <v>68</v>
      </c>
      <c r="B153" s="118" t="s">
        <v>623</v>
      </c>
      <c r="D153" s="14"/>
      <c r="E153" s="14"/>
    </row>
    <row r="154" spans="1:5">
      <c r="A154" s="117" t="s">
        <v>187</v>
      </c>
      <c r="B154" s="118" t="s">
        <v>620</v>
      </c>
      <c r="D154" s="14"/>
      <c r="E154" s="14"/>
    </row>
    <row r="155" spans="1:5">
      <c r="A155" s="117" t="s">
        <v>191</v>
      </c>
      <c r="B155" s="118" t="s">
        <v>612</v>
      </c>
      <c r="D155" s="14"/>
      <c r="E155" s="14"/>
    </row>
    <row r="156" spans="1:5">
      <c r="A156" s="117" t="s">
        <v>144</v>
      </c>
      <c r="B156" s="118" t="s">
        <v>649</v>
      </c>
      <c r="D156" s="14"/>
      <c r="E156" s="14"/>
    </row>
    <row r="157" spans="1:5">
      <c r="A157" s="117" t="s">
        <v>71</v>
      </c>
      <c r="B157" s="118" t="s">
        <v>621</v>
      </c>
      <c r="D157" s="14"/>
      <c r="E157" s="14"/>
    </row>
    <row r="158" spans="1:5">
      <c r="A158" s="117" t="s">
        <v>180</v>
      </c>
      <c r="B158" s="118" t="s">
        <v>622</v>
      </c>
      <c r="D158" s="14"/>
      <c r="E158" s="14"/>
    </row>
    <row r="159" spans="1:5">
      <c r="A159" s="117" t="s">
        <v>241</v>
      </c>
      <c r="B159" s="118" t="s">
        <v>619</v>
      </c>
      <c r="D159" s="14"/>
      <c r="E159" s="14"/>
    </row>
    <row r="160" spans="1:5">
      <c r="A160" s="117" t="s">
        <v>194</v>
      </c>
      <c r="B160" s="118" t="s">
        <v>620</v>
      </c>
      <c r="D160" s="14"/>
      <c r="E160" s="14"/>
    </row>
    <row r="161" spans="1:5">
      <c r="A161" s="117" t="s">
        <v>707</v>
      </c>
      <c r="B161" s="118" t="s">
        <v>627</v>
      </c>
      <c r="D161" s="14"/>
      <c r="E161" s="14"/>
    </row>
    <row r="162" spans="1:5">
      <c r="A162" s="117" t="s">
        <v>236</v>
      </c>
      <c r="B162" s="118" t="s">
        <v>633</v>
      </c>
      <c r="D162" s="14"/>
      <c r="E162" s="14"/>
    </row>
    <row r="163" spans="1:5">
      <c r="A163" s="117" t="s">
        <v>277</v>
      </c>
      <c r="B163" s="118" t="s">
        <v>610</v>
      </c>
      <c r="D163" s="14"/>
      <c r="E163" s="14"/>
    </row>
    <row r="164" spans="1:5">
      <c r="A164" s="117" t="s">
        <v>119</v>
      </c>
      <c r="B164" s="118" t="s">
        <v>626</v>
      </c>
      <c r="D164" s="14"/>
      <c r="E164" s="14"/>
    </row>
    <row r="165" spans="1:5">
      <c r="A165" s="117" t="s">
        <v>271</v>
      </c>
      <c r="B165" s="118" t="s">
        <v>672</v>
      </c>
      <c r="D165" s="14"/>
      <c r="E165" s="14"/>
    </row>
    <row r="166" spans="1:5">
      <c r="A166" s="117" t="s">
        <v>699</v>
      </c>
      <c r="B166" s="118" t="s">
        <v>621</v>
      </c>
      <c r="D166" s="14"/>
      <c r="E166" s="14"/>
    </row>
    <row r="167" spans="1:5">
      <c r="A167" s="117" t="s">
        <v>219</v>
      </c>
      <c r="B167" s="118" t="s">
        <v>631</v>
      </c>
      <c r="D167" s="14"/>
      <c r="E167" s="14"/>
    </row>
    <row r="168" spans="1:5">
      <c r="A168" s="117" t="s">
        <v>186</v>
      </c>
      <c r="B168" s="118" t="s">
        <v>619</v>
      </c>
      <c r="D168" s="14"/>
      <c r="E168" s="14"/>
    </row>
    <row r="169" spans="1:5">
      <c r="A169" s="117" t="s">
        <v>120</v>
      </c>
      <c r="B169" s="118" t="s">
        <v>616</v>
      </c>
      <c r="D169" s="14"/>
      <c r="E169" s="14"/>
    </row>
    <row r="170" spans="1:5">
      <c r="A170" s="117" t="s">
        <v>143</v>
      </c>
      <c r="B170" s="118" t="s">
        <v>633</v>
      </c>
      <c r="D170" s="14"/>
      <c r="E170" s="14"/>
    </row>
    <row r="171" spans="1:5">
      <c r="A171" s="117" t="s">
        <v>157</v>
      </c>
      <c r="B171" s="118" t="s">
        <v>633</v>
      </c>
      <c r="D171" s="14"/>
      <c r="E171" s="14"/>
    </row>
    <row r="172" spans="1:5">
      <c r="A172" s="117" t="s">
        <v>168</v>
      </c>
      <c r="B172" s="118" t="s">
        <v>653</v>
      </c>
      <c r="D172" s="14"/>
      <c r="E172" s="14"/>
    </row>
    <row r="173" spans="1:5">
      <c r="A173" s="117" t="s">
        <v>152</v>
      </c>
      <c r="B173" s="118" t="s">
        <v>653</v>
      </c>
      <c r="D173" s="14"/>
      <c r="E173" s="14"/>
    </row>
    <row r="174" spans="1:5">
      <c r="A174" s="117" t="s">
        <v>139</v>
      </c>
      <c r="B174" s="118" t="s">
        <v>646</v>
      </c>
      <c r="D174" s="14"/>
      <c r="E174" s="14"/>
    </row>
    <row r="175" spans="1:5">
      <c r="A175" s="117" t="s">
        <v>708</v>
      </c>
      <c r="B175" s="118" t="s">
        <v>620</v>
      </c>
      <c r="D175" s="14"/>
      <c r="E175" s="14"/>
    </row>
    <row r="176" spans="1:5">
      <c r="A176" s="117" t="s">
        <v>278</v>
      </c>
      <c r="B176" s="118" t="s">
        <v>615</v>
      </c>
      <c r="D176" s="14"/>
      <c r="E176" s="14"/>
    </row>
    <row r="177" spans="1:5">
      <c r="A177" s="117" t="s">
        <v>279</v>
      </c>
      <c r="B177" s="118" t="s">
        <v>635</v>
      </c>
      <c r="D177" s="14"/>
      <c r="E177" s="14"/>
    </row>
    <row r="178" spans="1:5">
      <c r="A178" s="117" t="s">
        <v>169</v>
      </c>
      <c r="B178" s="118" t="s">
        <v>633</v>
      </c>
      <c r="D178" s="14"/>
      <c r="E178" s="14"/>
    </row>
    <row r="179" spans="1:5">
      <c r="A179" s="117" t="s">
        <v>167</v>
      </c>
      <c r="B179" s="118" t="s">
        <v>622</v>
      </c>
      <c r="D179" s="14"/>
      <c r="E179" s="14"/>
    </row>
    <row r="180" spans="1:5">
      <c r="A180" s="117" t="s">
        <v>122</v>
      </c>
      <c r="B180" s="118" t="s">
        <v>607</v>
      </c>
      <c r="D180" s="14"/>
      <c r="E180" s="14"/>
    </row>
    <row r="181" spans="1:5">
      <c r="A181" s="117" t="s">
        <v>164</v>
      </c>
      <c r="B181" s="118" t="s">
        <v>622</v>
      </c>
      <c r="D181" s="14"/>
      <c r="E181" s="14"/>
    </row>
    <row r="182" spans="1:5">
      <c r="A182" s="117" t="s">
        <v>293</v>
      </c>
      <c r="B182" s="118" t="s">
        <v>626</v>
      </c>
      <c r="D182" s="14"/>
      <c r="E182" s="14"/>
    </row>
    <row r="183" spans="1:5">
      <c r="A183" s="117" t="s">
        <v>228</v>
      </c>
      <c r="B183" s="118" t="s">
        <v>709</v>
      </c>
      <c r="D183" s="14"/>
      <c r="E183" s="14"/>
    </row>
    <row r="184" spans="1:5">
      <c r="A184" s="117" t="s">
        <v>220</v>
      </c>
      <c r="B184" s="118" t="s">
        <v>664</v>
      </c>
      <c r="D184" s="14"/>
      <c r="E184" s="14"/>
    </row>
    <row r="185" spans="1:5">
      <c r="A185" s="117" t="s">
        <v>83</v>
      </c>
      <c r="B185" s="118" t="s">
        <v>620</v>
      </c>
      <c r="D185" s="14"/>
      <c r="E185" s="14"/>
    </row>
    <row r="186" spans="1:5">
      <c r="A186" s="117" t="s">
        <v>109</v>
      </c>
      <c r="B186" s="118" t="s">
        <v>638</v>
      </c>
      <c r="D186" s="14"/>
      <c r="E186" s="14"/>
    </row>
    <row r="187" spans="1:5">
      <c r="A187" s="117" t="s">
        <v>296</v>
      </c>
      <c r="B187" s="118" t="s">
        <v>631</v>
      </c>
      <c r="D187" s="14"/>
      <c r="E187" s="14"/>
    </row>
    <row r="188" spans="1:5">
      <c r="A188" s="117" t="s">
        <v>158</v>
      </c>
      <c r="B188" s="118" t="s">
        <v>631</v>
      </c>
      <c r="D188" s="14"/>
      <c r="E188" s="14"/>
    </row>
    <row r="189" spans="1:5">
      <c r="A189" s="117" t="s">
        <v>192</v>
      </c>
      <c r="B189" s="118" t="s">
        <v>644</v>
      </c>
      <c r="D189" s="14"/>
      <c r="E189" s="14"/>
    </row>
    <row r="190" spans="1:5">
      <c r="A190" s="117" t="s">
        <v>808</v>
      </c>
      <c r="B190" s="118" t="s">
        <v>644</v>
      </c>
      <c r="D190" s="14"/>
      <c r="E190" s="14"/>
    </row>
    <row r="191" spans="1:5">
      <c r="A191" s="117" t="s">
        <v>156</v>
      </c>
      <c r="B191" s="118" t="s">
        <v>648</v>
      </c>
      <c r="D191" s="14"/>
      <c r="E191" s="14"/>
    </row>
    <row r="192" spans="1:5">
      <c r="A192" s="117" t="s">
        <v>79</v>
      </c>
      <c r="B192" s="118" t="s">
        <v>636</v>
      </c>
      <c r="D192" s="14"/>
      <c r="E192" s="14"/>
    </row>
    <row r="193" spans="1:5">
      <c r="A193" s="117" t="s">
        <v>71</v>
      </c>
      <c r="B193" s="118" t="s">
        <v>618</v>
      </c>
      <c r="D193" s="14"/>
      <c r="E193" s="14"/>
    </row>
    <row r="194" spans="1:5">
      <c r="A194" s="117" t="s">
        <v>245</v>
      </c>
      <c r="B194" s="118" t="s">
        <v>709</v>
      </c>
      <c r="D194" s="14"/>
      <c r="E194" s="14"/>
    </row>
    <row r="195" spans="1:5">
      <c r="A195" s="117" t="s">
        <v>71</v>
      </c>
      <c r="B195" s="118" t="s">
        <v>620</v>
      </c>
      <c r="D195" s="14"/>
      <c r="E195" s="14"/>
    </row>
    <row r="196" spans="1:5">
      <c r="A196" s="117" t="s">
        <v>55</v>
      </c>
      <c r="B196" s="118" t="s">
        <v>629</v>
      </c>
      <c r="D196" s="14"/>
      <c r="E196" s="14"/>
    </row>
    <row r="197" spans="1:5">
      <c r="A197" s="117" t="s">
        <v>313</v>
      </c>
      <c r="B197" s="118" t="s">
        <v>618</v>
      </c>
      <c r="D197" s="14"/>
      <c r="E197" s="14"/>
    </row>
    <row r="198" spans="1:5">
      <c r="A198" s="117" t="s">
        <v>300</v>
      </c>
      <c r="B198" s="118" t="s">
        <v>648</v>
      </c>
      <c r="D198" s="14"/>
      <c r="E198" s="14"/>
    </row>
    <row r="199" spans="1:5">
      <c r="A199" s="117" t="s">
        <v>60</v>
      </c>
      <c r="B199" s="118" t="s">
        <v>618</v>
      </c>
      <c r="D199" s="14"/>
      <c r="E199" s="14"/>
    </row>
    <row r="200" spans="1:5">
      <c r="A200" s="117" t="s">
        <v>216</v>
      </c>
      <c r="B200" s="118" t="s">
        <v>663</v>
      </c>
      <c r="D200" s="14"/>
      <c r="E200" s="14"/>
    </row>
    <row r="201" spans="1:5">
      <c r="A201" s="117" t="s">
        <v>63</v>
      </c>
      <c r="B201" s="118" t="s">
        <v>622</v>
      </c>
      <c r="D201" s="14"/>
      <c r="E201" s="14"/>
    </row>
    <row r="202" spans="1:5">
      <c r="A202" s="117" t="s">
        <v>261</v>
      </c>
      <c r="B202" s="118" t="s">
        <v>614</v>
      </c>
      <c r="D202" s="14"/>
      <c r="E202" s="14"/>
    </row>
    <row r="203" spans="1:5">
      <c r="A203" s="117" t="s">
        <v>87</v>
      </c>
      <c r="B203" s="118" t="s">
        <v>607</v>
      </c>
      <c r="D203" s="14"/>
      <c r="E203" s="14"/>
    </row>
    <row r="204" spans="1:5">
      <c r="A204" s="117" t="s">
        <v>110</v>
      </c>
      <c r="B204" s="118" t="s">
        <v>648</v>
      </c>
      <c r="D204" s="14"/>
      <c r="E204" s="14"/>
    </row>
    <row r="205" spans="1:5">
      <c r="A205" s="117" t="s">
        <v>250</v>
      </c>
      <c r="B205" s="118" t="s">
        <v>629</v>
      </c>
      <c r="D205" s="14"/>
      <c r="E205" s="14"/>
    </row>
    <row r="206" spans="1:5">
      <c r="A206" s="117" t="s">
        <v>149</v>
      </c>
      <c r="B206" s="118" t="s">
        <v>625</v>
      </c>
      <c r="D206" s="14"/>
      <c r="E206" s="14"/>
    </row>
    <row r="207" spans="1:5">
      <c r="A207" s="117" t="s">
        <v>252</v>
      </c>
      <c r="B207" s="118" t="s">
        <v>629</v>
      </c>
      <c r="D207" s="14"/>
      <c r="E207" s="14"/>
    </row>
    <row r="208" spans="1:5">
      <c r="A208" s="117" t="s">
        <v>142</v>
      </c>
      <c r="B208" s="118" t="s">
        <v>648</v>
      </c>
      <c r="D208" s="14"/>
      <c r="E208" s="14"/>
    </row>
    <row r="209" spans="1:5">
      <c r="A209" s="117" t="s">
        <v>81</v>
      </c>
      <c r="B209" s="118" t="s">
        <v>636</v>
      </c>
      <c r="D209" s="14"/>
      <c r="E209" s="14"/>
    </row>
    <row r="210" spans="1:5">
      <c r="A210" s="117" t="s">
        <v>141</v>
      </c>
      <c r="B210" s="118" t="s">
        <v>599</v>
      </c>
      <c r="D210" s="14"/>
      <c r="E210" s="14"/>
    </row>
    <row r="211" spans="1:5">
      <c r="A211" s="117" t="s">
        <v>238</v>
      </c>
      <c r="B211" s="118" t="s">
        <v>646</v>
      </c>
      <c r="D211" s="14"/>
      <c r="E211" s="14"/>
    </row>
    <row r="212" spans="1:5">
      <c r="A212" s="117" t="s">
        <v>84</v>
      </c>
      <c r="B212" s="118" t="s">
        <v>607</v>
      </c>
      <c r="D212" s="14"/>
      <c r="E212" s="14"/>
    </row>
    <row r="213" spans="1:5">
      <c r="A213" s="117" t="s">
        <v>171</v>
      </c>
      <c r="B213" s="118" t="s">
        <v>636</v>
      </c>
      <c r="D213" s="14"/>
      <c r="E213" s="14"/>
    </row>
    <row r="214" spans="1:5">
      <c r="A214" s="117" t="s">
        <v>311</v>
      </c>
      <c r="B214" s="118" t="s">
        <v>618</v>
      </c>
      <c r="D214" s="14"/>
      <c r="E214" s="14"/>
    </row>
    <row r="215" spans="1:5">
      <c r="A215" s="117" t="s">
        <v>182</v>
      </c>
      <c r="B215" s="118" t="s">
        <v>655</v>
      </c>
      <c r="D215" s="14"/>
      <c r="E215" s="14"/>
    </row>
    <row r="216" spans="1:5">
      <c r="A216" s="117" t="s">
        <v>271</v>
      </c>
      <c r="B216" s="118" t="s">
        <v>667</v>
      </c>
      <c r="D216" s="14"/>
      <c r="E216" s="14"/>
    </row>
    <row r="217" spans="1:5">
      <c r="A217" s="117" t="s">
        <v>60</v>
      </c>
      <c r="B217" s="118" t="s">
        <v>628</v>
      </c>
      <c r="D217" s="14"/>
      <c r="E217" s="14"/>
    </row>
    <row r="218" spans="1:5">
      <c r="A218" s="117" t="s">
        <v>290</v>
      </c>
      <c r="B218" s="118" t="s">
        <v>633</v>
      </c>
      <c r="D218" s="14"/>
      <c r="E218" s="14"/>
    </row>
    <row r="219" spans="1:5">
      <c r="A219" s="117" t="s">
        <v>221</v>
      </c>
      <c r="B219" s="118" t="s">
        <v>665</v>
      </c>
      <c r="D219" s="14"/>
      <c r="E219" s="14"/>
    </row>
    <row r="220" spans="1:5">
      <c r="A220" s="117" t="s">
        <v>1003</v>
      </c>
      <c r="B220" s="118" t="s">
        <v>665</v>
      </c>
      <c r="D220" s="14"/>
      <c r="E220" s="14"/>
    </row>
    <row r="221" spans="1:5">
      <c r="A221" s="117" t="s">
        <v>299</v>
      </c>
      <c r="B221" s="118" t="s">
        <v>626</v>
      </c>
      <c r="D221" s="14"/>
      <c r="E221" s="14"/>
    </row>
    <row r="222" spans="1:5">
      <c r="A222" s="117" t="s">
        <v>205</v>
      </c>
      <c r="B222" s="118" t="s">
        <v>671</v>
      </c>
      <c r="D222" s="14"/>
      <c r="E222" s="14"/>
    </row>
    <row r="223" spans="1:5">
      <c r="A223" s="117" t="s">
        <v>86</v>
      </c>
      <c r="B223" s="118" t="s">
        <v>631</v>
      </c>
      <c r="D223" s="14"/>
      <c r="E223" s="14"/>
    </row>
    <row r="224" spans="1:5">
      <c r="A224" s="117" t="s">
        <v>247</v>
      </c>
      <c r="B224" s="118" t="s">
        <v>669</v>
      </c>
      <c r="D224" s="14"/>
      <c r="E224" s="14"/>
    </row>
    <row r="225" spans="1:5">
      <c r="A225" s="117" t="s">
        <v>174</v>
      </c>
      <c r="B225" s="118" t="s">
        <v>601</v>
      </c>
      <c r="D225" s="14"/>
      <c r="E225" s="14"/>
    </row>
    <row r="226" spans="1:5">
      <c r="A226" s="117" t="s">
        <v>71</v>
      </c>
      <c r="B226" s="118" t="s">
        <v>597</v>
      </c>
      <c r="D226" s="14"/>
      <c r="E226" s="14"/>
    </row>
    <row r="227" spans="1:5">
      <c r="A227" s="117" t="s">
        <v>256</v>
      </c>
      <c r="B227" s="118" t="s">
        <v>607</v>
      </c>
      <c r="D227" s="14"/>
      <c r="E227" s="14"/>
    </row>
    <row r="228" spans="1:5">
      <c r="A228" s="117" t="s">
        <v>313</v>
      </c>
      <c r="B228" s="118" t="s">
        <v>633</v>
      </c>
      <c r="D228" s="14"/>
      <c r="E228" s="14"/>
    </row>
    <row r="229" spans="1:5">
      <c r="A229" s="117" t="s">
        <v>183</v>
      </c>
      <c r="B229" s="118" t="s">
        <v>619</v>
      </c>
      <c r="D229" s="14"/>
      <c r="E229" s="14"/>
    </row>
    <row r="230" spans="1:5">
      <c r="A230" s="117" t="s">
        <v>253</v>
      </c>
      <c r="B230" s="118" t="s">
        <v>629</v>
      </c>
      <c r="D230" s="14"/>
      <c r="E230" s="14"/>
    </row>
    <row r="231" spans="1:5">
      <c r="A231" s="117" t="s">
        <v>710</v>
      </c>
      <c r="B231" s="118" t="s">
        <v>624</v>
      </c>
      <c r="D231" s="14"/>
      <c r="E231" s="14"/>
    </row>
    <row r="232" spans="1:5">
      <c r="A232" s="117" t="s">
        <v>711</v>
      </c>
      <c r="B232" s="118" t="s">
        <v>620</v>
      </c>
      <c r="D232" s="14"/>
      <c r="E232" s="14"/>
    </row>
    <row r="233" spans="1:5">
      <c r="A233" s="117" t="s">
        <v>111</v>
      </c>
      <c r="B233" s="118" t="s">
        <v>633</v>
      </c>
      <c r="D233" s="14"/>
      <c r="E233" s="14"/>
    </row>
    <row r="234" spans="1:5">
      <c r="A234" s="117" t="s">
        <v>108</v>
      </c>
      <c r="B234" s="118" t="s">
        <v>633</v>
      </c>
      <c r="D234" s="14"/>
      <c r="E234" s="14"/>
    </row>
    <row r="235" spans="1:5">
      <c r="A235" s="117" t="s">
        <v>166</v>
      </c>
      <c r="B235" s="118" t="s">
        <v>645</v>
      </c>
      <c r="D235" s="14"/>
      <c r="E235" s="14"/>
    </row>
    <row r="236" spans="1:5">
      <c r="A236" s="117" t="s">
        <v>712</v>
      </c>
      <c r="B236" s="118" t="s">
        <v>621</v>
      </c>
      <c r="D236" s="14"/>
      <c r="E236" s="14"/>
    </row>
    <row r="237" spans="1:5">
      <c r="A237" s="117" t="s">
        <v>713</v>
      </c>
      <c r="B237" s="118" t="s">
        <v>619</v>
      </c>
      <c r="D237" s="14"/>
      <c r="E237" s="14"/>
    </row>
    <row r="238" spans="1:5">
      <c r="A238" s="117" t="s">
        <v>256</v>
      </c>
      <c r="B238" s="118" t="s">
        <v>633</v>
      </c>
      <c r="D238" s="14"/>
      <c r="E238" s="14"/>
    </row>
    <row r="239" spans="1:5">
      <c r="A239" s="117" t="s">
        <v>286</v>
      </c>
      <c r="B239" s="118" t="s">
        <v>623</v>
      </c>
      <c r="D239" s="14"/>
      <c r="E239" s="14"/>
    </row>
    <row r="240" spans="1:5">
      <c r="A240" s="117" t="s">
        <v>714</v>
      </c>
      <c r="B240" s="118" t="s">
        <v>622</v>
      </c>
      <c r="D240" s="14"/>
      <c r="E240" s="14"/>
    </row>
    <row r="241" spans="1:5">
      <c r="A241" s="117" t="s">
        <v>715</v>
      </c>
      <c r="B241" s="118" t="s">
        <v>631</v>
      </c>
      <c r="D241" s="14"/>
      <c r="E241" s="14"/>
    </row>
    <row r="242" spans="1:5">
      <c r="A242" s="117" t="s">
        <v>241</v>
      </c>
      <c r="B242" s="118" t="s">
        <v>620</v>
      </c>
      <c r="D242" s="14"/>
      <c r="E242" s="14"/>
    </row>
    <row r="243" spans="1:5">
      <c r="A243" s="117" t="s">
        <v>704</v>
      </c>
      <c r="B243" s="118" t="s">
        <v>648</v>
      </c>
      <c r="D243" s="14"/>
      <c r="E243" s="14"/>
    </row>
    <row r="244" spans="1:5">
      <c r="A244" s="117" t="s">
        <v>165</v>
      </c>
      <c r="B244" s="118" t="s">
        <v>622</v>
      </c>
      <c r="D244" s="14"/>
      <c r="E244" s="14"/>
    </row>
    <row r="245" spans="1:5">
      <c r="A245" s="117" t="s">
        <v>96</v>
      </c>
      <c r="B245" s="118" t="s">
        <v>607</v>
      </c>
      <c r="D245" s="14"/>
      <c r="E245" s="14"/>
    </row>
    <row r="246" spans="1:5">
      <c r="A246" s="117" t="s">
        <v>302</v>
      </c>
      <c r="B246" s="118" t="s">
        <v>619</v>
      </c>
      <c r="D246" s="14"/>
      <c r="E246" s="14"/>
    </row>
    <row r="247" spans="1:5">
      <c r="A247" s="117" t="s">
        <v>308</v>
      </c>
      <c r="B247" s="118" t="s">
        <v>620</v>
      </c>
      <c r="D247" s="14"/>
      <c r="E247" s="14"/>
    </row>
    <row r="248" spans="1:5">
      <c r="A248" s="117" t="s">
        <v>716</v>
      </c>
      <c r="B248" s="118" t="s">
        <v>623</v>
      </c>
      <c r="D248" s="14"/>
      <c r="E248" s="14"/>
    </row>
    <row r="249" spans="1:5">
      <c r="A249" s="117" t="s">
        <v>175</v>
      </c>
      <c r="B249" s="118" t="s">
        <v>656</v>
      </c>
      <c r="D249" s="14"/>
      <c r="E249" s="14"/>
    </row>
    <row r="250" spans="1:5">
      <c r="A250" s="117" t="s">
        <v>160</v>
      </c>
      <c r="B250" s="118" t="s">
        <v>622</v>
      </c>
      <c r="D250" s="14"/>
      <c r="E250" s="14"/>
    </row>
    <row r="251" spans="1:5">
      <c r="A251" s="117" t="s">
        <v>717</v>
      </c>
      <c r="B251" s="118" t="s">
        <v>676</v>
      </c>
      <c r="D251" s="14"/>
      <c r="E251" s="14"/>
    </row>
    <row r="252" spans="1:5">
      <c r="A252" s="117" t="s">
        <v>101</v>
      </c>
      <c r="B252" s="118" t="s">
        <v>632</v>
      </c>
      <c r="D252" s="14"/>
      <c r="E252" s="14"/>
    </row>
    <row r="253" spans="1:5">
      <c r="A253" s="117" t="s">
        <v>53</v>
      </c>
      <c r="B253" s="118" t="s">
        <v>609</v>
      </c>
      <c r="D253" s="14"/>
      <c r="E253" s="14"/>
    </row>
    <row r="254" spans="1:5">
      <c r="A254" s="117" t="s">
        <v>261</v>
      </c>
      <c r="B254" s="118" t="s">
        <v>612</v>
      </c>
      <c r="D254" s="14"/>
      <c r="E254" s="14"/>
    </row>
    <row r="255" spans="1:5">
      <c r="A255" s="117" t="s">
        <v>718</v>
      </c>
      <c r="B255" s="118" t="s">
        <v>709</v>
      </c>
      <c r="D255" s="14"/>
      <c r="E255" s="14"/>
    </row>
    <row r="256" spans="1:5">
      <c r="A256" s="117" t="s">
        <v>142</v>
      </c>
      <c r="B256" s="118" t="s">
        <v>647</v>
      </c>
      <c r="D256" s="14"/>
      <c r="E256" s="14"/>
    </row>
    <row r="257" spans="1:5">
      <c r="A257" s="117" t="s">
        <v>194</v>
      </c>
      <c r="B257" s="118" t="s">
        <v>611</v>
      </c>
      <c r="D257" s="14"/>
      <c r="E257" s="14"/>
    </row>
    <row r="258" spans="1:5">
      <c r="A258" s="117" t="s">
        <v>233</v>
      </c>
      <c r="B258" s="118" t="s">
        <v>618</v>
      </c>
      <c r="D258" s="14"/>
      <c r="E258" s="14"/>
    </row>
    <row r="259" spans="1:5">
      <c r="A259" s="117" t="s">
        <v>276</v>
      </c>
      <c r="B259" s="118" t="s">
        <v>661</v>
      </c>
      <c r="D259" s="14"/>
      <c r="E259" s="14"/>
    </row>
    <row r="260" spans="1:5">
      <c r="A260" s="117" t="s">
        <v>719</v>
      </c>
      <c r="B260" s="118" t="s">
        <v>694</v>
      </c>
      <c r="D260" s="14"/>
      <c r="E260" s="14"/>
    </row>
    <row r="261" spans="1:5">
      <c r="A261" s="117" t="s">
        <v>720</v>
      </c>
      <c r="B261" s="118" t="s">
        <v>607</v>
      </c>
      <c r="D261" s="14"/>
      <c r="E261" s="14"/>
    </row>
    <row r="262" spans="1:5">
      <c r="A262" s="117" t="s">
        <v>721</v>
      </c>
      <c r="B262" s="118" t="s">
        <v>672</v>
      </c>
      <c r="D262" s="14"/>
      <c r="E262" s="14"/>
    </row>
    <row r="263" spans="1:5">
      <c r="A263" s="117" t="s">
        <v>722</v>
      </c>
      <c r="B263" s="118" t="s">
        <v>667</v>
      </c>
      <c r="D263" s="14"/>
      <c r="E263" s="14"/>
    </row>
    <row r="264" spans="1:5">
      <c r="A264" s="117" t="s">
        <v>204</v>
      </c>
      <c r="B264" s="118" t="s">
        <v>690</v>
      </c>
      <c r="D264" s="14"/>
      <c r="E264" s="14"/>
    </row>
    <row r="265" spans="1:5">
      <c r="A265" s="117" t="s">
        <v>204</v>
      </c>
      <c r="B265" s="118" t="s">
        <v>633</v>
      </c>
      <c r="D265" s="14"/>
      <c r="E265" s="14"/>
    </row>
    <row r="266" spans="1:5">
      <c r="A266" s="117" t="s">
        <v>226</v>
      </c>
      <c r="B266" s="118" t="s">
        <v>665</v>
      </c>
      <c r="D266" s="14"/>
      <c r="E266" s="14"/>
    </row>
    <row r="267" spans="1:5">
      <c r="A267" s="117" t="s">
        <v>1004</v>
      </c>
      <c r="B267" s="118" t="s">
        <v>665</v>
      </c>
      <c r="D267" s="14"/>
      <c r="E267" s="14"/>
    </row>
    <row r="268" spans="1:5">
      <c r="A268" s="117" t="s">
        <v>723</v>
      </c>
      <c r="B268" s="118" t="s">
        <v>641</v>
      </c>
      <c r="D268" s="14"/>
      <c r="E268" s="14"/>
    </row>
    <row r="269" spans="1:5">
      <c r="A269" s="117" t="s">
        <v>724</v>
      </c>
      <c r="B269" s="118" t="s">
        <v>636</v>
      </c>
      <c r="D269" s="14"/>
      <c r="E269" s="14"/>
    </row>
    <row r="270" spans="1:5">
      <c r="A270" s="117" t="s">
        <v>266</v>
      </c>
      <c r="B270" s="118" t="s">
        <v>644</v>
      </c>
      <c r="D270" s="14"/>
      <c r="E270" s="14"/>
    </row>
    <row r="271" spans="1:5">
      <c r="A271" s="117" t="s">
        <v>725</v>
      </c>
      <c r="B271" s="118" t="s">
        <v>671</v>
      </c>
      <c r="D271" s="14"/>
      <c r="E271" s="14"/>
    </row>
    <row r="272" spans="1:5">
      <c r="A272" s="117" t="s">
        <v>313</v>
      </c>
      <c r="B272" s="118" t="s">
        <v>645</v>
      </c>
      <c r="D272" s="14"/>
      <c r="E272" s="14"/>
    </row>
    <row r="273" spans="1:5">
      <c r="A273" s="117" t="s">
        <v>204</v>
      </c>
      <c r="B273" s="118" t="s">
        <v>661</v>
      </c>
      <c r="D273" s="14"/>
      <c r="E273" s="14"/>
    </row>
    <row r="274" spans="1:5">
      <c r="A274" s="117" t="s">
        <v>81</v>
      </c>
      <c r="B274" s="118" t="s">
        <v>632</v>
      </c>
      <c r="D274" s="14"/>
      <c r="E274" s="14"/>
    </row>
    <row r="275" spans="1:5">
      <c r="A275" s="117" t="s">
        <v>726</v>
      </c>
      <c r="B275" s="118" t="s">
        <v>625</v>
      </c>
      <c r="D275" s="14"/>
      <c r="E275" s="14"/>
    </row>
    <row r="276" spans="1:5">
      <c r="A276" s="117" t="s">
        <v>308</v>
      </c>
      <c r="B276" s="118" t="s">
        <v>626</v>
      </c>
      <c r="D276" s="14"/>
      <c r="E276" s="14"/>
    </row>
    <row r="277" spans="1:5">
      <c r="A277" s="117" t="s">
        <v>194</v>
      </c>
      <c r="B277" s="118" t="s">
        <v>606</v>
      </c>
      <c r="D277" s="14"/>
      <c r="E277" s="14"/>
    </row>
    <row r="278" spans="1:5">
      <c r="A278" s="117" t="s">
        <v>233</v>
      </c>
      <c r="B278" s="118" t="s">
        <v>617</v>
      </c>
      <c r="D278" s="14"/>
      <c r="E278" s="14"/>
    </row>
    <row r="279" spans="1:5">
      <c r="A279" s="117" t="s">
        <v>276</v>
      </c>
      <c r="B279" s="118" t="s">
        <v>690</v>
      </c>
      <c r="D279" s="14"/>
      <c r="E279" s="14"/>
    </row>
    <row r="280" spans="1:5">
      <c r="A280" s="117" t="s">
        <v>727</v>
      </c>
      <c r="B280" s="118" t="s">
        <v>619</v>
      </c>
      <c r="D280" s="14"/>
      <c r="E280" s="14"/>
    </row>
    <row r="281" spans="1:5">
      <c r="A281" s="117" t="s">
        <v>728</v>
      </c>
      <c r="B281" s="118" t="s">
        <v>661</v>
      </c>
      <c r="D281" s="14"/>
      <c r="E281" s="14"/>
    </row>
    <row r="282" spans="1:5">
      <c r="A282" s="117" t="s">
        <v>593</v>
      </c>
      <c r="B282" s="118" t="s">
        <v>621</v>
      </c>
      <c r="D282" s="14"/>
      <c r="E282" s="14"/>
    </row>
    <row r="283" spans="1:5">
      <c r="A283" s="117" t="s">
        <v>302</v>
      </c>
      <c r="B283" s="118" t="s">
        <v>626</v>
      </c>
      <c r="D283" s="14"/>
      <c r="E283" s="14"/>
    </row>
    <row r="284" spans="1:5">
      <c r="A284" s="117" t="s">
        <v>161</v>
      </c>
      <c r="B284" s="118" t="s">
        <v>729</v>
      </c>
      <c r="D284" s="14"/>
      <c r="E284" s="14"/>
    </row>
    <row r="285" spans="1:5">
      <c r="A285" s="117" t="s">
        <v>205</v>
      </c>
      <c r="B285" s="118" t="s">
        <v>709</v>
      </c>
      <c r="D285" s="14"/>
      <c r="E285" s="14"/>
    </row>
    <row r="286" spans="1:5">
      <c r="A286" s="117" t="s">
        <v>68</v>
      </c>
      <c r="B286" s="118" t="s">
        <v>632</v>
      </c>
      <c r="D286" s="14"/>
      <c r="E286" s="14"/>
    </row>
    <row r="287" spans="1:5">
      <c r="A287" s="117" t="s">
        <v>256</v>
      </c>
      <c r="B287" s="118" t="s">
        <v>598</v>
      </c>
      <c r="D287" s="14"/>
      <c r="E287" s="14"/>
    </row>
    <row r="288" spans="1:5">
      <c r="A288" s="117" t="s">
        <v>261</v>
      </c>
      <c r="B288" s="118" t="s">
        <v>644</v>
      </c>
      <c r="D288" s="14"/>
      <c r="E288" s="14"/>
    </row>
    <row r="289" spans="1:5">
      <c r="A289" s="117" t="s">
        <v>275</v>
      </c>
      <c r="B289" s="118" t="s">
        <v>658</v>
      </c>
      <c r="D289" s="14"/>
      <c r="E289" s="14"/>
    </row>
    <row r="290" spans="1:5">
      <c r="A290" s="117" t="s">
        <v>136</v>
      </c>
      <c r="B290" s="118" t="s">
        <v>635</v>
      </c>
      <c r="D290" s="14"/>
      <c r="E290" s="14"/>
    </row>
    <row r="291" spans="1:5">
      <c r="A291" s="117" t="s">
        <v>176</v>
      </c>
      <c r="B291" s="118" t="s">
        <v>656</v>
      </c>
      <c r="D291" s="14"/>
      <c r="E291" s="14"/>
    </row>
    <row r="292" spans="1:5">
      <c r="A292" s="117" t="s">
        <v>284</v>
      </c>
      <c r="B292" s="118" t="s">
        <v>644</v>
      </c>
      <c r="D292" s="14"/>
      <c r="E292" s="14"/>
    </row>
    <row r="293" spans="1:5">
      <c r="A293" s="117" t="s">
        <v>730</v>
      </c>
      <c r="B293" s="118" t="s">
        <v>607</v>
      </c>
      <c r="D293" s="14"/>
      <c r="E293" s="14"/>
    </row>
    <row r="294" spans="1:5">
      <c r="A294" s="117" t="s">
        <v>731</v>
      </c>
      <c r="B294" s="118" t="s">
        <v>698</v>
      </c>
      <c r="D294" s="14"/>
      <c r="E294" s="14"/>
    </row>
    <row r="295" spans="1:5">
      <c r="A295" s="117" t="s">
        <v>732</v>
      </c>
      <c r="B295" s="118" t="s">
        <v>664</v>
      </c>
      <c r="D295" s="14"/>
      <c r="E295" s="14"/>
    </row>
    <row r="296" spans="1:5">
      <c r="A296" s="117" t="s">
        <v>236</v>
      </c>
      <c r="B296" s="118" t="s">
        <v>606</v>
      </c>
      <c r="D296" s="14"/>
      <c r="E296" s="14"/>
    </row>
    <row r="297" spans="1:5">
      <c r="A297" s="117" t="s">
        <v>74</v>
      </c>
      <c r="B297" s="118" t="s">
        <v>635</v>
      </c>
      <c r="D297" s="14"/>
      <c r="E297" s="14"/>
    </row>
    <row r="298" spans="1:5">
      <c r="A298" s="117" t="s">
        <v>96</v>
      </c>
      <c r="B298" s="118" t="s">
        <v>606</v>
      </c>
      <c r="D298" s="14"/>
      <c r="E298" s="14"/>
    </row>
    <row r="299" spans="1:5">
      <c r="A299" s="117" t="s">
        <v>98</v>
      </c>
      <c r="B299" s="118" t="s">
        <v>673</v>
      </c>
      <c r="D299" s="14"/>
      <c r="E299" s="14"/>
    </row>
    <row r="300" spans="1:5">
      <c r="A300" s="117" t="s">
        <v>681</v>
      </c>
      <c r="B300" s="118" t="s">
        <v>618</v>
      </c>
      <c r="D300" s="14"/>
      <c r="E300" s="14"/>
    </row>
    <row r="301" spans="1:5">
      <c r="A301" s="117" t="s">
        <v>186</v>
      </c>
      <c r="B301" s="118" t="s">
        <v>733</v>
      </c>
      <c r="D301" s="14"/>
      <c r="E301" s="14"/>
    </row>
    <row r="302" spans="1:5">
      <c r="A302" s="117" t="s">
        <v>190</v>
      </c>
      <c r="B302" s="118" t="s">
        <v>661</v>
      </c>
      <c r="D302" s="14"/>
      <c r="E302" s="14"/>
    </row>
    <row r="303" spans="1:5">
      <c r="A303" s="117" t="s">
        <v>734</v>
      </c>
      <c r="B303" s="118" t="s">
        <v>709</v>
      </c>
      <c r="D303" s="14"/>
      <c r="E303" s="14"/>
    </row>
    <row r="304" spans="1:5">
      <c r="A304" s="117" t="s">
        <v>279</v>
      </c>
      <c r="B304" s="118" t="s">
        <v>659</v>
      </c>
      <c r="D304" s="14"/>
      <c r="E304" s="14"/>
    </row>
    <row r="305" spans="1:5">
      <c r="A305" s="117" t="s">
        <v>229</v>
      </c>
      <c r="B305" s="118" t="s">
        <v>729</v>
      </c>
      <c r="D305" s="14"/>
      <c r="E305" s="14"/>
    </row>
    <row r="306" spans="1:5">
      <c r="A306" s="117" t="s">
        <v>83</v>
      </c>
      <c r="B306" s="118" t="s">
        <v>630</v>
      </c>
      <c r="D306" s="14"/>
      <c r="E306" s="14"/>
    </row>
    <row r="307" spans="1:5">
      <c r="A307" s="117" t="s">
        <v>277</v>
      </c>
      <c r="B307" s="118" t="s">
        <v>627</v>
      </c>
      <c r="D307" s="14"/>
      <c r="E307" s="14"/>
    </row>
    <row r="308" spans="1:5">
      <c r="A308" s="117" t="s">
        <v>735</v>
      </c>
      <c r="B308" s="118" t="s">
        <v>729</v>
      </c>
      <c r="D308" s="14"/>
      <c r="E308" s="14"/>
    </row>
    <row r="309" spans="1:5">
      <c r="A309" s="117" t="s">
        <v>95</v>
      </c>
      <c r="B309" s="118" t="s">
        <v>661</v>
      </c>
      <c r="D309" s="14"/>
      <c r="E309" s="14"/>
    </row>
    <row r="310" spans="1:5">
      <c r="A310" s="117" t="s">
        <v>697</v>
      </c>
      <c r="B310" s="118" t="s">
        <v>709</v>
      </c>
      <c r="D310" s="14"/>
      <c r="E310" s="14"/>
    </row>
    <row r="311" spans="1:5">
      <c r="A311" s="117" t="s">
        <v>206</v>
      </c>
      <c r="B311" s="118" t="s">
        <v>636</v>
      </c>
      <c r="D311" s="14"/>
      <c r="E311" s="14"/>
    </row>
    <row r="312" spans="1:5">
      <c r="A312" s="117" t="s">
        <v>207</v>
      </c>
      <c r="B312" s="118" t="s">
        <v>736</v>
      </c>
      <c r="D312" s="14"/>
      <c r="E312" s="14"/>
    </row>
    <row r="313" spans="1:5">
      <c r="A313" s="117" t="s">
        <v>211</v>
      </c>
      <c r="B313" s="118" t="s">
        <v>607</v>
      </c>
      <c r="D313" s="14"/>
      <c r="E313" s="14"/>
    </row>
    <row r="314" spans="1:5">
      <c r="A314" s="117" t="s">
        <v>257</v>
      </c>
      <c r="B314" s="118" t="s">
        <v>737</v>
      </c>
      <c r="D314" s="14"/>
      <c r="E314" s="14"/>
    </row>
    <row r="315" spans="1:5">
      <c r="A315" s="117" t="s">
        <v>262</v>
      </c>
      <c r="B315" s="118" t="s">
        <v>738</v>
      </c>
      <c r="D315" s="14"/>
      <c r="E315" s="14"/>
    </row>
    <row r="316" spans="1:5">
      <c r="A316" s="117" t="s">
        <v>263</v>
      </c>
      <c r="B316" s="118" t="s">
        <v>687</v>
      </c>
      <c r="D316" s="14"/>
      <c r="E316" s="14"/>
    </row>
    <row r="317" spans="1:5">
      <c r="A317" s="117" t="s">
        <v>264</v>
      </c>
      <c r="B317" s="118" t="s">
        <v>662</v>
      </c>
      <c r="D317" s="14"/>
      <c r="E317" s="14"/>
    </row>
    <row r="318" spans="1:5">
      <c r="A318" s="117" t="s">
        <v>303</v>
      </c>
      <c r="B318" s="118" t="s">
        <v>663</v>
      </c>
      <c r="D318" s="14"/>
      <c r="E318" s="14"/>
    </row>
    <row r="319" spans="1:5">
      <c r="A319" s="117" t="s">
        <v>310</v>
      </c>
      <c r="B319" s="118" t="s">
        <v>660</v>
      </c>
      <c r="D319" s="14"/>
      <c r="E319" s="14"/>
    </row>
    <row r="320" spans="1:5">
      <c r="A320" s="117" t="s">
        <v>114</v>
      </c>
      <c r="B320" s="118" t="s">
        <v>602</v>
      </c>
      <c r="D320" s="14"/>
      <c r="E320" s="14"/>
    </row>
    <row r="321" spans="1:2">
      <c r="A321" s="117" t="s">
        <v>224</v>
      </c>
      <c r="B321" s="118" t="s">
        <v>631</v>
      </c>
    </row>
    <row r="322" spans="1:2">
      <c r="A322" s="117" t="s">
        <v>53</v>
      </c>
      <c r="B322" s="118" t="s">
        <v>608</v>
      </c>
    </row>
    <row r="323" spans="1:2">
      <c r="A323" s="117" t="s">
        <v>221</v>
      </c>
      <c r="B323" s="118" t="s">
        <v>647</v>
      </c>
    </row>
    <row r="324" spans="1:2">
      <c r="A324" s="117" t="s">
        <v>1005</v>
      </c>
      <c r="B324" s="118" t="s">
        <v>647</v>
      </c>
    </row>
    <row r="325" spans="1:2">
      <c r="A325" s="117" t="s">
        <v>269</v>
      </c>
      <c r="B325" s="118" t="s">
        <v>629</v>
      </c>
    </row>
    <row r="326" spans="1:2">
      <c r="A326" s="117" t="s">
        <v>170</v>
      </c>
      <c r="B326" s="118" t="s">
        <v>645</v>
      </c>
    </row>
    <row r="327" spans="1:2">
      <c r="A327" s="117">
        <v>0</v>
      </c>
      <c r="B327" s="118" t="s">
        <v>647</v>
      </c>
    </row>
    <row r="328" spans="1:2">
      <c r="A328" s="117">
        <v>0</v>
      </c>
      <c r="B328" s="118" t="s">
        <v>629</v>
      </c>
    </row>
    <row r="329" spans="1:2">
      <c r="A329" s="117">
        <v>0</v>
      </c>
      <c r="B329" s="118" t="s">
        <v>709</v>
      </c>
    </row>
    <row r="330" spans="1:2">
      <c r="A330" s="117">
        <v>0</v>
      </c>
      <c r="B330" s="118" t="s">
        <v>631</v>
      </c>
    </row>
    <row r="331" spans="1:2">
      <c r="A331" s="117">
        <v>0</v>
      </c>
      <c r="B331" s="118" t="s">
        <v>628</v>
      </c>
    </row>
    <row r="332" spans="1:2">
      <c r="A332" s="117">
        <v>0</v>
      </c>
      <c r="B332" s="118" t="s">
        <v>632</v>
      </c>
    </row>
    <row r="333" spans="1:2">
      <c r="A333" s="117">
        <v>0</v>
      </c>
      <c r="B333" s="118" t="s">
        <v>664</v>
      </c>
    </row>
    <row r="334" spans="1:2">
      <c r="A334" s="117">
        <v>0</v>
      </c>
      <c r="B334" s="118" t="s">
        <v>630</v>
      </c>
    </row>
    <row r="335" spans="1:2">
      <c r="A335" s="117">
        <v>0</v>
      </c>
      <c r="B335" s="118" t="s">
        <v>633</v>
      </c>
    </row>
    <row r="336" spans="1:2">
      <c r="A336" s="117" t="s">
        <v>126</v>
      </c>
      <c r="B336" s="118" t="s">
        <v>622</v>
      </c>
    </row>
    <row r="337" spans="1:2">
      <c r="A337" s="117" t="s">
        <v>234</v>
      </c>
      <c r="B337" s="118" t="s">
        <v>622</v>
      </c>
    </row>
    <row r="338" spans="1:2">
      <c r="A338" s="117" t="s">
        <v>127</v>
      </c>
      <c r="B338" s="118" t="s">
        <v>622</v>
      </c>
    </row>
    <row r="339" spans="1:2">
      <c r="A339" s="117" t="s">
        <v>86</v>
      </c>
      <c r="B339" s="118" t="s">
        <v>626</v>
      </c>
    </row>
    <row r="340" spans="1:2">
      <c r="A340" s="117" t="s">
        <v>217</v>
      </c>
      <c r="B340" s="118" t="s">
        <v>622</v>
      </c>
    </row>
    <row r="341" spans="1:2">
      <c r="A341" s="117" t="s">
        <v>739</v>
      </c>
      <c r="B341" s="118" t="s">
        <v>671</v>
      </c>
    </row>
    <row r="342" spans="1:2">
      <c r="A342" s="117" t="s">
        <v>277</v>
      </c>
      <c r="B342" s="118" t="s">
        <v>625</v>
      </c>
    </row>
    <row r="343" spans="1:2">
      <c r="A343" s="117" t="s">
        <v>174</v>
      </c>
      <c r="B343" s="118" t="s">
        <v>622</v>
      </c>
    </row>
    <row r="344" spans="1:2">
      <c r="A344" s="117" t="s">
        <v>240</v>
      </c>
      <c r="B344" s="118" t="s">
        <v>627</v>
      </c>
    </row>
    <row r="345" spans="1:2">
      <c r="A345" s="117" t="s">
        <v>301</v>
      </c>
      <c r="B345" s="118" t="s">
        <v>626</v>
      </c>
    </row>
    <row r="346" spans="1:2">
      <c r="A346" s="117" t="s">
        <v>226</v>
      </c>
      <c r="B346" s="118" t="s">
        <v>613</v>
      </c>
    </row>
    <row r="347" spans="1:2">
      <c r="A347" s="117" t="s">
        <v>231</v>
      </c>
      <c r="B347" s="118" t="s">
        <v>613</v>
      </c>
    </row>
    <row r="348" spans="1:2">
      <c r="A348" s="117" t="s">
        <v>248</v>
      </c>
      <c r="B348" s="118" t="s">
        <v>637</v>
      </c>
    </row>
    <row r="349" spans="1:2">
      <c r="A349" s="117" t="s">
        <v>277</v>
      </c>
      <c r="B349" s="118" t="s">
        <v>664</v>
      </c>
    </row>
    <row r="350" spans="1:2">
      <c r="A350" s="117" t="s">
        <v>250</v>
      </c>
      <c r="B350" s="118" t="s">
        <v>633</v>
      </c>
    </row>
    <row r="351" spans="1:2">
      <c r="A351" s="117" t="s">
        <v>155</v>
      </c>
      <c r="B351" s="118" t="s">
        <v>633</v>
      </c>
    </row>
    <row r="352" spans="1:2">
      <c r="A352" s="117" t="s">
        <v>187</v>
      </c>
      <c r="B352" s="118" t="s">
        <v>632</v>
      </c>
    </row>
    <row r="353" spans="1:2">
      <c r="A353" s="117" t="s">
        <v>269</v>
      </c>
      <c r="B353" s="118" t="s">
        <v>626</v>
      </c>
    </row>
    <row r="354" spans="1:2">
      <c r="A354" s="117" t="s">
        <v>192</v>
      </c>
      <c r="B354" s="118" t="s">
        <v>658</v>
      </c>
    </row>
    <row r="355" spans="1:2">
      <c r="A355" s="117" t="s">
        <v>119</v>
      </c>
      <c r="B355" s="118" t="s">
        <v>608</v>
      </c>
    </row>
    <row r="356" spans="1:2">
      <c r="A356" s="117" t="s">
        <v>591</v>
      </c>
      <c r="B356" s="118" t="s">
        <v>610</v>
      </c>
    </row>
    <row r="357" spans="1:2">
      <c r="A357" s="117" t="s">
        <v>53</v>
      </c>
      <c r="B357" s="118" t="s">
        <v>709</v>
      </c>
    </row>
    <row r="358" spans="1:2">
      <c r="A358" s="117" t="s">
        <v>104</v>
      </c>
      <c r="B358" s="118" t="s">
        <v>633</v>
      </c>
    </row>
    <row r="359" spans="1:2">
      <c r="A359" s="117" t="s">
        <v>86</v>
      </c>
      <c r="B359" s="118" t="s">
        <v>632</v>
      </c>
    </row>
    <row r="360" spans="1:2">
      <c r="A360" s="117" t="s">
        <v>112</v>
      </c>
      <c r="B360" s="118" t="s">
        <v>631</v>
      </c>
    </row>
    <row r="361" spans="1:2">
      <c r="A361" s="117" t="s">
        <v>130</v>
      </c>
      <c r="B361" s="118" t="s">
        <v>618</v>
      </c>
    </row>
    <row r="362" spans="1:2">
      <c r="A362" s="117" t="s">
        <v>116</v>
      </c>
      <c r="B362" s="118" t="s">
        <v>615</v>
      </c>
    </row>
    <row r="363" spans="1:2">
      <c r="A363" s="117" t="s">
        <v>71</v>
      </c>
      <c r="B363" s="118" t="s">
        <v>627</v>
      </c>
    </row>
    <row r="364" spans="1:2">
      <c r="A364" s="117" t="s">
        <v>199</v>
      </c>
      <c r="B364" s="118" t="s">
        <v>672</v>
      </c>
    </row>
    <row r="365" spans="1:2">
      <c r="A365" s="117" t="s">
        <v>177</v>
      </c>
      <c r="B365" s="118" t="s">
        <v>657</v>
      </c>
    </row>
    <row r="366" spans="1:2">
      <c r="A366" s="117" t="s">
        <v>191</v>
      </c>
      <c r="B366" s="118" t="s">
        <v>680</v>
      </c>
    </row>
    <row r="367" spans="1:2">
      <c r="A367" s="117" t="s">
        <v>63</v>
      </c>
      <c r="B367" s="118" t="s">
        <v>648</v>
      </c>
    </row>
    <row r="368" spans="1:2">
      <c r="A368" s="117" t="s">
        <v>286</v>
      </c>
      <c r="B368" s="118" t="s">
        <v>624</v>
      </c>
    </row>
    <row r="369" spans="1:2">
      <c r="A369" s="117" t="s">
        <v>116</v>
      </c>
      <c r="B369" s="118" t="s">
        <v>637</v>
      </c>
    </row>
    <row r="370" spans="1:2">
      <c r="A370" s="117" t="s">
        <v>164</v>
      </c>
      <c r="B370" s="118" t="s">
        <v>636</v>
      </c>
    </row>
    <row r="371" spans="1:2">
      <c r="A371" s="117" t="s">
        <v>175</v>
      </c>
      <c r="B371" s="118" t="s">
        <v>736</v>
      </c>
    </row>
    <row r="372" spans="1:2">
      <c r="A372" s="117" t="s">
        <v>226</v>
      </c>
      <c r="B372" s="118" t="s">
        <v>643</v>
      </c>
    </row>
    <row r="373" spans="1:2">
      <c r="A373" s="117" t="s">
        <v>241</v>
      </c>
      <c r="B373" s="118" t="s">
        <v>607</v>
      </c>
    </row>
    <row r="374" spans="1:2">
      <c r="A374" s="117" t="s">
        <v>246</v>
      </c>
      <c r="B374" s="118" t="s">
        <v>611</v>
      </c>
    </row>
    <row r="375" spans="1:2">
      <c r="A375" s="117" t="s">
        <v>195</v>
      </c>
      <c r="B375" s="118" t="s">
        <v>625</v>
      </c>
    </row>
    <row r="376" spans="1:2">
      <c r="A376" s="117" t="s">
        <v>1006</v>
      </c>
      <c r="B376" s="118" t="s">
        <v>625</v>
      </c>
    </row>
    <row r="377" spans="1:2">
      <c r="A377" s="117" t="s">
        <v>241</v>
      </c>
      <c r="B377" s="118" t="s">
        <v>633</v>
      </c>
    </row>
    <row r="378" spans="1:2">
      <c r="A378" s="117" t="s">
        <v>164</v>
      </c>
      <c r="B378" s="118" t="s">
        <v>677</v>
      </c>
    </row>
    <row r="379" spans="1:2">
      <c r="A379" s="117" t="s">
        <v>172</v>
      </c>
      <c r="B379" s="118" t="s">
        <v>636</v>
      </c>
    </row>
    <row r="380" spans="1:2">
      <c r="A380" s="117" t="s">
        <v>241</v>
      </c>
      <c r="B380" s="118" t="s">
        <v>658</v>
      </c>
    </row>
    <row r="381" spans="1:2">
      <c r="A381" s="117" t="s">
        <v>259</v>
      </c>
      <c r="B381" s="118" t="s">
        <v>638</v>
      </c>
    </row>
    <row r="382" spans="1:2">
      <c r="A382" s="117" t="s">
        <v>155</v>
      </c>
      <c r="B382" s="118" t="s">
        <v>689</v>
      </c>
    </row>
    <row r="383" spans="1:2">
      <c r="A383" s="117" t="s">
        <v>161</v>
      </c>
      <c r="B383" s="118" t="s">
        <v>623</v>
      </c>
    </row>
    <row r="384" spans="1:2">
      <c r="A384" s="117" t="s">
        <v>251</v>
      </c>
      <c r="B384" s="118" t="s">
        <v>633</v>
      </c>
    </row>
    <row r="385" spans="1:2">
      <c r="A385" s="117" t="s">
        <v>159</v>
      </c>
      <c r="B385" s="118" t="s">
        <v>622</v>
      </c>
    </row>
    <row r="386" spans="1:2">
      <c r="A386" s="117" t="s">
        <v>162</v>
      </c>
      <c r="B386" s="118" t="s">
        <v>661</v>
      </c>
    </row>
    <row r="387" spans="1:2">
      <c r="A387" s="117" t="s">
        <v>83</v>
      </c>
      <c r="B387" s="118" t="s">
        <v>629</v>
      </c>
    </row>
    <row r="388" spans="1:2">
      <c r="A388" s="117" t="s">
        <v>134</v>
      </c>
      <c r="B388" s="118" t="s">
        <v>645</v>
      </c>
    </row>
    <row r="389" spans="1:2">
      <c r="A389" s="117" t="s">
        <v>270</v>
      </c>
      <c r="B389" s="118" t="s">
        <v>671</v>
      </c>
    </row>
    <row r="390" spans="1:2">
      <c r="A390" s="117" t="s">
        <v>148</v>
      </c>
      <c r="B390" s="118" t="s">
        <v>652</v>
      </c>
    </row>
    <row r="391" spans="1:2">
      <c r="A391" s="117" t="s">
        <v>61</v>
      </c>
      <c r="B391" s="118" t="s">
        <v>635</v>
      </c>
    </row>
    <row r="392" spans="1:2">
      <c r="A392" s="117" t="s">
        <v>121</v>
      </c>
      <c r="B392" s="118" t="s">
        <v>619</v>
      </c>
    </row>
    <row r="393" spans="1:2">
      <c r="A393" s="117" t="s">
        <v>128</v>
      </c>
      <c r="B393" s="118" t="s">
        <v>644</v>
      </c>
    </row>
    <row r="394" spans="1:2">
      <c r="A394" s="117" t="s">
        <v>191</v>
      </c>
      <c r="B394" s="118" t="s">
        <v>658</v>
      </c>
    </row>
    <row r="395" spans="1:2">
      <c r="A395" s="117" t="s">
        <v>86</v>
      </c>
      <c r="B395" s="118" t="s">
        <v>618</v>
      </c>
    </row>
    <row r="396" spans="1:2">
      <c r="A396" s="117" t="s">
        <v>273</v>
      </c>
      <c r="B396" s="118" t="s">
        <v>645</v>
      </c>
    </row>
    <row r="397" spans="1:2">
      <c r="A397" s="117" t="s">
        <v>208</v>
      </c>
      <c r="B397" s="118" t="s">
        <v>624</v>
      </c>
    </row>
    <row r="398" spans="1:2">
      <c r="A398" s="117" t="s">
        <v>223</v>
      </c>
      <c r="B398" s="118" t="s">
        <v>665</v>
      </c>
    </row>
    <row r="399" spans="1:2">
      <c r="A399" s="117" t="s">
        <v>222</v>
      </c>
      <c r="B399" s="118" t="s">
        <v>618</v>
      </c>
    </row>
    <row r="400" spans="1:2">
      <c r="A400" s="117" t="s">
        <v>63</v>
      </c>
      <c r="B400" s="118" t="s">
        <v>605</v>
      </c>
    </row>
    <row r="401" spans="1:2">
      <c r="A401" s="117" t="s">
        <v>129</v>
      </c>
      <c r="B401" s="118" t="s">
        <v>604</v>
      </c>
    </row>
    <row r="402" spans="1:2">
      <c r="A402" s="117" t="s">
        <v>91</v>
      </c>
      <c r="B402" s="118" t="s">
        <v>616</v>
      </c>
    </row>
    <row r="403" spans="1:2">
      <c r="A403" s="117" t="s">
        <v>115</v>
      </c>
      <c r="B403" s="118" t="s">
        <v>641</v>
      </c>
    </row>
    <row r="404" spans="1:2">
      <c r="A404" s="117" t="s">
        <v>63</v>
      </c>
      <c r="B404" s="118" t="s">
        <v>647</v>
      </c>
    </row>
    <row r="405" spans="1:2">
      <c r="A405" s="117" t="s">
        <v>199</v>
      </c>
      <c r="B405" s="118" t="s">
        <v>650</v>
      </c>
    </row>
    <row r="406" spans="1:2">
      <c r="A406" s="117" t="s">
        <v>240</v>
      </c>
      <c r="B406" s="118" t="s">
        <v>665</v>
      </c>
    </row>
    <row r="407" spans="1:2">
      <c r="A407" s="117" t="s">
        <v>317</v>
      </c>
      <c r="B407" s="118" t="s">
        <v>645</v>
      </c>
    </row>
    <row r="408" spans="1:2">
      <c r="A408" s="117" t="s">
        <v>314</v>
      </c>
      <c r="B408" s="118" t="s">
        <v>676</v>
      </c>
    </row>
    <row r="409" spans="1:2">
      <c r="A409" s="117" t="s">
        <v>315</v>
      </c>
      <c r="B409" s="118" t="s">
        <v>600</v>
      </c>
    </row>
    <row r="410" spans="1:2">
      <c r="A410" s="117" t="s">
        <v>317</v>
      </c>
      <c r="B410" s="118" t="s">
        <v>655</v>
      </c>
    </row>
    <row r="411" spans="1:2">
      <c r="A411" s="117" t="s">
        <v>316</v>
      </c>
      <c r="B411" s="118" t="s">
        <v>677</v>
      </c>
    </row>
    <row r="412" spans="1:2">
      <c r="A412" s="117" t="s">
        <v>314</v>
      </c>
      <c r="B412" s="118" t="s">
        <v>598</v>
      </c>
    </row>
    <row r="413" spans="1:2">
      <c r="A413" s="117" t="s">
        <v>154</v>
      </c>
      <c r="B413" s="118" t="s">
        <v>633</v>
      </c>
    </row>
    <row r="414" spans="1:2">
      <c r="A414" s="117" t="s">
        <v>55</v>
      </c>
      <c r="B414" s="118" t="s">
        <v>667</v>
      </c>
    </row>
    <row r="415" spans="1:2">
      <c r="A415" s="117" t="s">
        <v>309</v>
      </c>
      <c r="B415" s="118" t="s">
        <v>690</v>
      </c>
    </row>
    <row r="416" spans="1:2">
      <c r="A416" s="117" t="s">
        <v>154</v>
      </c>
      <c r="B416" s="118" t="s">
        <v>665</v>
      </c>
    </row>
    <row r="417" spans="1:2">
      <c r="A417" s="117" t="s">
        <v>101</v>
      </c>
      <c r="B417" s="118" t="s">
        <v>597</v>
      </c>
    </row>
    <row r="418" spans="1:2">
      <c r="A418" s="117" t="s">
        <v>86</v>
      </c>
      <c r="B418" s="118" t="s">
        <v>657</v>
      </c>
    </row>
    <row r="419" spans="1:2">
      <c r="A419" s="117" t="s">
        <v>227</v>
      </c>
      <c r="B419" s="118" t="s">
        <v>645</v>
      </c>
    </row>
    <row r="420" spans="1:2">
      <c r="A420" s="117" t="s">
        <v>168</v>
      </c>
      <c r="B420" s="118" t="s">
        <v>622</v>
      </c>
    </row>
    <row r="421" spans="1:2">
      <c r="A421" s="117" t="s">
        <v>124</v>
      </c>
      <c r="B421" s="118" t="s">
        <v>624</v>
      </c>
    </row>
    <row r="422" spans="1:2">
      <c r="A422" s="117" t="s">
        <v>256</v>
      </c>
      <c r="B422" s="118" t="s">
        <v>629</v>
      </c>
    </row>
    <row r="423" spans="1:2">
      <c r="A423" s="117" t="s">
        <v>168</v>
      </c>
      <c r="B423" s="118" t="s">
        <v>625</v>
      </c>
    </row>
    <row r="424" spans="1:2">
      <c r="A424" s="117" t="s">
        <v>175</v>
      </c>
      <c r="B424" s="118" t="s">
        <v>629</v>
      </c>
    </row>
    <row r="425" spans="1:2">
      <c r="A425" s="117" t="s">
        <v>252</v>
      </c>
      <c r="B425" s="118" t="s">
        <v>619</v>
      </c>
    </row>
    <row r="426" spans="1:2">
      <c r="A426" s="117" t="s">
        <v>72</v>
      </c>
      <c r="B426" s="118" t="s">
        <v>664</v>
      </c>
    </row>
    <row r="427" spans="1:2">
      <c r="A427" s="117" t="s">
        <v>76</v>
      </c>
      <c r="B427" s="118" t="s">
        <v>632</v>
      </c>
    </row>
    <row r="428" spans="1:2">
      <c r="A428" s="117" t="s">
        <v>100</v>
      </c>
      <c r="B428" s="118" t="s">
        <v>631</v>
      </c>
    </row>
    <row r="429" spans="1:2">
      <c r="A429" s="117" t="s">
        <v>97</v>
      </c>
      <c r="B429" s="118" t="s">
        <v>632</v>
      </c>
    </row>
    <row r="430" spans="1:2">
      <c r="A430" s="117" t="s">
        <v>172</v>
      </c>
      <c r="B430" s="118" t="s">
        <v>622</v>
      </c>
    </row>
    <row r="431" spans="1:2">
      <c r="A431" s="117" t="s">
        <v>271</v>
      </c>
      <c r="B431" s="118" t="s">
        <v>622</v>
      </c>
    </row>
    <row r="432" spans="1:2">
      <c r="A432" s="117" t="s">
        <v>83</v>
      </c>
      <c r="B432" s="118" t="s">
        <v>626</v>
      </c>
    </row>
    <row r="433" spans="1:2">
      <c r="A433" s="117" t="s">
        <v>84</v>
      </c>
      <c r="B433" s="118" t="s">
        <v>632</v>
      </c>
    </row>
    <row r="434" spans="1:2">
      <c r="A434" s="117" t="s">
        <v>251</v>
      </c>
      <c r="B434" s="118" t="s">
        <v>656</v>
      </c>
    </row>
    <row r="435" spans="1:2">
      <c r="A435" s="117" t="s">
        <v>55</v>
      </c>
      <c r="B435" s="118" t="s">
        <v>626</v>
      </c>
    </row>
    <row r="436" spans="1:2">
      <c r="A436" s="117" t="s">
        <v>254</v>
      </c>
      <c r="B436" s="118" t="s">
        <v>623</v>
      </c>
    </row>
    <row r="437" spans="1:2">
      <c r="A437" s="117" t="s">
        <v>315</v>
      </c>
      <c r="B437" s="118" t="s">
        <v>621</v>
      </c>
    </row>
    <row r="438" spans="1:2">
      <c r="A438" s="117" t="s">
        <v>226</v>
      </c>
      <c r="B438" s="118" t="s">
        <v>625</v>
      </c>
    </row>
    <row r="439" spans="1:2">
      <c r="A439" s="117" t="s">
        <v>740</v>
      </c>
      <c r="B439" s="118" t="s">
        <v>621</v>
      </c>
    </row>
    <row r="440" spans="1:2">
      <c r="A440" s="117" t="s">
        <v>71</v>
      </c>
      <c r="B440" s="118" t="s">
        <v>694</v>
      </c>
    </row>
    <row r="441" spans="1:2">
      <c r="A441" s="117" t="s">
        <v>300</v>
      </c>
      <c r="B441" s="118" t="s">
        <v>626</v>
      </c>
    </row>
    <row r="442" spans="1:2">
      <c r="A442" s="117" t="s">
        <v>53</v>
      </c>
      <c r="B442" s="118" t="s">
        <v>668</v>
      </c>
    </row>
    <row r="443" spans="1:2">
      <c r="A443" s="117" t="s">
        <v>109</v>
      </c>
      <c r="B443" s="118" t="s">
        <v>620</v>
      </c>
    </row>
    <row r="444" spans="1:2">
      <c r="A444" s="117" t="s">
        <v>51</v>
      </c>
      <c r="B444" s="118" t="s">
        <v>633</v>
      </c>
    </row>
    <row r="445" spans="1:2">
      <c r="A445" s="117" t="s">
        <v>741</v>
      </c>
      <c r="B445" s="118" t="s">
        <v>656</v>
      </c>
    </row>
    <row r="446" spans="1:2">
      <c r="A446" s="117" t="s">
        <v>742</v>
      </c>
      <c r="B446" s="118" t="s">
        <v>604</v>
      </c>
    </row>
    <row r="447" spans="1:2">
      <c r="A447" s="117" t="s">
        <v>251</v>
      </c>
      <c r="B447" s="118" t="s">
        <v>743</v>
      </c>
    </row>
    <row r="448" spans="1:2">
      <c r="A448" s="117" t="s">
        <v>74</v>
      </c>
      <c r="B448" s="118" t="s">
        <v>632</v>
      </c>
    </row>
    <row r="449" spans="1:2">
      <c r="A449" s="117" t="s">
        <v>265</v>
      </c>
      <c r="B449" s="118" t="s">
        <v>633</v>
      </c>
    </row>
    <row r="450" spans="1:2">
      <c r="A450" s="117" t="s">
        <v>744</v>
      </c>
      <c r="B450" s="118" t="s">
        <v>623</v>
      </c>
    </row>
    <row r="451" spans="1:2">
      <c r="A451" s="117" t="s">
        <v>168</v>
      </c>
      <c r="B451" s="118" t="s">
        <v>644</v>
      </c>
    </row>
    <row r="452" spans="1:2">
      <c r="A452" s="117" t="s">
        <v>252</v>
      </c>
      <c r="B452" s="118" t="s">
        <v>621</v>
      </c>
    </row>
    <row r="453" spans="1:2">
      <c r="A453" s="117" t="s">
        <v>240</v>
      </c>
      <c r="B453" s="118" t="s">
        <v>633</v>
      </c>
    </row>
    <row r="454" spans="1:2">
      <c r="A454" s="117" t="s">
        <v>189</v>
      </c>
      <c r="B454" s="118" t="s">
        <v>636</v>
      </c>
    </row>
    <row r="455" spans="1:2">
      <c r="A455" s="117" t="s">
        <v>745</v>
      </c>
      <c r="B455" s="118" t="s">
        <v>622</v>
      </c>
    </row>
    <row r="456" spans="1:2">
      <c r="A456" s="117" t="s">
        <v>86</v>
      </c>
      <c r="B456" s="118" t="s">
        <v>636</v>
      </c>
    </row>
    <row r="457" spans="1:2">
      <c r="A457" s="117" t="s">
        <v>746</v>
      </c>
      <c r="B457" s="118" t="s">
        <v>629</v>
      </c>
    </row>
    <row r="458" spans="1:2">
      <c r="A458" s="117" t="s">
        <v>226</v>
      </c>
      <c r="B458" s="118" t="s">
        <v>672</v>
      </c>
    </row>
    <row r="459" spans="1:2">
      <c r="A459" s="117" t="s">
        <v>271</v>
      </c>
      <c r="B459" s="118" t="s">
        <v>645</v>
      </c>
    </row>
    <row r="460" spans="1:2">
      <c r="A460" s="117" t="s">
        <v>86</v>
      </c>
      <c r="B460" s="118" t="s">
        <v>672</v>
      </c>
    </row>
    <row r="461" spans="1:2">
      <c r="A461" s="117" t="s">
        <v>254</v>
      </c>
      <c r="B461" s="118" t="s">
        <v>633</v>
      </c>
    </row>
    <row r="462" spans="1:2">
      <c r="A462" s="117" t="s">
        <v>744</v>
      </c>
      <c r="B462" s="118" t="s">
        <v>627</v>
      </c>
    </row>
    <row r="463" spans="1:2">
      <c r="A463" s="117" t="s">
        <v>97</v>
      </c>
      <c r="B463" s="118" t="s">
        <v>635</v>
      </c>
    </row>
    <row r="464" spans="1:2">
      <c r="A464" s="117" t="s">
        <v>594</v>
      </c>
      <c r="B464" s="118" t="s">
        <v>631</v>
      </c>
    </row>
    <row r="465" spans="1:2">
      <c r="A465" s="117" t="s">
        <v>63</v>
      </c>
      <c r="B465" s="118" t="s">
        <v>627</v>
      </c>
    </row>
    <row r="466" spans="1:2">
      <c r="A466" s="117" t="s">
        <v>199</v>
      </c>
      <c r="B466" s="118" t="s">
        <v>629</v>
      </c>
    </row>
    <row r="467" spans="1:2">
      <c r="A467" s="117" t="s">
        <v>292</v>
      </c>
      <c r="B467" s="118" t="s">
        <v>633</v>
      </c>
    </row>
    <row r="468" spans="1:2">
      <c r="A468" s="117" t="s">
        <v>83</v>
      </c>
      <c r="B468" s="118" t="s">
        <v>615</v>
      </c>
    </row>
    <row r="469" spans="1:2">
      <c r="A469" s="117" t="s">
        <v>166</v>
      </c>
      <c r="B469" s="118" t="s">
        <v>622</v>
      </c>
    </row>
    <row r="470" spans="1:2">
      <c r="A470" s="117" t="s">
        <v>86</v>
      </c>
      <c r="B470" s="118" t="s">
        <v>633</v>
      </c>
    </row>
    <row r="471" spans="1:2">
      <c r="A471" s="117" t="s">
        <v>747</v>
      </c>
      <c r="B471" s="118" t="s">
        <v>627</v>
      </c>
    </row>
    <row r="472" spans="1:2">
      <c r="A472" s="117" t="s">
        <v>748</v>
      </c>
      <c r="B472" s="118" t="s">
        <v>629</v>
      </c>
    </row>
    <row r="473" spans="1:2">
      <c r="A473" s="117" t="s">
        <v>101</v>
      </c>
      <c r="B473" s="118" t="s">
        <v>643</v>
      </c>
    </row>
    <row r="474" spans="1:2">
      <c r="A474" s="117" t="s">
        <v>256</v>
      </c>
      <c r="B474" s="118" t="s">
        <v>615</v>
      </c>
    </row>
    <row r="475" spans="1:2">
      <c r="A475" s="117" t="s">
        <v>749</v>
      </c>
      <c r="B475" s="118" t="s">
        <v>629</v>
      </c>
    </row>
    <row r="476" spans="1:2">
      <c r="A476" s="117" t="s">
        <v>231</v>
      </c>
      <c r="B476" s="118" t="s">
        <v>621</v>
      </c>
    </row>
    <row r="477" spans="1:2">
      <c r="A477" s="117" t="s">
        <v>240</v>
      </c>
      <c r="B477" s="118" t="s">
        <v>626</v>
      </c>
    </row>
    <row r="478" spans="1:2">
      <c r="A478" s="117" t="s">
        <v>57</v>
      </c>
      <c r="B478" s="118" t="s">
        <v>613</v>
      </c>
    </row>
    <row r="479" spans="1:2">
      <c r="A479" s="117" t="s">
        <v>209</v>
      </c>
      <c r="B479" s="118" t="s">
        <v>633</v>
      </c>
    </row>
    <row r="480" spans="1:2">
      <c r="A480" s="117" t="s">
        <v>55</v>
      </c>
      <c r="B480" s="118" t="s">
        <v>618</v>
      </c>
    </row>
    <row r="481" spans="1:2">
      <c r="A481" s="117" t="s">
        <v>66</v>
      </c>
      <c r="B481" s="118" t="s">
        <v>620</v>
      </c>
    </row>
    <row r="482" spans="1:2">
      <c r="A482" s="117" t="s">
        <v>95</v>
      </c>
      <c r="B482" s="118" t="s">
        <v>632</v>
      </c>
    </row>
    <row r="483" spans="1:2">
      <c r="A483" s="117" t="s">
        <v>63</v>
      </c>
      <c r="B483" s="118" t="s">
        <v>709</v>
      </c>
    </row>
    <row r="484" spans="1:2">
      <c r="A484" s="117" t="s">
        <v>66</v>
      </c>
      <c r="B484" s="118" t="s">
        <v>633</v>
      </c>
    </row>
    <row r="485" spans="1:2">
      <c r="A485" s="117" t="s">
        <v>157</v>
      </c>
      <c r="B485" s="118" t="s">
        <v>648</v>
      </c>
    </row>
    <row r="486" spans="1:2">
      <c r="A486" s="117" t="s">
        <v>132</v>
      </c>
      <c r="B486" s="118" t="s">
        <v>618</v>
      </c>
    </row>
    <row r="487" spans="1:2">
      <c r="A487" s="117" t="s">
        <v>215</v>
      </c>
      <c r="B487" s="118" t="s">
        <v>662</v>
      </c>
    </row>
    <row r="488" spans="1:2">
      <c r="A488" s="117" t="s">
        <v>111</v>
      </c>
      <c r="B488" s="118" t="s">
        <v>598</v>
      </c>
    </row>
    <row r="489" spans="1:2">
      <c r="A489" s="117" t="s">
        <v>111</v>
      </c>
      <c r="B489" s="118" t="s">
        <v>619</v>
      </c>
    </row>
    <row r="490" spans="1:2">
      <c r="A490" s="117" t="s">
        <v>693</v>
      </c>
      <c r="B490" s="118" t="s">
        <v>743</v>
      </c>
    </row>
    <row r="491" spans="1:2">
      <c r="A491" s="117" t="s">
        <v>750</v>
      </c>
      <c r="B491" s="118" t="s">
        <v>648</v>
      </c>
    </row>
    <row r="492" spans="1:2">
      <c r="A492" s="117" t="s">
        <v>209</v>
      </c>
      <c r="B492" s="118" t="s">
        <v>629</v>
      </c>
    </row>
    <row r="493" spans="1:2">
      <c r="A493" s="117" t="s">
        <v>307</v>
      </c>
      <c r="B493" s="118" t="s">
        <v>626</v>
      </c>
    </row>
    <row r="494" spans="1:2">
      <c r="A494" s="117" t="s">
        <v>751</v>
      </c>
      <c r="B494" s="118" t="s">
        <v>623</v>
      </c>
    </row>
    <row r="495" spans="1:2">
      <c r="A495" s="117" t="s">
        <v>116</v>
      </c>
      <c r="B495" s="118" t="s">
        <v>620</v>
      </c>
    </row>
    <row r="496" spans="1:2">
      <c r="A496" s="117" t="s">
        <v>145</v>
      </c>
      <c r="B496" s="118" t="s">
        <v>598</v>
      </c>
    </row>
    <row r="497" spans="1:2">
      <c r="A497" s="117" t="s">
        <v>315</v>
      </c>
      <c r="B497" s="118" t="s">
        <v>598</v>
      </c>
    </row>
    <row r="498" spans="1:2">
      <c r="A498" s="117" t="s">
        <v>55</v>
      </c>
      <c r="B498" s="118" t="s">
        <v>600</v>
      </c>
    </row>
    <row r="499" spans="1:2">
      <c r="A499" s="117" t="s">
        <v>213</v>
      </c>
      <c r="B499" s="118" t="s">
        <v>661</v>
      </c>
    </row>
    <row r="500" spans="1:2">
      <c r="A500" s="117" t="s">
        <v>226</v>
      </c>
      <c r="B500" s="118" t="s">
        <v>632</v>
      </c>
    </row>
    <row r="501" spans="1:2">
      <c r="A501" s="117" t="s">
        <v>92</v>
      </c>
      <c r="B501" s="118" t="s">
        <v>632</v>
      </c>
    </row>
    <row r="502" spans="1:2">
      <c r="A502" s="117" t="s">
        <v>248</v>
      </c>
      <c r="B502" s="118" t="s">
        <v>629</v>
      </c>
    </row>
    <row r="503" spans="1:2">
      <c r="A503" s="117" t="s">
        <v>252</v>
      </c>
      <c r="B503" s="118" t="s">
        <v>598</v>
      </c>
    </row>
    <row r="504" spans="1:2">
      <c r="A504" s="117" t="s">
        <v>151</v>
      </c>
      <c r="B504" s="118" t="s">
        <v>633</v>
      </c>
    </row>
    <row r="505" spans="1:2">
      <c r="A505" s="117" t="s">
        <v>248</v>
      </c>
      <c r="B505" s="118" t="s">
        <v>642</v>
      </c>
    </row>
    <row r="506" spans="1:2">
      <c r="A506" s="117" t="s">
        <v>143</v>
      </c>
      <c r="B506" s="118" t="s">
        <v>648</v>
      </c>
    </row>
    <row r="507" spans="1:2">
      <c r="A507" s="117" t="s">
        <v>140</v>
      </c>
      <c r="B507" s="118" t="s">
        <v>618</v>
      </c>
    </row>
    <row r="508" spans="1:2">
      <c r="A508" s="117" t="s">
        <v>214</v>
      </c>
      <c r="B508" s="118" t="s">
        <v>661</v>
      </c>
    </row>
    <row r="509" spans="1:2">
      <c r="A509" s="117" t="s">
        <v>240</v>
      </c>
      <c r="B509" s="118" t="s">
        <v>630</v>
      </c>
    </row>
    <row r="510" spans="1:2">
      <c r="A510" s="117" t="s">
        <v>155</v>
      </c>
      <c r="B510" s="118" t="s">
        <v>625</v>
      </c>
    </row>
    <row r="511" spans="1:2">
      <c r="A511" s="117" t="s">
        <v>312</v>
      </c>
      <c r="B511" s="118" t="s">
        <v>631</v>
      </c>
    </row>
    <row r="512" spans="1:2">
      <c r="A512" s="117" t="s">
        <v>199</v>
      </c>
      <c r="B512" s="118" t="s">
        <v>648</v>
      </c>
    </row>
    <row r="513" spans="1:2">
      <c r="A513" s="117" t="s">
        <v>195</v>
      </c>
      <c r="B513" s="118" t="s">
        <v>630</v>
      </c>
    </row>
    <row r="514" spans="1:2">
      <c r="A514" s="117" t="s">
        <v>205</v>
      </c>
      <c r="B514" s="118" t="s">
        <v>648</v>
      </c>
    </row>
    <row r="515" spans="1:2">
      <c r="A515" s="117" t="s">
        <v>141</v>
      </c>
      <c r="B515" s="118" t="s">
        <v>618</v>
      </c>
    </row>
    <row r="516" spans="1:2">
      <c r="A516" s="117" t="s">
        <v>53</v>
      </c>
      <c r="B516" s="118" t="s">
        <v>612</v>
      </c>
    </row>
    <row r="517" spans="1:2">
      <c r="A517" s="117" t="s">
        <v>131</v>
      </c>
      <c r="B517" s="118" t="s">
        <v>618</v>
      </c>
    </row>
    <row r="518" spans="1:2">
      <c r="A518" s="117" t="s">
        <v>295</v>
      </c>
      <c r="B518" s="118" t="s">
        <v>622</v>
      </c>
    </row>
    <row r="519" spans="1:2">
      <c r="A519" s="117" t="s">
        <v>128</v>
      </c>
      <c r="B519" s="118" t="s">
        <v>672</v>
      </c>
    </row>
    <row r="520" spans="1:2">
      <c r="A520" s="117" t="s">
        <v>53</v>
      </c>
      <c r="B520" s="118" t="s">
        <v>622</v>
      </c>
    </row>
    <row r="521" spans="1:2">
      <c r="A521" s="117" t="s">
        <v>217</v>
      </c>
      <c r="B521" s="118" t="s">
        <v>631</v>
      </c>
    </row>
    <row r="522" spans="1:2">
      <c r="A522" s="117" t="s">
        <v>241</v>
      </c>
      <c r="B522" s="118" t="s">
        <v>604</v>
      </c>
    </row>
    <row r="523" spans="1:2">
      <c r="A523" s="117" t="s">
        <v>249</v>
      </c>
      <c r="B523" s="118" t="s">
        <v>618</v>
      </c>
    </row>
    <row r="524" spans="1:2">
      <c r="A524" s="117" t="s">
        <v>259</v>
      </c>
      <c r="B524" s="118" t="s">
        <v>665</v>
      </c>
    </row>
    <row r="525" spans="1:2">
      <c r="A525" s="117" t="s">
        <v>752</v>
      </c>
      <c r="B525" s="118" t="s">
        <v>612</v>
      </c>
    </row>
    <row r="526" spans="1:2">
      <c r="A526" s="117" t="s">
        <v>298</v>
      </c>
      <c r="B526" s="118" t="s">
        <v>648</v>
      </c>
    </row>
    <row r="527" spans="1:2">
      <c r="A527" s="117" t="s">
        <v>306</v>
      </c>
      <c r="B527" s="118" t="s">
        <v>623</v>
      </c>
    </row>
    <row r="528" spans="1:2">
      <c r="A528" s="117" t="s">
        <v>86</v>
      </c>
      <c r="B528" s="118" t="s">
        <v>620</v>
      </c>
    </row>
    <row r="529" spans="1:2">
      <c r="A529" s="117" t="s">
        <v>269</v>
      </c>
      <c r="B529" s="118" t="s">
        <v>631</v>
      </c>
    </row>
    <row r="530" spans="1:2">
      <c r="A530" s="117" t="s">
        <v>272</v>
      </c>
      <c r="B530" s="118" t="s">
        <v>636</v>
      </c>
    </row>
    <row r="531" spans="1:2">
      <c r="A531" s="117" t="s">
        <v>163</v>
      </c>
      <c r="B531" s="118" t="s">
        <v>619</v>
      </c>
    </row>
    <row r="532" spans="1:2">
      <c r="A532" s="117" t="s">
        <v>753</v>
      </c>
      <c r="B532" s="118" t="s">
        <v>754</v>
      </c>
    </row>
    <row r="533" spans="1:2">
      <c r="A533" s="117" t="s">
        <v>700</v>
      </c>
      <c r="B533" s="118" t="s">
        <v>599</v>
      </c>
    </row>
    <row r="534" spans="1:2">
      <c r="A534" s="117" t="s">
        <v>305</v>
      </c>
      <c r="B534" s="118" t="s">
        <v>626</v>
      </c>
    </row>
    <row r="535" spans="1:2">
      <c r="A535" s="117" t="s">
        <v>151</v>
      </c>
      <c r="B535" s="118" t="s">
        <v>625</v>
      </c>
    </row>
    <row r="536" spans="1:2">
      <c r="A536" s="117" t="s">
        <v>281</v>
      </c>
      <c r="B536" s="118" t="s">
        <v>656</v>
      </c>
    </row>
    <row r="537" spans="1:2">
      <c r="A537" s="117" t="s">
        <v>237</v>
      </c>
      <c r="B537" s="118" t="s">
        <v>641</v>
      </c>
    </row>
    <row r="538" spans="1:2">
      <c r="A538" s="117" t="s">
        <v>282</v>
      </c>
      <c r="B538" s="118" t="s">
        <v>621</v>
      </c>
    </row>
    <row r="539" spans="1:2">
      <c r="A539" s="117" t="s">
        <v>65</v>
      </c>
      <c r="B539" s="118" t="s">
        <v>621</v>
      </c>
    </row>
    <row r="540" spans="1:2">
      <c r="A540" s="117" t="s">
        <v>219</v>
      </c>
      <c r="B540" s="118" t="s">
        <v>628</v>
      </c>
    </row>
    <row r="541" spans="1:2">
      <c r="A541" s="117" t="s">
        <v>205</v>
      </c>
      <c r="B541" s="118" t="s">
        <v>623</v>
      </c>
    </row>
    <row r="542" spans="1:2">
      <c r="A542" s="117" t="s">
        <v>243</v>
      </c>
      <c r="B542" s="118" t="s">
        <v>659</v>
      </c>
    </row>
    <row r="543" spans="1:2">
      <c r="A543" s="117" t="s">
        <v>266</v>
      </c>
      <c r="B543" s="118" t="s">
        <v>619</v>
      </c>
    </row>
    <row r="544" spans="1:2">
      <c r="A544" s="117" t="s">
        <v>71</v>
      </c>
      <c r="B544" s="118" t="s">
        <v>630</v>
      </c>
    </row>
    <row r="545" spans="1:2">
      <c r="A545" s="117" t="s">
        <v>63</v>
      </c>
      <c r="B545" s="118" t="s">
        <v>613</v>
      </c>
    </row>
    <row r="546" spans="1:2">
      <c r="A546" s="117" t="s">
        <v>277</v>
      </c>
      <c r="B546" s="118" t="s">
        <v>626</v>
      </c>
    </row>
    <row r="547" spans="1:2">
      <c r="A547" s="117" t="s">
        <v>146</v>
      </c>
      <c r="B547" s="118" t="s">
        <v>651</v>
      </c>
    </row>
    <row r="548" spans="1:2">
      <c r="A548" s="117" t="s">
        <v>63</v>
      </c>
      <c r="B548" s="118" t="s">
        <v>649</v>
      </c>
    </row>
    <row r="549" spans="1:2">
      <c r="A549" s="117" t="s">
        <v>268</v>
      </c>
      <c r="B549" s="118" t="s">
        <v>665</v>
      </c>
    </row>
    <row r="550" spans="1:2">
      <c r="A550" s="117" t="s">
        <v>58</v>
      </c>
      <c r="B550" s="118" t="s">
        <v>598</v>
      </c>
    </row>
    <row r="551" spans="1:2">
      <c r="A551" s="117" t="s">
        <v>169</v>
      </c>
      <c r="B551" s="118" t="s">
        <v>649</v>
      </c>
    </row>
    <row r="552" spans="1:2">
      <c r="A552" s="117" t="s">
        <v>291</v>
      </c>
      <c r="B552" s="118" t="s">
        <v>609</v>
      </c>
    </row>
    <row r="553" spans="1:2">
      <c r="A553" s="117" t="s">
        <v>196</v>
      </c>
      <c r="B553" s="118" t="s">
        <v>636</v>
      </c>
    </row>
    <row r="554" spans="1:2">
      <c r="A554" s="117" t="s">
        <v>227</v>
      </c>
      <c r="B554" s="118" t="s">
        <v>668</v>
      </c>
    </row>
    <row r="555" spans="1:2">
      <c r="A555" s="117" t="s">
        <v>297</v>
      </c>
      <c r="B555" s="118" t="s">
        <v>674</v>
      </c>
    </row>
    <row r="556" spans="1:2">
      <c r="A556" s="117" t="s">
        <v>142</v>
      </c>
      <c r="B556" s="118" t="s">
        <v>625</v>
      </c>
    </row>
    <row r="557" spans="1:2">
      <c r="A557" s="117" t="s">
        <v>199</v>
      </c>
      <c r="B557" s="118" t="s">
        <v>660</v>
      </c>
    </row>
    <row r="558" spans="1:2">
      <c r="A558" s="117" t="s">
        <v>110</v>
      </c>
      <c r="B558" s="118" t="s">
        <v>639</v>
      </c>
    </row>
    <row r="559" spans="1:2">
      <c r="A559" s="117" t="s">
        <v>173</v>
      </c>
      <c r="B559" s="118" t="s">
        <v>655</v>
      </c>
    </row>
    <row r="560" spans="1:2">
      <c r="A560" s="117" t="s">
        <v>123</v>
      </c>
      <c r="B560" s="118" t="s">
        <v>643</v>
      </c>
    </row>
    <row r="561" spans="1:2">
      <c r="A561" s="117" t="s">
        <v>234</v>
      </c>
      <c r="B561" s="118" t="s">
        <v>627</v>
      </c>
    </row>
    <row r="562" spans="1:2">
      <c r="A562" s="117" t="s">
        <v>110</v>
      </c>
      <c r="B562" s="118" t="s">
        <v>620</v>
      </c>
    </row>
    <row r="563" spans="1:2">
      <c r="A563" s="117" t="s">
        <v>124</v>
      </c>
      <c r="B563" s="118" t="s">
        <v>612</v>
      </c>
    </row>
    <row r="564" spans="1:2">
      <c r="A564" s="117" t="s">
        <v>218</v>
      </c>
      <c r="B564" s="118" t="s">
        <v>648</v>
      </c>
    </row>
    <row r="565" spans="1:2">
      <c r="A565" s="117" t="s">
        <v>232</v>
      </c>
      <c r="B565" s="118" t="s">
        <v>664</v>
      </c>
    </row>
    <row r="566" spans="1:2">
      <c r="A566" s="117" t="s">
        <v>290</v>
      </c>
      <c r="B566" s="118" t="s">
        <v>631</v>
      </c>
    </row>
    <row r="567" spans="1:2">
      <c r="A567" s="117" t="s">
        <v>230</v>
      </c>
      <c r="B567" s="118" t="s">
        <v>755</v>
      </c>
    </row>
    <row r="568" spans="1:2">
      <c r="A568" s="117" t="s">
        <v>240</v>
      </c>
      <c r="B568" s="118" t="s">
        <v>622</v>
      </c>
    </row>
    <row r="569" spans="1:2">
      <c r="A569" s="117" t="s">
        <v>254</v>
      </c>
      <c r="B569" s="118" t="s">
        <v>629</v>
      </c>
    </row>
    <row r="570" spans="1:2">
      <c r="A570" s="117" t="s">
        <v>236</v>
      </c>
      <c r="B570" s="118" t="s">
        <v>627</v>
      </c>
    </row>
    <row r="571" spans="1:2">
      <c r="A571" s="117" t="s">
        <v>214</v>
      </c>
      <c r="B571" s="118" t="s">
        <v>633</v>
      </c>
    </row>
    <row r="572" spans="1:2">
      <c r="A572" s="117" t="s">
        <v>192</v>
      </c>
      <c r="B572" s="118" t="s">
        <v>619</v>
      </c>
    </row>
    <row r="573" spans="1:2">
      <c r="A573" s="117" t="s">
        <v>210</v>
      </c>
      <c r="B573" s="118" t="s">
        <v>661</v>
      </c>
    </row>
    <row r="574" spans="1:2">
      <c r="A574" s="117" t="s">
        <v>154</v>
      </c>
      <c r="B574" s="118" t="s">
        <v>625</v>
      </c>
    </row>
    <row r="575" spans="1:2">
      <c r="A575" s="117" t="s">
        <v>112</v>
      </c>
      <c r="B575" s="118" t="s">
        <v>640</v>
      </c>
    </row>
    <row r="576" spans="1:2">
      <c r="A576" s="117" t="s">
        <v>225</v>
      </c>
      <c r="B576" s="118" t="s">
        <v>666</v>
      </c>
    </row>
    <row r="577" spans="1:2">
      <c r="A577" s="117" t="s">
        <v>255</v>
      </c>
      <c r="B577" s="118" t="s">
        <v>670</v>
      </c>
    </row>
    <row r="578" spans="1:2">
      <c r="A578" s="117" t="s">
        <v>287</v>
      </c>
      <c r="B578" s="118" t="s">
        <v>673</v>
      </c>
    </row>
    <row r="579" spans="1:2">
      <c r="A579" s="117" t="s">
        <v>230</v>
      </c>
      <c r="B579" s="118" t="s">
        <v>623</v>
      </c>
    </row>
    <row r="580" spans="1:2">
      <c r="A580" s="117" t="s">
        <v>139</v>
      </c>
      <c r="B580" s="118" t="s">
        <v>687</v>
      </c>
    </row>
    <row r="581" spans="1:2">
      <c r="A581" s="117" t="s">
        <v>200</v>
      </c>
      <c r="B581" s="118" t="s">
        <v>659</v>
      </c>
    </row>
    <row r="582" spans="1:2">
      <c r="A582" s="117" t="s">
        <v>102</v>
      </c>
      <c r="B582" s="118" t="s">
        <v>632</v>
      </c>
    </row>
    <row r="583" spans="1:2">
      <c r="A583" s="117" t="s">
        <v>216</v>
      </c>
      <c r="B583" s="118" t="s">
        <v>612</v>
      </c>
    </row>
    <row r="584" spans="1:2">
      <c r="A584" s="117" t="s">
        <v>83</v>
      </c>
      <c r="B584" s="118" t="s">
        <v>619</v>
      </c>
    </row>
    <row r="585" spans="1:2">
      <c r="A585" s="117" t="s">
        <v>120</v>
      </c>
      <c r="B585" s="118" t="s">
        <v>618</v>
      </c>
    </row>
    <row r="586" spans="1:2">
      <c r="A586" s="117" t="s">
        <v>591</v>
      </c>
      <c r="B586" s="118" t="s">
        <v>709</v>
      </c>
    </row>
    <row r="587" spans="1:2">
      <c r="A587" s="117" t="s">
        <v>283</v>
      </c>
      <c r="B587" s="118" t="s">
        <v>621</v>
      </c>
    </row>
    <row r="588" spans="1:2">
      <c r="A588" s="117" t="s">
        <v>245</v>
      </c>
      <c r="B588" s="118" t="s">
        <v>627</v>
      </c>
    </row>
    <row r="589" spans="1:2">
      <c r="A589" s="117" t="s">
        <v>280</v>
      </c>
      <c r="B589" s="118" t="s">
        <v>621</v>
      </c>
    </row>
    <row r="590" spans="1:2">
      <c r="A590" s="117" t="s">
        <v>259</v>
      </c>
      <c r="B590" s="118" t="s">
        <v>629</v>
      </c>
    </row>
    <row r="591" spans="1:2">
      <c r="A591" s="117" t="s">
        <v>696</v>
      </c>
      <c r="B591" s="118" t="s">
        <v>630</v>
      </c>
    </row>
    <row r="592" spans="1:2">
      <c r="A592" s="117" t="s">
        <v>233</v>
      </c>
      <c r="B592" s="118" t="s">
        <v>621</v>
      </c>
    </row>
    <row r="593" spans="1:2">
      <c r="A593" s="117" t="s">
        <v>55</v>
      </c>
      <c r="B593" s="118" t="s">
        <v>617</v>
      </c>
    </row>
    <row r="594" spans="1:2">
      <c r="A594" s="117" t="s">
        <v>60</v>
      </c>
      <c r="B594" s="118" t="s">
        <v>743</v>
      </c>
    </row>
    <row r="595" spans="1:2">
      <c r="A595" s="117" t="s">
        <v>712</v>
      </c>
      <c r="B595" s="118" t="s">
        <v>629</v>
      </c>
    </row>
    <row r="596" spans="1:2">
      <c r="A596" s="117" t="s">
        <v>683</v>
      </c>
      <c r="B596" s="118" t="s">
        <v>613</v>
      </c>
    </row>
    <row r="597" spans="1:2">
      <c r="A597" s="117" t="s">
        <v>756</v>
      </c>
      <c r="B597" s="118" t="s">
        <v>743</v>
      </c>
    </row>
    <row r="598" spans="1:2">
      <c r="A598" s="117" t="s">
        <v>60</v>
      </c>
      <c r="B598" s="118" t="s">
        <v>631</v>
      </c>
    </row>
    <row r="599" spans="1:2">
      <c r="A599" s="117" t="s">
        <v>91</v>
      </c>
      <c r="B599" s="118" t="s">
        <v>629</v>
      </c>
    </row>
    <row r="600" spans="1:2">
      <c r="A600" s="117" t="s">
        <v>307</v>
      </c>
      <c r="B600" s="118" t="s">
        <v>661</v>
      </c>
    </row>
    <row r="601" spans="1:2">
      <c r="A601" s="117" t="s">
        <v>123</v>
      </c>
      <c r="B601" s="118" t="s">
        <v>662</v>
      </c>
    </row>
    <row r="602" spans="1:2">
      <c r="A602" s="117" t="s">
        <v>288</v>
      </c>
      <c r="B602" s="118" t="s">
        <v>612</v>
      </c>
    </row>
    <row r="603" spans="1:2">
      <c r="A603" s="117" t="s">
        <v>149</v>
      </c>
      <c r="B603" s="118" t="s">
        <v>638</v>
      </c>
    </row>
    <row r="604" spans="1:2">
      <c r="A604" s="117" t="s">
        <v>203</v>
      </c>
      <c r="B604" s="118" t="s">
        <v>670</v>
      </c>
    </row>
    <row r="605" spans="1:2">
      <c r="A605" s="117" t="s">
        <v>241</v>
      </c>
      <c r="B605" s="118" t="s">
        <v>630</v>
      </c>
    </row>
    <row r="606" spans="1:2">
      <c r="A606" s="117" t="s">
        <v>258</v>
      </c>
      <c r="B606" s="118" t="s">
        <v>629</v>
      </c>
    </row>
    <row r="607" spans="1:2">
      <c r="A607" s="117" t="s">
        <v>247</v>
      </c>
      <c r="B607" s="118" t="s">
        <v>629</v>
      </c>
    </row>
    <row r="608" spans="1:2">
      <c r="A608" s="117" t="s">
        <v>108</v>
      </c>
      <c r="B608" s="118" t="s">
        <v>620</v>
      </c>
    </row>
    <row r="609" spans="1:2">
      <c r="A609" s="117" t="s">
        <v>239</v>
      </c>
      <c r="B609" s="118" t="s">
        <v>627</v>
      </c>
    </row>
    <row r="610" spans="1:2">
      <c r="A610" s="117" t="s">
        <v>118</v>
      </c>
      <c r="B610" s="118" t="s">
        <v>620</v>
      </c>
    </row>
    <row r="611" spans="1:2">
      <c r="A611" s="117" t="s">
        <v>254</v>
      </c>
      <c r="B611" s="118" t="s">
        <v>670</v>
      </c>
    </row>
    <row r="612" spans="1:2">
      <c r="A612" s="117" t="s">
        <v>150</v>
      </c>
      <c r="B612" s="118" t="s">
        <v>625</v>
      </c>
    </row>
    <row r="613" spans="1:2">
      <c r="A613" s="117" t="s">
        <v>106</v>
      </c>
      <c r="B613" s="118" t="s">
        <v>598</v>
      </c>
    </row>
    <row r="614" spans="1:2">
      <c r="A614" s="117" t="s">
        <v>137</v>
      </c>
      <c r="B614" s="118" t="s">
        <v>618</v>
      </c>
    </row>
    <row r="615" spans="1:2">
      <c r="A615" s="117" t="s">
        <v>212</v>
      </c>
      <c r="B615" s="118" t="s">
        <v>661</v>
      </c>
    </row>
    <row r="616" spans="1:2">
      <c r="A616" s="117" t="s">
        <v>101</v>
      </c>
      <c r="B616" s="118" t="s">
        <v>626</v>
      </c>
    </row>
    <row r="617" spans="1:2">
      <c r="A617" s="117" t="s">
        <v>719</v>
      </c>
      <c r="B617" s="118" t="s">
        <v>661</v>
      </c>
    </row>
    <row r="618" spans="1:2">
      <c r="A618" s="117" t="s">
        <v>757</v>
      </c>
      <c r="B618" s="118" t="s">
        <v>633</v>
      </c>
    </row>
    <row r="619" spans="1:2">
      <c r="A619" s="117" t="s">
        <v>757</v>
      </c>
      <c r="B619" s="118" t="s">
        <v>614</v>
      </c>
    </row>
    <row r="620" spans="1:2">
      <c r="A620" s="117" t="s">
        <v>95</v>
      </c>
      <c r="B620" s="118" t="s">
        <v>620</v>
      </c>
    </row>
    <row r="621" spans="1:2">
      <c r="A621" s="117" t="s">
        <v>758</v>
      </c>
      <c r="B621" s="118" t="s">
        <v>620</v>
      </c>
    </row>
    <row r="622" spans="1:2">
      <c r="A622" s="117" t="s">
        <v>759</v>
      </c>
      <c r="B622" s="118" t="s">
        <v>624</v>
      </c>
    </row>
    <row r="623" spans="1:2">
      <c r="A623" s="117" t="s">
        <v>760</v>
      </c>
      <c r="B623" s="118" t="s">
        <v>629</v>
      </c>
    </row>
    <row r="624" spans="1:2">
      <c r="A624" s="117" t="s">
        <v>717</v>
      </c>
      <c r="B624" s="118" t="s">
        <v>625</v>
      </c>
    </row>
    <row r="625" spans="1:2">
      <c r="A625" s="117" t="s">
        <v>761</v>
      </c>
      <c r="B625" s="118" t="s">
        <v>625</v>
      </c>
    </row>
    <row r="626" spans="1:2">
      <c r="A626" s="117" t="s">
        <v>762</v>
      </c>
      <c r="B626" s="118" t="s">
        <v>632</v>
      </c>
    </row>
    <row r="627" spans="1:2">
      <c r="A627" s="117" t="s">
        <v>763</v>
      </c>
      <c r="B627" s="118" t="s">
        <v>624</v>
      </c>
    </row>
    <row r="628" spans="1:2">
      <c r="A628" s="117" t="s">
        <v>764</v>
      </c>
      <c r="B628" s="118" t="s">
        <v>624</v>
      </c>
    </row>
    <row r="629" spans="1:2">
      <c r="A629" s="117" t="s">
        <v>83</v>
      </c>
      <c r="B629" s="118" t="s">
        <v>664</v>
      </c>
    </row>
    <row r="630" spans="1:2">
      <c r="A630" s="117" t="s">
        <v>174</v>
      </c>
      <c r="B630" s="118" t="s">
        <v>765</v>
      </c>
    </row>
    <row r="631" spans="1:2">
      <c r="A631" s="117" t="s">
        <v>766</v>
      </c>
      <c r="B631" s="118" t="s">
        <v>648</v>
      </c>
    </row>
    <row r="632" spans="1:2">
      <c r="A632" s="117" t="s">
        <v>256</v>
      </c>
      <c r="B632" s="118" t="s">
        <v>627</v>
      </c>
    </row>
    <row r="633" spans="1:2">
      <c r="A633" s="117" t="s">
        <v>55</v>
      </c>
      <c r="B633" s="118" t="s">
        <v>646</v>
      </c>
    </row>
    <row r="634" spans="1:2">
      <c r="A634" s="117" t="s">
        <v>245</v>
      </c>
      <c r="B634" s="118" t="s">
        <v>550</v>
      </c>
    </row>
    <row r="635" spans="1:2">
      <c r="A635" s="117" t="s">
        <v>767</v>
      </c>
      <c r="B635" s="118" t="s">
        <v>618</v>
      </c>
    </row>
    <row r="636" spans="1:2">
      <c r="A636" s="117" t="s">
        <v>768</v>
      </c>
      <c r="B636" s="118" t="s">
        <v>625</v>
      </c>
    </row>
    <row r="637" spans="1:2">
      <c r="A637" s="117" t="s">
        <v>243</v>
      </c>
      <c r="B637" s="118" t="s">
        <v>633</v>
      </c>
    </row>
    <row r="638" spans="1:2">
      <c r="A638" s="117" t="s">
        <v>256</v>
      </c>
      <c r="B638" s="118" t="s">
        <v>709</v>
      </c>
    </row>
    <row r="639" spans="1:2">
      <c r="A639" s="117" t="s">
        <v>86</v>
      </c>
      <c r="B639" s="118" t="s">
        <v>664</v>
      </c>
    </row>
    <row r="640" spans="1:2">
      <c r="A640" s="117" t="s">
        <v>195</v>
      </c>
      <c r="B640" s="118" t="s">
        <v>633</v>
      </c>
    </row>
    <row r="641" spans="1:2">
      <c r="A641" s="117" t="s">
        <v>145</v>
      </c>
      <c r="B641" s="118" t="s">
        <v>650</v>
      </c>
    </row>
    <row r="642" spans="1:2">
      <c r="A642" s="117" t="s">
        <v>193</v>
      </c>
      <c r="B642" s="118" t="s">
        <v>611</v>
      </c>
    </row>
    <row r="643" spans="1:2">
      <c r="A643" s="117" t="s">
        <v>153</v>
      </c>
      <c r="B643" s="118" t="s">
        <v>654</v>
      </c>
    </row>
    <row r="644" spans="1:2">
      <c r="A644" s="117" t="s">
        <v>769</v>
      </c>
      <c r="B644" s="118" t="s">
        <v>620</v>
      </c>
    </row>
    <row r="645" spans="1:2">
      <c r="A645" s="117" t="s">
        <v>770</v>
      </c>
      <c r="B645" s="118" t="s">
        <v>623</v>
      </c>
    </row>
    <row r="646" spans="1:2">
      <c r="A646" s="117" t="s">
        <v>771</v>
      </c>
      <c r="B646" s="118" t="s">
        <v>661</v>
      </c>
    </row>
    <row r="647" spans="1:2">
      <c r="A647" s="117" t="s">
        <v>772</v>
      </c>
      <c r="B647" s="118" t="s">
        <v>661</v>
      </c>
    </row>
    <row r="648" spans="1:2">
      <c r="A648" s="117" t="s">
        <v>249</v>
      </c>
      <c r="B648" s="118" t="s">
        <v>633</v>
      </c>
    </row>
    <row r="649" spans="1:2">
      <c r="A649" s="117" t="s">
        <v>184</v>
      </c>
      <c r="B649" s="118" t="s">
        <v>619</v>
      </c>
    </row>
    <row r="650" spans="1:2">
      <c r="A650" s="117" t="s">
        <v>147</v>
      </c>
      <c r="B650" s="118" t="s">
        <v>648</v>
      </c>
    </row>
    <row r="651" spans="1:2">
      <c r="A651" s="117" t="s">
        <v>91</v>
      </c>
      <c r="B651" s="118" t="s">
        <v>619</v>
      </c>
    </row>
    <row r="652" spans="1:2">
      <c r="A652" s="117" t="s">
        <v>246</v>
      </c>
      <c r="B652" s="118" t="s">
        <v>613</v>
      </c>
    </row>
    <row r="653" spans="1:2">
      <c r="A653" s="117" t="s">
        <v>224</v>
      </c>
      <c r="B653" s="118" t="s">
        <v>625</v>
      </c>
    </row>
    <row r="654" spans="1:2">
      <c r="A654" s="117" t="s">
        <v>276</v>
      </c>
      <c r="B654" s="118" t="s">
        <v>644</v>
      </c>
    </row>
    <row r="655" spans="1:2">
      <c r="A655" s="117" t="s">
        <v>239</v>
      </c>
      <c r="B655" s="118" t="s">
        <v>630</v>
      </c>
    </row>
    <row r="656" spans="1:2">
      <c r="A656" s="117" t="s">
        <v>773</v>
      </c>
      <c r="B656" s="118" t="s">
        <v>625</v>
      </c>
    </row>
    <row r="657" spans="1:2">
      <c r="A657" s="117" t="s">
        <v>231</v>
      </c>
      <c r="B657" s="118" t="s">
        <v>627</v>
      </c>
    </row>
    <row r="658" spans="1:2">
      <c r="A658" s="117" t="s">
        <v>722</v>
      </c>
      <c r="B658" s="118" t="s">
        <v>599</v>
      </c>
    </row>
    <row r="659" spans="1:2">
      <c r="A659" s="117" t="s">
        <v>78</v>
      </c>
      <c r="B659" s="118" t="s">
        <v>623</v>
      </c>
    </row>
    <row r="660" spans="1:2">
      <c r="A660" s="117" t="s">
        <v>199</v>
      </c>
      <c r="B660" s="118" t="s">
        <v>619</v>
      </c>
    </row>
    <row r="661" spans="1:2">
      <c r="A661" s="117" t="s">
        <v>178</v>
      </c>
      <c r="B661" s="118" t="s">
        <v>672</v>
      </c>
    </row>
    <row r="662" spans="1:2">
      <c r="A662" s="117" t="s">
        <v>217</v>
      </c>
      <c r="B662" s="118" t="s">
        <v>667</v>
      </c>
    </row>
    <row r="663" spans="1:2">
      <c r="A663" s="117" t="s">
        <v>226</v>
      </c>
      <c r="B663" s="118" t="s">
        <v>669</v>
      </c>
    </row>
    <row r="664" spans="1:2">
      <c r="A664" s="117" t="s">
        <v>265</v>
      </c>
      <c r="B664" s="118" t="s">
        <v>665</v>
      </c>
    </row>
    <row r="665" spans="1:2">
      <c r="A665" s="117" t="s">
        <v>271</v>
      </c>
      <c r="B665" s="118" t="s">
        <v>709</v>
      </c>
    </row>
    <row r="666" spans="1:2">
      <c r="A666" s="117" t="s">
        <v>110</v>
      </c>
      <c r="B666" s="118" t="s">
        <v>694</v>
      </c>
    </row>
    <row r="667" spans="1:2">
      <c r="A667" s="117" t="s">
        <v>89</v>
      </c>
      <c r="B667" s="118" t="s">
        <v>636</v>
      </c>
    </row>
    <row r="668" spans="1:2">
      <c r="A668" s="117" t="s">
        <v>110</v>
      </c>
      <c r="B668" s="118" t="s">
        <v>600</v>
      </c>
    </row>
    <row r="669" spans="1:2">
      <c r="A669" s="117" t="s">
        <v>119</v>
      </c>
      <c r="B669" s="118" t="s">
        <v>656</v>
      </c>
    </row>
    <row r="670" spans="1:2">
      <c r="A670" s="117" t="s">
        <v>125</v>
      </c>
      <c r="B670" s="118" t="s">
        <v>633</v>
      </c>
    </row>
    <row r="671" spans="1:2">
      <c r="A671" s="117" t="s">
        <v>774</v>
      </c>
      <c r="B671" s="118" t="s">
        <v>613</v>
      </c>
    </row>
    <row r="672" spans="1:2">
      <c r="A672" s="117" t="s">
        <v>260</v>
      </c>
      <c r="B672" s="118" t="s">
        <v>627</v>
      </c>
    </row>
    <row r="673" spans="1:2">
      <c r="A673" s="117" t="s">
        <v>161</v>
      </c>
      <c r="B673" s="118" t="s">
        <v>672</v>
      </c>
    </row>
    <row r="674" spans="1:2">
      <c r="A674" s="117" t="s">
        <v>160</v>
      </c>
      <c r="B674" s="118" t="s">
        <v>694</v>
      </c>
    </row>
    <row r="675" spans="1:2">
      <c r="A675" s="117" t="s">
        <v>228</v>
      </c>
      <c r="B675" s="118" t="s">
        <v>631</v>
      </c>
    </row>
    <row r="676" spans="1:2">
      <c r="A676" s="117" t="s">
        <v>231</v>
      </c>
      <c r="B676" s="118" t="s">
        <v>632</v>
      </c>
    </row>
    <row r="677" spans="1:2">
      <c r="A677" s="117" t="s">
        <v>107</v>
      </c>
      <c r="B677" s="118" t="s">
        <v>618</v>
      </c>
    </row>
    <row r="678" spans="1:2">
      <c r="A678" s="117" t="s">
        <v>115</v>
      </c>
      <c r="B678" s="118" t="s">
        <v>627</v>
      </c>
    </row>
    <row r="679" spans="1:2">
      <c r="A679" s="117" t="s">
        <v>116</v>
      </c>
      <c r="B679" s="118" t="s">
        <v>669</v>
      </c>
    </row>
    <row r="680" spans="1:2">
      <c r="A680" s="117" t="s">
        <v>117</v>
      </c>
      <c r="B680" s="118" t="s">
        <v>621</v>
      </c>
    </row>
    <row r="681" spans="1:2">
      <c r="A681" s="117" t="s">
        <v>97</v>
      </c>
      <c r="B681" s="118" t="s">
        <v>608</v>
      </c>
    </row>
    <row r="682" spans="1:2">
      <c r="A682" s="117" t="s">
        <v>101</v>
      </c>
      <c r="B682" s="118" t="s">
        <v>610</v>
      </c>
    </row>
    <row r="683" spans="1:2">
      <c r="A683" s="117" t="s">
        <v>271</v>
      </c>
      <c r="B683" s="118" t="s">
        <v>669</v>
      </c>
    </row>
    <row r="684" spans="1:2">
      <c r="A684" s="117" t="s">
        <v>97</v>
      </c>
      <c r="B684" s="118" t="s">
        <v>610</v>
      </c>
    </row>
    <row r="685" spans="1:2">
      <c r="A685" s="117" t="s">
        <v>81</v>
      </c>
      <c r="B685" s="118" t="s">
        <v>598</v>
      </c>
    </row>
    <row r="686" spans="1:2">
      <c r="A686" s="117" t="s">
        <v>63</v>
      </c>
      <c r="B686" s="118" t="s">
        <v>667</v>
      </c>
    </row>
    <row r="687" spans="1:2">
      <c r="A687" s="117" t="s">
        <v>57</v>
      </c>
      <c r="B687" s="118" t="s">
        <v>632</v>
      </c>
    </row>
    <row r="688" spans="1:2">
      <c r="A688" s="117" t="s">
        <v>226</v>
      </c>
      <c r="B688" s="118" t="s">
        <v>709</v>
      </c>
    </row>
    <row r="689" spans="1:2">
      <c r="A689" s="117" t="s">
        <v>775</v>
      </c>
      <c r="B689" s="118" t="s">
        <v>662</v>
      </c>
    </row>
    <row r="690" spans="1:2">
      <c r="A690" s="117" t="s">
        <v>97</v>
      </c>
      <c r="B690" s="118" t="s">
        <v>617</v>
      </c>
    </row>
    <row r="691" spans="1:2">
      <c r="A691" s="117" t="s">
        <v>695</v>
      </c>
      <c r="B691" s="118" t="s">
        <v>674</v>
      </c>
    </row>
    <row r="692" spans="1:2">
      <c r="A692" s="117" t="s">
        <v>69</v>
      </c>
      <c r="B692" s="118" t="s">
        <v>633</v>
      </c>
    </row>
    <row r="693" spans="1:2">
      <c r="A693" s="117" t="s">
        <v>692</v>
      </c>
      <c r="B693" s="118" t="s">
        <v>632</v>
      </c>
    </row>
    <row r="694" spans="1:2">
      <c r="A694" s="117" t="s">
        <v>101</v>
      </c>
      <c r="B694" s="118" t="s">
        <v>669</v>
      </c>
    </row>
    <row r="695" spans="1:2">
      <c r="A695" s="117" t="s">
        <v>120</v>
      </c>
      <c r="B695" s="118" t="s">
        <v>643</v>
      </c>
    </row>
    <row r="696" spans="1:2">
      <c r="A696" s="117" t="s">
        <v>121</v>
      </c>
      <c r="B696" s="118" t="s">
        <v>670</v>
      </c>
    </row>
    <row r="697" spans="1:2">
      <c r="A697" s="117" t="s">
        <v>739</v>
      </c>
      <c r="B697" s="118" t="s">
        <v>665</v>
      </c>
    </row>
    <row r="698" spans="1:2">
      <c r="A698" s="117" t="s">
        <v>161</v>
      </c>
      <c r="B698" s="118" t="s">
        <v>639</v>
      </c>
    </row>
    <row r="699" spans="1:2">
      <c r="A699" s="117" t="s">
        <v>776</v>
      </c>
      <c r="B699" s="118" t="s">
        <v>754</v>
      </c>
    </row>
    <row r="700" spans="1:2">
      <c r="A700" s="117" t="s">
        <v>217</v>
      </c>
      <c r="B700" s="118" t="s">
        <v>636</v>
      </c>
    </row>
    <row r="701" spans="1:2">
      <c r="A701" s="117" t="s">
        <v>228</v>
      </c>
      <c r="B701" s="118" t="s">
        <v>603</v>
      </c>
    </row>
    <row r="702" spans="1:2">
      <c r="A702" s="117" t="s">
        <v>266</v>
      </c>
      <c r="B702" s="118" t="s">
        <v>624</v>
      </c>
    </row>
    <row r="703" spans="1:2">
      <c r="A703" s="117" t="s">
        <v>267</v>
      </c>
      <c r="B703" s="118" t="s">
        <v>633</v>
      </c>
    </row>
    <row r="704" spans="1:2">
      <c r="A704" s="117" t="s">
        <v>285</v>
      </c>
      <c r="B704" s="118" t="s">
        <v>623</v>
      </c>
    </row>
    <row r="705" spans="1:2">
      <c r="A705" s="117" t="s">
        <v>777</v>
      </c>
      <c r="B705" s="118" t="s">
        <v>709</v>
      </c>
    </row>
    <row r="706" spans="1:2">
      <c r="A706" s="117" t="s">
        <v>159</v>
      </c>
      <c r="B706" s="118" t="s">
        <v>599</v>
      </c>
    </row>
    <row r="707" spans="1:2">
      <c r="A707" s="117" t="s">
        <v>160</v>
      </c>
      <c r="B707" s="118" t="s">
        <v>655</v>
      </c>
    </row>
    <row r="708" spans="1:2">
      <c r="A708" s="117" t="s">
        <v>226</v>
      </c>
      <c r="B708" s="118" t="s">
        <v>622</v>
      </c>
    </row>
    <row r="709" spans="1:2">
      <c r="A709" s="117" t="s">
        <v>217</v>
      </c>
      <c r="B709" s="118" t="s">
        <v>648</v>
      </c>
    </row>
    <row r="710" spans="1:2">
      <c r="A710" s="117" t="s">
        <v>53</v>
      </c>
      <c r="B710" s="118" t="s">
        <v>550</v>
      </c>
    </row>
    <row r="711" spans="1:2">
      <c r="A711" s="117" t="s">
        <v>228</v>
      </c>
      <c r="B711" s="118" t="s">
        <v>628</v>
      </c>
    </row>
    <row r="712" spans="1:2">
      <c r="A712" s="117" t="s">
        <v>778</v>
      </c>
      <c r="B712" s="118" t="s">
        <v>638</v>
      </c>
    </row>
    <row r="713" spans="1:2">
      <c r="A713" s="117" t="s">
        <v>161</v>
      </c>
      <c r="B713" s="118" t="s">
        <v>667</v>
      </c>
    </row>
    <row r="714" spans="1:2">
      <c r="A714" s="117" t="s">
        <v>226</v>
      </c>
      <c r="B714" s="118" t="s">
        <v>689</v>
      </c>
    </row>
    <row r="715" spans="1:2">
      <c r="A715" s="117" t="s">
        <v>773</v>
      </c>
      <c r="B715" s="118" t="s">
        <v>648</v>
      </c>
    </row>
    <row r="716" spans="1:2">
      <c r="A716" s="117" t="s">
        <v>269</v>
      </c>
      <c r="B716" s="118" t="s">
        <v>625</v>
      </c>
    </row>
    <row r="717" spans="1:2">
      <c r="A717" s="117" t="s">
        <v>96</v>
      </c>
      <c r="B717" s="118" t="s">
        <v>632</v>
      </c>
    </row>
    <row r="718" spans="1:2">
      <c r="A718" s="117" t="s">
        <v>217</v>
      </c>
      <c r="B718" s="118" t="s">
        <v>632</v>
      </c>
    </row>
    <row r="719" spans="1:2">
      <c r="A719" s="117" t="s">
        <v>245</v>
      </c>
      <c r="B719" s="118" t="s">
        <v>664</v>
      </c>
    </row>
    <row r="720" spans="1:2">
      <c r="A720" s="117" t="s">
        <v>121</v>
      </c>
      <c r="B720" s="118" t="s">
        <v>733</v>
      </c>
    </row>
    <row r="721" spans="1:2">
      <c r="A721" s="117" t="s">
        <v>740</v>
      </c>
      <c r="B721" s="118" t="s">
        <v>729</v>
      </c>
    </row>
    <row r="722" spans="1:2">
      <c r="A722" s="117" t="s">
        <v>83</v>
      </c>
      <c r="B722" s="118" t="s">
        <v>632</v>
      </c>
    </row>
    <row r="723" spans="1:2">
      <c r="A723" s="117" t="s">
        <v>265</v>
      </c>
      <c r="B723" s="118" t="s">
        <v>667</v>
      </c>
    </row>
    <row r="724" spans="1:2">
      <c r="A724" s="117" t="s">
        <v>779</v>
      </c>
      <c r="B724" s="118" t="s">
        <v>633</v>
      </c>
    </row>
    <row r="725" spans="1:2">
      <c r="A725" s="117" t="s">
        <v>178</v>
      </c>
      <c r="B725" s="118" t="s">
        <v>733</v>
      </c>
    </row>
    <row r="726" spans="1:2">
      <c r="A726" s="117" t="s">
        <v>91</v>
      </c>
      <c r="B726" s="118" t="s">
        <v>601</v>
      </c>
    </row>
    <row r="727" spans="1:2">
      <c r="A727" s="117" t="s">
        <v>185</v>
      </c>
      <c r="B727" s="118" t="s">
        <v>671</v>
      </c>
    </row>
    <row r="728" spans="1:2">
      <c r="A728" s="117" t="s">
        <v>247</v>
      </c>
      <c r="B728" s="118" t="s">
        <v>622</v>
      </c>
    </row>
    <row r="729" spans="1:2">
      <c r="A729" s="117" t="s">
        <v>256</v>
      </c>
      <c r="B729" s="118" t="s">
        <v>672</v>
      </c>
    </row>
    <row r="730" spans="1:2">
      <c r="A730" s="117" t="s">
        <v>289</v>
      </c>
      <c r="B730" s="118" t="s">
        <v>658</v>
      </c>
    </row>
    <row r="731" spans="1:2">
      <c r="A731" s="117" t="s">
        <v>188</v>
      </c>
      <c r="B731" s="118" t="s">
        <v>613</v>
      </c>
    </row>
    <row r="732" spans="1:2">
      <c r="A732" s="117" t="s">
        <v>246</v>
      </c>
      <c r="B732" s="118" t="s">
        <v>736</v>
      </c>
    </row>
    <row r="733" spans="1:2">
      <c r="A733" s="117" t="s">
        <v>221</v>
      </c>
      <c r="B733" s="118" t="s">
        <v>698</v>
      </c>
    </row>
    <row r="734" spans="1:2">
      <c r="A734" s="117" t="s">
        <v>231</v>
      </c>
      <c r="B734" s="118" t="s">
        <v>620</v>
      </c>
    </row>
    <row r="735" spans="1:2">
      <c r="A735" s="117" t="s">
        <v>161</v>
      </c>
      <c r="B735" s="118" t="s">
        <v>633</v>
      </c>
    </row>
    <row r="736" spans="1:2">
      <c r="A736" s="117" t="s">
        <v>756</v>
      </c>
      <c r="B736" s="118" t="s">
        <v>631</v>
      </c>
    </row>
    <row r="737" spans="1:2">
      <c r="A737" s="117" t="s">
        <v>66</v>
      </c>
      <c r="B737" s="118" t="s">
        <v>613</v>
      </c>
    </row>
    <row r="738" spans="1:2">
      <c r="A738" s="117" t="s">
        <v>292</v>
      </c>
      <c r="B738" s="118" t="s">
        <v>608</v>
      </c>
    </row>
    <row r="739" spans="1:2">
      <c r="A739" s="117" t="s">
        <v>221</v>
      </c>
      <c r="B739" s="118" t="s">
        <v>651</v>
      </c>
    </row>
    <row r="740" spans="1:2">
      <c r="A740" s="117" t="s">
        <v>292</v>
      </c>
      <c r="B740" s="118" t="s">
        <v>610</v>
      </c>
    </row>
    <row r="741" spans="1:2">
      <c r="A741" s="117" t="s">
        <v>84</v>
      </c>
      <c r="B741" s="118" t="s">
        <v>597</v>
      </c>
    </row>
    <row r="742" spans="1:2">
      <c r="A742" s="117" t="s">
        <v>104</v>
      </c>
      <c r="B742" s="118" t="s">
        <v>677</v>
      </c>
    </row>
    <row r="743" spans="1:2">
      <c r="A743" s="117" t="s">
        <v>108</v>
      </c>
      <c r="B743" s="118" t="s">
        <v>648</v>
      </c>
    </row>
    <row r="744" spans="1:2">
      <c r="A744" s="117" t="s">
        <v>246</v>
      </c>
      <c r="B744" s="118" t="s">
        <v>627</v>
      </c>
    </row>
    <row r="745" spans="1:2">
      <c r="A745" s="117" t="s">
        <v>107</v>
      </c>
      <c r="B745" s="118" t="s">
        <v>617</v>
      </c>
    </row>
    <row r="746" spans="1:2">
      <c r="A746" s="117" t="s">
        <v>247</v>
      </c>
      <c r="B746" s="118" t="s">
        <v>635</v>
      </c>
    </row>
    <row r="747" spans="1:2">
      <c r="A747" s="117" t="s">
        <v>301</v>
      </c>
      <c r="B747" s="118" t="s">
        <v>674</v>
      </c>
    </row>
    <row r="748" spans="1:2">
      <c r="A748" s="117" t="s">
        <v>104</v>
      </c>
      <c r="B748" s="118" t="s">
        <v>620</v>
      </c>
    </row>
    <row r="749" spans="1:2">
      <c r="A749" s="117" t="s">
        <v>160</v>
      </c>
      <c r="B749" s="118" t="s">
        <v>644</v>
      </c>
    </row>
    <row r="750" spans="1:2">
      <c r="A750" s="117" t="s">
        <v>261</v>
      </c>
      <c r="B750" s="118" t="s">
        <v>624</v>
      </c>
    </row>
    <row r="751" spans="1:2">
      <c r="A751" s="117" t="s">
        <v>74</v>
      </c>
      <c r="B751" s="118" t="s">
        <v>618</v>
      </c>
    </row>
    <row r="752" spans="1:2">
      <c r="A752" s="117" t="s">
        <v>104</v>
      </c>
      <c r="B752" s="118" t="s">
        <v>602</v>
      </c>
    </row>
    <row r="753" spans="1:2">
      <c r="A753" s="117" t="s">
        <v>114</v>
      </c>
      <c r="B753" s="118" t="s">
        <v>620</v>
      </c>
    </row>
    <row r="754" spans="1:2">
      <c r="A754" s="117" t="s">
        <v>113</v>
      </c>
      <c r="B754" s="118" t="s">
        <v>602</v>
      </c>
    </row>
    <row r="755" spans="1:2">
      <c r="A755" s="117" t="s">
        <v>114</v>
      </c>
      <c r="B755" s="118" t="s">
        <v>661</v>
      </c>
    </row>
    <row r="756" spans="1:2">
      <c r="A756" s="117" t="s">
        <v>125</v>
      </c>
      <c r="B756" s="118" t="s">
        <v>624</v>
      </c>
    </row>
    <row r="757" spans="1:2">
      <c r="A757" s="117" t="s">
        <v>65</v>
      </c>
      <c r="B757" s="118" t="s">
        <v>623</v>
      </c>
    </row>
    <row r="758" spans="1:2">
      <c r="A758" s="117" t="s">
        <v>221</v>
      </c>
      <c r="B758" s="118" t="s">
        <v>684</v>
      </c>
    </row>
    <row r="759" spans="1:2">
      <c r="A759" s="117" t="s">
        <v>230</v>
      </c>
      <c r="B759" s="118" t="s">
        <v>635</v>
      </c>
    </row>
    <row r="760" spans="1:2">
      <c r="A760" s="117" t="s">
        <v>233</v>
      </c>
      <c r="B760" s="118" t="s">
        <v>673</v>
      </c>
    </row>
    <row r="761" spans="1:2">
      <c r="A761" s="117" t="s">
        <v>723</v>
      </c>
      <c r="B761" s="118" t="s">
        <v>662</v>
      </c>
    </row>
    <row r="762" spans="1:2">
      <c r="A762" s="117" t="s">
        <v>248</v>
      </c>
      <c r="B762" s="118" t="s">
        <v>621</v>
      </c>
    </row>
    <row r="763" spans="1:2">
      <c r="A763" s="117" t="s">
        <v>95</v>
      </c>
      <c r="B763" s="118" t="s">
        <v>633</v>
      </c>
    </row>
    <row r="764" spans="1:2">
      <c r="A764" s="117" t="s">
        <v>750</v>
      </c>
      <c r="B764" s="118" t="s">
        <v>743</v>
      </c>
    </row>
    <row r="765" spans="1:2">
      <c r="A765" s="117" t="s">
        <v>723</v>
      </c>
      <c r="B765" s="118" t="s">
        <v>600</v>
      </c>
    </row>
    <row r="766" spans="1:2">
      <c r="A766" s="117" t="s">
        <v>265</v>
      </c>
      <c r="B766" s="118" t="s">
        <v>602</v>
      </c>
    </row>
    <row r="767" spans="1:2">
      <c r="A767" s="117" t="s">
        <v>267</v>
      </c>
      <c r="B767" s="118" t="s">
        <v>780</v>
      </c>
    </row>
    <row r="768" spans="1:2">
      <c r="A768" s="117" t="s">
        <v>53</v>
      </c>
      <c r="B768" s="118" t="s">
        <v>610</v>
      </c>
    </row>
    <row r="769" spans="1:2">
      <c r="A769" s="117" t="s">
        <v>266</v>
      </c>
      <c r="B769" s="118" t="s">
        <v>622</v>
      </c>
    </row>
    <row r="770" spans="1:2">
      <c r="A770" s="117" t="s">
        <v>197</v>
      </c>
      <c r="B770" s="118" t="s">
        <v>631</v>
      </c>
    </row>
    <row r="771" spans="1:2">
      <c r="A771" s="117" t="s">
        <v>198</v>
      </c>
      <c r="B771" s="118" t="s">
        <v>623</v>
      </c>
    </row>
    <row r="772" spans="1:2">
      <c r="A772" s="117" t="s">
        <v>69</v>
      </c>
      <c r="B772" s="118" t="s">
        <v>632</v>
      </c>
    </row>
    <row r="773" spans="1:2">
      <c r="A773" s="117" t="s">
        <v>210</v>
      </c>
      <c r="B773" s="118" t="s">
        <v>633</v>
      </c>
    </row>
    <row r="774" spans="1:2">
      <c r="A774" s="117" t="s">
        <v>781</v>
      </c>
      <c r="B774" s="118" t="s">
        <v>621</v>
      </c>
    </row>
    <row r="775" spans="1:2">
      <c r="A775" s="117" t="s">
        <v>723</v>
      </c>
      <c r="B775" s="118" t="s">
        <v>612</v>
      </c>
    </row>
    <row r="776" spans="1:2">
      <c r="A776" s="117" t="s">
        <v>120</v>
      </c>
      <c r="B776" s="118" t="s">
        <v>629</v>
      </c>
    </row>
    <row r="777" spans="1:2">
      <c r="A777" s="117" t="s">
        <v>276</v>
      </c>
      <c r="B777" s="118" t="s">
        <v>668</v>
      </c>
    </row>
    <row r="778" spans="1:2">
      <c r="A778" s="117" t="s">
        <v>782</v>
      </c>
      <c r="B778" s="118" t="s">
        <v>643</v>
      </c>
    </row>
    <row r="779" spans="1:2">
      <c r="A779" s="117" t="s">
        <v>142</v>
      </c>
      <c r="B779" s="118" t="s">
        <v>623</v>
      </c>
    </row>
    <row r="780" spans="1:2">
      <c r="A780" s="117" t="s">
        <v>217</v>
      </c>
      <c r="B780" s="118" t="s">
        <v>672</v>
      </c>
    </row>
    <row r="781" spans="1:2">
      <c r="A781" s="117" t="s">
        <v>104</v>
      </c>
      <c r="B781" s="118" t="s">
        <v>640</v>
      </c>
    </row>
    <row r="782" spans="1:2">
      <c r="A782" s="117" t="s">
        <v>104</v>
      </c>
      <c r="B782" s="118" t="s">
        <v>641</v>
      </c>
    </row>
    <row r="783" spans="1:2">
      <c r="A783" s="117" t="s">
        <v>292</v>
      </c>
      <c r="B783" s="118" t="s">
        <v>626</v>
      </c>
    </row>
    <row r="784" spans="1:2">
      <c r="A784" s="117" t="s">
        <v>221</v>
      </c>
      <c r="B784" s="118" t="s">
        <v>632</v>
      </c>
    </row>
    <row r="785" spans="1:2">
      <c r="A785" s="117" t="s">
        <v>292</v>
      </c>
      <c r="B785" s="118" t="s">
        <v>598</v>
      </c>
    </row>
    <row r="786" spans="1:2">
      <c r="A786" s="117" t="s">
        <v>69</v>
      </c>
      <c r="B786" s="118" t="s">
        <v>636</v>
      </c>
    </row>
    <row r="787" spans="1:2">
      <c r="A787" s="117" t="s">
        <v>119</v>
      </c>
      <c r="B787" s="118" t="s">
        <v>620</v>
      </c>
    </row>
    <row r="788" spans="1:2">
      <c r="A788" s="117" t="s">
        <v>99</v>
      </c>
      <c r="B788" s="118" t="s">
        <v>633</v>
      </c>
    </row>
    <row r="789" spans="1:2">
      <c r="A789" s="117" t="s">
        <v>238</v>
      </c>
      <c r="B789" s="118" t="s">
        <v>640</v>
      </c>
    </row>
    <row r="790" spans="1:2">
      <c r="A790" s="117" t="s">
        <v>195</v>
      </c>
      <c r="B790" s="118" t="s">
        <v>632</v>
      </c>
    </row>
    <row r="791" spans="1:2">
      <c r="A791" s="117" t="s">
        <v>119</v>
      </c>
      <c r="B791" s="118" t="s">
        <v>598</v>
      </c>
    </row>
    <row r="792" spans="1:2">
      <c r="A792" s="117" t="s">
        <v>271</v>
      </c>
      <c r="B792" s="118" t="s">
        <v>626</v>
      </c>
    </row>
    <row r="793" spans="1:2">
      <c r="A793" s="117" t="s">
        <v>178</v>
      </c>
      <c r="B793" s="118" t="s">
        <v>754</v>
      </c>
    </row>
    <row r="794" spans="1:2">
      <c r="A794" s="117" t="s">
        <v>224</v>
      </c>
      <c r="B794" s="118" t="s">
        <v>630</v>
      </c>
    </row>
    <row r="795" spans="1:2">
      <c r="A795" s="117" t="s">
        <v>235</v>
      </c>
      <c r="B795" s="118" t="s">
        <v>618</v>
      </c>
    </row>
    <row r="796" spans="1:2">
      <c r="A796" s="117" t="s">
        <v>97</v>
      </c>
      <c r="B796" s="118" t="s">
        <v>629</v>
      </c>
    </row>
    <row r="797" spans="1:2">
      <c r="A797" s="117" t="s">
        <v>187</v>
      </c>
      <c r="B797" s="118" t="s">
        <v>660</v>
      </c>
    </row>
    <row r="798" spans="1:2">
      <c r="A798" s="117" t="s">
        <v>103</v>
      </c>
      <c r="B798" s="118" t="s">
        <v>632</v>
      </c>
    </row>
    <row r="799" spans="1:2">
      <c r="A799" s="117" t="s">
        <v>63</v>
      </c>
      <c r="B799" s="118" t="s">
        <v>623</v>
      </c>
    </row>
    <row r="800" spans="1:2">
      <c r="A800" s="117" t="s">
        <v>121</v>
      </c>
      <c r="B800" s="118" t="s">
        <v>612</v>
      </c>
    </row>
    <row r="801" spans="1:2">
      <c r="A801" s="117" t="s">
        <v>138</v>
      </c>
      <c r="B801" s="118" t="s">
        <v>611</v>
      </c>
    </row>
    <row r="802" spans="1:2">
      <c r="A802" s="117" t="s">
        <v>97</v>
      </c>
      <c r="B802" s="118" t="s">
        <v>613</v>
      </c>
    </row>
    <row r="803" spans="1:2">
      <c r="A803" s="117" t="s">
        <v>84</v>
      </c>
      <c r="B803" s="118" t="s">
        <v>754</v>
      </c>
    </row>
    <row r="804" spans="1:2">
      <c r="A804" s="117" t="s">
        <v>185</v>
      </c>
      <c r="B804" s="118" t="s">
        <v>629</v>
      </c>
    </row>
    <row r="805" spans="1:2">
      <c r="A805" s="117" t="s">
        <v>201</v>
      </c>
      <c r="B805" s="118" t="s">
        <v>623</v>
      </c>
    </row>
    <row r="806" spans="1:2">
      <c r="A806" s="117" t="s">
        <v>84</v>
      </c>
      <c r="B806" s="118" t="s">
        <v>619</v>
      </c>
    </row>
    <row r="807" spans="1:2">
      <c r="A807" s="117" t="s">
        <v>69</v>
      </c>
      <c r="B807" s="118" t="s">
        <v>619</v>
      </c>
    </row>
    <row r="808" spans="1:2">
      <c r="A808" s="117" t="s">
        <v>92</v>
      </c>
      <c r="B808" s="118" t="s">
        <v>633</v>
      </c>
    </row>
    <row r="809" spans="1:2">
      <c r="A809" s="117" t="s">
        <v>81</v>
      </c>
      <c r="B809" s="118" t="s">
        <v>613</v>
      </c>
    </row>
    <row r="810" spans="1:2">
      <c r="A810" s="117" t="s">
        <v>178</v>
      </c>
      <c r="B810" s="118" t="s">
        <v>667</v>
      </c>
    </row>
    <row r="811" spans="1:2">
      <c r="A811" s="117" t="s">
        <v>79</v>
      </c>
      <c r="B811" s="118" t="s">
        <v>625</v>
      </c>
    </row>
    <row r="812" spans="1:2">
      <c r="A812" s="117" t="s">
        <v>69</v>
      </c>
      <c r="B812" s="118" t="s">
        <v>624</v>
      </c>
    </row>
    <row r="813" spans="1:2">
      <c r="A813" s="117" t="s">
        <v>113</v>
      </c>
      <c r="B813" s="118" t="s">
        <v>633</v>
      </c>
    </row>
    <row r="814" spans="1:2">
      <c r="A814" s="117" t="s">
        <v>135</v>
      </c>
      <c r="B814" s="118" t="s">
        <v>611</v>
      </c>
    </row>
    <row r="815" spans="1:2">
      <c r="A815" s="117" t="s">
        <v>63</v>
      </c>
      <c r="B815" s="118" t="s">
        <v>620</v>
      </c>
    </row>
    <row r="816" spans="1:2">
      <c r="A816" s="117" t="s">
        <v>101</v>
      </c>
      <c r="B816" s="118" t="s">
        <v>598</v>
      </c>
    </row>
    <row r="817" spans="1:2">
      <c r="A817" s="117" t="s">
        <v>105</v>
      </c>
      <c r="B817" s="118" t="s">
        <v>620</v>
      </c>
    </row>
    <row r="818" spans="1:2">
      <c r="A818" s="117" t="s">
        <v>783</v>
      </c>
      <c r="B818" s="118" t="s">
        <v>608</v>
      </c>
    </row>
    <row r="819" spans="1:2">
      <c r="A819" s="117" t="s">
        <v>94</v>
      </c>
      <c r="B819" s="118" t="s">
        <v>660</v>
      </c>
    </row>
    <row r="820" spans="1:2">
      <c r="A820" s="117" t="s">
        <v>92</v>
      </c>
      <c r="B820" s="118" t="s">
        <v>607</v>
      </c>
    </row>
    <row r="821" spans="1:2">
      <c r="A821" s="117" t="s">
        <v>95</v>
      </c>
      <c r="B821" s="118" t="s">
        <v>636</v>
      </c>
    </row>
    <row r="822" spans="1:2">
      <c r="A822" s="117" t="s">
        <v>66</v>
      </c>
      <c r="B822" s="118" t="s">
        <v>632</v>
      </c>
    </row>
    <row r="823" spans="1:2">
      <c r="A823" s="117" t="s">
        <v>181</v>
      </c>
      <c r="B823" s="118" t="s">
        <v>636</v>
      </c>
    </row>
    <row r="824" spans="1:2">
      <c r="A824" s="117" t="s">
        <v>113</v>
      </c>
      <c r="B824" s="118" t="s">
        <v>620</v>
      </c>
    </row>
    <row r="825" spans="1:2">
      <c r="A825" s="117" t="s">
        <v>240</v>
      </c>
      <c r="B825" s="118" t="s">
        <v>606</v>
      </c>
    </row>
    <row r="826" spans="1:2">
      <c r="A826" s="117" t="s">
        <v>99</v>
      </c>
      <c r="B826" s="118" t="s">
        <v>632</v>
      </c>
    </row>
    <row r="827" spans="1:2">
      <c r="A827" s="117" t="s">
        <v>187</v>
      </c>
      <c r="B827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784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3" sqref="G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950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951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O6002"/>
  <sheetViews>
    <sheetView workbookViewId="0">
      <pane ySplit="1" topLeftCell="A32" activePane="bottomLeft" state="frozen"/>
      <selection pane="bottomLeft" activeCell="C55" sqref="C5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20" width="9.7109375" style="106" customWidth="1"/>
    <col min="21" max="22" width="19.42578125" style="50" bestFit="1" customWidth="1"/>
    <col min="23" max="23" width="28.85546875" style="49" customWidth="1"/>
    <col min="24" max="24" width="14.42578125" style="49" customWidth="1"/>
    <col min="25" max="25" width="12.85546875" style="49" customWidth="1"/>
    <col min="26" max="26" width="19.7109375" style="49" bestFit="1" customWidth="1"/>
    <col min="27" max="27" width="9.140625" style="60" hidden="1" customWidth="1" outlineLevel="1"/>
    <col min="28" max="28" width="9.140625" style="49" hidden="1" customWidth="1" outlineLevel="1"/>
    <col min="29" max="29" width="6" style="60" hidden="1" customWidth="1" outlineLevel="1"/>
    <col min="30" max="30" width="7.28515625" style="49" customWidth="1" collapsed="1"/>
    <col min="31" max="31" width="15.42578125" style="49" bestFit="1" customWidth="1"/>
    <col min="32" max="32" width="17.140625" style="49" customWidth="1"/>
    <col min="33" max="33" width="9.140625" style="60"/>
    <col min="34" max="34" width="12.85546875" style="60" customWidth="1"/>
    <col min="35" max="35" width="16.28515625" style="49" bestFit="1" customWidth="1"/>
    <col min="36" max="41" width="9.140625" style="49"/>
    <col min="42" max="16384" width="9.140625" style="51"/>
  </cols>
  <sheetData>
    <row r="1" spans="1:36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1007</v>
      </c>
      <c r="T1" s="81" t="s">
        <v>1008</v>
      </c>
      <c r="U1" s="81" t="s">
        <v>474</v>
      </c>
      <c r="V1" s="81" t="s">
        <v>475</v>
      </c>
      <c r="W1" s="82"/>
      <c r="X1" s="79" t="s">
        <v>589</v>
      </c>
      <c r="Y1" s="114" t="s">
        <v>835</v>
      </c>
      <c r="Z1" s="79" t="s">
        <v>557</v>
      </c>
      <c r="AA1" s="77">
        <f>MAX(AA2:AA6000)</f>
        <v>92</v>
      </c>
      <c r="AB1" s="77"/>
      <c r="AC1" s="77" t="str">
        <f>RIGHT(TEXT(MAX(AC2:AC6000),"###"),3)</f>
        <v>050</v>
      </c>
      <c r="AD1" s="78" t="str">
        <f>RIGHT("000"&amp;AA1,2)&amp;"-"&amp;RIGHT("000"&amp;AC1,3)</f>
        <v>92-050</v>
      </c>
      <c r="AE1" s="79" t="s">
        <v>520</v>
      </c>
      <c r="AF1" s="78" t="str">
        <f>IFERROR(IF(VALUE(MID(AD1,4,3))&gt;=999,RIGHT("000"&amp;AA1+1,2)&amp;"-"&amp;"000",RIGHT("000"&amp;AA1,2)&amp;"-"&amp;RIGHT("000"&amp;AC1+1,3))&amp;"-",IF(Y1&lt;&gt;"-",Y1,"Введите данные"))</f>
        <v>92-051-</v>
      </c>
      <c r="AG1" s="80" t="s">
        <v>583</v>
      </c>
      <c r="AH1" s="110" t="str">
        <f>_xlfn.LET(_xlpm.START,FIND(" ",D2)+1,_xlpm.END,FIND(" ",D2,_xlpm.START+1),TRIM(MID(D2,_xlpm.START,_xlpm.END-_xlpm.START)))</f>
        <v>HOOD</v>
      </c>
      <c r="AI1" s="80" t="s">
        <v>813</v>
      </c>
      <c r="AJ1" s="144">
        <v>1</v>
      </c>
    </row>
    <row r="2" spans="1:36">
      <c r="A2" s="83" t="str">
        <f>IF(G2&amp;Q2&lt;&gt;"",U2&amp;Q2,"")</f>
        <v>100-CTW020-CA003-BK</v>
      </c>
      <c r="B2" s="83" t="str">
        <f>IF(C2&lt;&gt;"",LEFT(C2,9),"")</f>
        <v>92-001-</v>
      </c>
      <c r="C2" s="106" t="s">
        <v>835</v>
      </c>
      <c r="D2" s="106" t="s">
        <v>1001</v>
      </c>
      <c r="G2" s="106" t="s">
        <v>836</v>
      </c>
      <c r="U2" s="83" t="str">
        <f>IF(G2&lt;&gt;"",IF(StyleSpaceSplit,IFERROR(IF(FIND(" ",G2)&gt;=1,MID(G2,1,FIND(" ",G2)-1),G2),G2),G2),"")</f>
        <v>100-CTW020-CA003-BK</v>
      </c>
      <c r="V2" s="83" t="str">
        <f>IF(A2&lt;&gt;"",IFERROR(IF(FIND(" ",G2)&gt;=1,MID(G2,FIND(" ",G2)+1,LEN(G2)),""),G2),"")</f>
        <v>100-CTW020-CA003-BK</v>
      </c>
      <c r="AA2" s="60">
        <f>IFERROR(VALUE(MID($C2,1,2)),0)</f>
        <v>92</v>
      </c>
      <c r="AB2" s="49">
        <f t="shared" ref="AB2:AB66" si="0">IFERROR(VALUE(MID($C2,4,3)),0)</f>
        <v>1</v>
      </c>
      <c r="AC2" s="60">
        <f>VALUE(RIGHT("00"&amp;AA2,2)&amp;RIGHT("000"&amp;AB2,3))</f>
        <v>92001</v>
      </c>
    </row>
    <row r="3" spans="1:36">
      <c r="A3" s="83" t="str">
        <f t="shared" ref="A3:A66" si="1">IF(G3&amp;Q3&lt;&gt;"",U3&amp;Q3,"")</f>
        <v>100-CTW020-CA010-BK</v>
      </c>
      <c r="B3" s="83" t="str">
        <f t="shared" ref="B3:B66" si="2">IF(C3&lt;&gt;"",LEFT(C3,9),"")</f>
        <v>92-002-</v>
      </c>
      <c r="C3" s="106" t="s">
        <v>952</v>
      </c>
      <c r="G3" s="106" t="s">
        <v>837</v>
      </c>
      <c r="U3" s="83" t="str">
        <f t="shared" ref="U3:U66" si="3">IF(G3&lt;&gt;"",IF(StyleSpaceSplit,IFERROR(IF(FIND(" ",G3)&gt;=1,MID(G3,1,FIND(" ",G3)-1),G3),G3),G3),"")</f>
        <v>100-CTW020-CA010-BK</v>
      </c>
      <c r="V3" s="83" t="str">
        <f t="shared" ref="V3:V66" si="4">IF(A3&lt;&gt;"",IFERROR(IF(FIND(" ",G3)&gt;=1,MID(G3,FIND(" ",G3)+1,LEN(G3)),""),G3),"")</f>
        <v>100-CTW020-CA010-BK</v>
      </c>
      <c r="AA3" s="60">
        <f t="shared" ref="AA3:AA66" si="5">IFERROR(VALUE(MID($C3,1,2)),0)</f>
        <v>92</v>
      </c>
      <c r="AB3" s="49">
        <f t="shared" si="0"/>
        <v>2</v>
      </c>
      <c r="AC3" s="60">
        <f t="shared" ref="AC3:AC66" si="6">VALUE(RIGHT("00"&amp;AA3,2)&amp;RIGHT("000"&amp;AB3,3))</f>
        <v>92002</v>
      </c>
    </row>
    <row r="4" spans="1:36">
      <c r="A4" s="83" t="str">
        <f t="shared" si="1"/>
        <v>100-CTW020-CA012-BK</v>
      </c>
      <c r="B4" s="83" t="str">
        <f t="shared" si="2"/>
        <v>92-003-</v>
      </c>
      <c r="C4" s="106" t="s">
        <v>953</v>
      </c>
      <c r="G4" s="106" t="s">
        <v>838</v>
      </c>
      <c r="U4" s="83" t="str">
        <f t="shared" si="3"/>
        <v>100-CTW020-CA012-BK</v>
      </c>
      <c r="V4" s="83" t="str">
        <f t="shared" si="4"/>
        <v>100-CTW020-CA012-BK</v>
      </c>
      <c r="AA4" s="60">
        <f t="shared" si="5"/>
        <v>92</v>
      </c>
      <c r="AB4" s="49">
        <f t="shared" si="0"/>
        <v>3</v>
      </c>
      <c r="AC4" s="60">
        <f t="shared" si="6"/>
        <v>92003</v>
      </c>
    </row>
    <row r="5" spans="1:36">
      <c r="A5" s="83" t="str">
        <f t="shared" si="1"/>
        <v>100-CTW020-CA013-BK</v>
      </c>
      <c r="B5" s="83" t="str">
        <f t="shared" si="2"/>
        <v>92-004-</v>
      </c>
      <c r="C5" s="106" t="s">
        <v>954</v>
      </c>
      <c r="G5" s="106" t="s">
        <v>839</v>
      </c>
      <c r="U5" s="83" t="str">
        <f t="shared" si="3"/>
        <v>100-CTW020-CA013-BK</v>
      </c>
      <c r="V5" s="83" t="str">
        <f t="shared" si="4"/>
        <v>100-CTW020-CA013-BK</v>
      </c>
      <c r="AA5" s="60">
        <f t="shared" si="5"/>
        <v>92</v>
      </c>
      <c r="AB5" s="49">
        <f t="shared" si="0"/>
        <v>4</v>
      </c>
      <c r="AC5" s="60">
        <f t="shared" si="6"/>
        <v>92004</v>
      </c>
    </row>
    <row r="6" spans="1:36">
      <c r="A6" s="83" t="str">
        <f t="shared" si="1"/>
        <v>100-CTW020-CA027-BK</v>
      </c>
      <c r="B6" s="83" t="str">
        <f t="shared" si="2"/>
        <v>92-005-</v>
      </c>
      <c r="C6" s="106" t="s">
        <v>955</v>
      </c>
      <c r="G6" s="106" t="s">
        <v>840</v>
      </c>
      <c r="U6" s="83" t="str">
        <f t="shared" si="3"/>
        <v>100-CTW020-CA027-BK</v>
      </c>
      <c r="V6" s="83" t="str">
        <f t="shared" si="4"/>
        <v>100-CTW020-CA027-BK</v>
      </c>
      <c r="AA6" s="60">
        <f t="shared" si="5"/>
        <v>92</v>
      </c>
      <c r="AB6" s="49">
        <f t="shared" si="0"/>
        <v>5</v>
      </c>
      <c r="AC6" s="60">
        <f t="shared" si="6"/>
        <v>92005</v>
      </c>
    </row>
    <row r="7" spans="1:36">
      <c r="A7" s="83" t="str">
        <f t="shared" si="1"/>
        <v>100-CTW020-CA030-BK</v>
      </c>
      <c r="B7" s="83" t="str">
        <f t="shared" si="2"/>
        <v>92-006-</v>
      </c>
      <c r="C7" s="106" t="s">
        <v>956</v>
      </c>
      <c r="G7" s="106" t="s">
        <v>841</v>
      </c>
      <c r="U7" s="83" t="str">
        <f t="shared" si="3"/>
        <v>100-CTW020-CA030-BK</v>
      </c>
      <c r="V7" s="83" t="str">
        <f t="shared" si="4"/>
        <v>100-CTW020-CA030-BK</v>
      </c>
      <c r="AA7" s="60">
        <f t="shared" si="5"/>
        <v>92</v>
      </c>
      <c r="AB7" s="49">
        <f t="shared" si="0"/>
        <v>6</v>
      </c>
      <c r="AC7" s="60">
        <f t="shared" si="6"/>
        <v>92006</v>
      </c>
    </row>
    <row r="8" spans="1:36">
      <c r="A8" s="83" t="str">
        <f t="shared" si="1"/>
        <v>100-CTW020-MI001-BK</v>
      </c>
      <c r="B8" s="83" t="str">
        <f t="shared" si="2"/>
        <v>92-007-</v>
      </c>
      <c r="C8" s="106" t="s">
        <v>957</v>
      </c>
      <c r="G8" s="106" t="s">
        <v>842</v>
      </c>
      <c r="U8" s="83" t="str">
        <f t="shared" si="3"/>
        <v>100-CTW020-MI001-BK</v>
      </c>
      <c r="V8" s="83" t="str">
        <f t="shared" si="4"/>
        <v>100-CTW020-MI001-BK</v>
      </c>
      <c r="AA8" s="60">
        <f t="shared" si="5"/>
        <v>92</v>
      </c>
      <c r="AB8" s="49">
        <f t="shared" si="0"/>
        <v>7</v>
      </c>
      <c r="AC8" s="60">
        <f t="shared" si="6"/>
        <v>92007</v>
      </c>
    </row>
    <row r="9" spans="1:36">
      <c r="A9" s="83" t="str">
        <f t="shared" si="1"/>
        <v>100-CTW020-NY003-BK</v>
      </c>
      <c r="B9" s="83" t="str">
        <f t="shared" si="2"/>
        <v>92-008-</v>
      </c>
      <c r="C9" s="106" t="s">
        <v>958</v>
      </c>
      <c r="G9" s="106" t="s">
        <v>843</v>
      </c>
      <c r="U9" s="83" t="str">
        <f t="shared" si="3"/>
        <v>100-CTW020-NY003-BK</v>
      </c>
      <c r="V9" s="83" t="str">
        <f t="shared" si="4"/>
        <v>100-CTW020-NY003-BK</v>
      </c>
      <c r="AA9" s="60">
        <f t="shared" si="5"/>
        <v>92</v>
      </c>
      <c r="AB9" s="49">
        <f t="shared" si="0"/>
        <v>8</v>
      </c>
      <c r="AC9" s="60">
        <f t="shared" si="6"/>
        <v>92008</v>
      </c>
    </row>
    <row r="10" spans="1:36">
      <c r="A10" s="83" t="str">
        <f t="shared" si="1"/>
        <v>100-CTW020-NY019-BK</v>
      </c>
      <c r="B10" s="83" t="str">
        <f t="shared" si="2"/>
        <v>92-009-</v>
      </c>
      <c r="C10" s="106" t="s">
        <v>959</v>
      </c>
      <c r="G10" s="106" t="s">
        <v>844</v>
      </c>
      <c r="U10" s="83" t="str">
        <f t="shared" si="3"/>
        <v>100-CTW020-NY019-BK</v>
      </c>
      <c r="V10" s="83" t="str">
        <f t="shared" si="4"/>
        <v>100-CTW020-NY019-BK</v>
      </c>
      <c r="AA10" s="60">
        <f t="shared" si="5"/>
        <v>92</v>
      </c>
      <c r="AB10" s="49">
        <f t="shared" si="0"/>
        <v>9</v>
      </c>
      <c r="AC10" s="60">
        <f t="shared" si="6"/>
        <v>92009</v>
      </c>
    </row>
    <row r="11" spans="1:36">
      <c r="A11" s="83" t="str">
        <f t="shared" si="1"/>
        <v>100-CTW020-NY022-BK</v>
      </c>
      <c r="B11" s="83" t="str">
        <f t="shared" si="2"/>
        <v>92-010-</v>
      </c>
      <c r="C11" s="106" t="s">
        <v>960</v>
      </c>
      <c r="G11" s="106" t="s">
        <v>845</v>
      </c>
      <c r="U11" s="83" t="str">
        <f t="shared" si="3"/>
        <v>100-CTW020-NY022-BK</v>
      </c>
      <c r="V11" s="83" t="str">
        <f t="shared" si="4"/>
        <v>100-CTW020-NY022-BK</v>
      </c>
      <c r="AA11" s="60">
        <f t="shared" si="5"/>
        <v>92</v>
      </c>
      <c r="AB11" s="49">
        <f t="shared" si="0"/>
        <v>10</v>
      </c>
      <c r="AC11" s="60">
        <f t="shared" si="6"/>
        <v>92010</v>
      </c>
    </row>
    <row r="12" spans="1:36">
      <c r="A12" s="83" t="str">
        <f t="shared" si="1"/>
        <v>100-CTW020-NY031-BK</v>
      </c>
      <c r="B12" s="83" t="str">
        <f t="shared" si="2"/>
        <v>92-011-</v>
      </c>
      <c r="C12" s="106" t="s">
        <v>961</v>
      </c>
      <c r="G12" s="106" t="s">
        <v>846</v>
      </c>
      <c r="U12" s="83" t="str">
        <f t="shared" si="3"/>
        <v>100-CTW020-NY031-BK</v>
      </c>
      <c r="V12" s="83" t="str">
        <f t="shared" si="4"/>
        <v>100-CTW020-NY031-BK</v>
      </c>
      <c r="AA12" s="60">
        <f t="shared" si="5"/>
        <v>92</v>
      </c>
      <c r="AB12" s="49">
        <f t="shared" si="0"/>
        <v>11</v>
      </c>
      <c r="AC12" s="60">
        <f t="shared" si="6"/>
        <v>92011</v>
      </c>
    </row>
    <row r="13" spans="1:36">
      <c r="A13" s="83" t="str">
        <f t="shared" si="1"/>
        <v>100-CTW020-NY068-BK</v>
      </c>
      <c r="B13" s="83" t="str">
        <f t="shared" si="2"/>
        <v>92-012-</v>
      </c>
      <c r="C13" s="106" t="s">
        <v>962</v>
      </c>
      <c r="G13" s="106" t="s">
        <v>847</v>
      </c>
      <c r="U13" s="83" t="str">
        <f t="shared" si="3"/>
        <v>100-CTW020-NY068-BK</v>
      </c>
      <c r="V13" s="83" t="str">
        <f t="shared" si="4"/>
        <v>100-CTW020-NY068-BK</v>
      </c>
      <c r="AA13" s="60">
        <f t="shared" si="5"/>
        <v>92</v>
      </c>
      <c r="AB13" s="49">
        <f t="shared" si="0"/>
        <v>12</v>
      </c>
      <c r="AC13" s="60">
        <f t="shared" si="6"/>
        <v>92012</v>
      </c>
    </row>
    <row r="14" spans="1:36">
      <c r="A14" s="83" t="str">
        <f t="shared" si="1"/>
        <v>100-CTW020-PA003-BK</v>
      </c>
      <c r="B14" s="83" t="str">
        <f t="shared" si="2"/>
        <v>92-013-</v>
      </c>
      <c r="C14" s="106" t="s">
        <v>963</v>
      </c>
      <c r="G14" s="106" t="s">
        <v>848</v>
      </c>
      <c r="U14" s="83" t="str">
        <f t="shared" si="3"/>
        <v>100-CTW020-PA003-BK</v>
      </c>
      <c r="V14" s="83" t="str">
        <f t="shared" si="4"/>
        <v>100-CTW020-PA003-BK</v>
      </c>
      <c r="AA14" s="60">
        <f t="shared" si="5"/>
        <v>92</v>
      </c>
      <c r="AB14" s="49">
        <f t="shared" si="0"/>
        <v>13</v>
      </c>
      <c r="AC14" s="60">
        <f t="shared" si="6"/>
        <v>92013</v>
      </c>
    </row>
    <row r="15" spans="1:36">
      <c r="A15" s="83" t="str">
        <f t="shared" si="1"/>
        <v>100-MWL001-CA005-BK</v>
      </c>
      <c r="B15" s="83" t="str">
        <f t="shared" si="2"/>
        <v>92-014-</v>
      </c>
      <c r="C15" s="106" t="s">
        <v>964</v>
      </c>
      <c r="G15" s="106" t="s">
        <v>849</v>
      </c>
      <c r="U15" s="83" t="str">
        <f t="shared" si="3"/>
        <v>100-MWL001-CA005-BK</v>
      </c>
      <c r="V15" s="83" t="str">
        <f t="shared" si="4"/>
        <v>100-MWL001-CA005-BK</v>
      </c>
      <c r="AA15" s="60">
        <f t="shared" si="5"/>
        <v>92</v>
      </c>
      <c r="AB15" s="49">
        <f t="shared" si="0"/>
        <v>14</v>
      </c>
      <c r="AC15" s="60">
        <f t="shared" si="6"/>
        <v>92014</v>
      </c>
    </row>
    <row r="16" spans="1:36">
      <c r="A16" s="83" t="str">
        <f t="shared" si="1"/>
        <v>100-MWL001-NY015-BK</v>
      </c>
      <c r="B16" s="83" t="str">
        <f t="shared" si="2"/>
        <v>92-015-</v>
      </c>
      <c r="C16" s="106" t="s">
        <v>965</v>
      </c>
      <c r="G16" s="106" t="s">
        <v>850</v>
      </c>
      <c r="U16" s="83" t="str">
        <f t="shared" si="3"/>
        <v>100-MWL001-NY015-BK</v>
      </c>
      <c r="V16" s="83" t="str">
        <f t="shared" si="4"/>
        <v>100-MWL001-NY015-BK</v>
      </c>
      <c r="AA16" s="60">
        <f t="shared" si="5"/>
        <v>92</v>
      </c>
      <c r="AB16" s="49">
        <f t="shared" si="0"/>
        <v>15</v>
      </c>
      <c r="AC16" s="60">
        <f t="shared" si="6"/>
        <v>92015</v>
      </c>
    </row>
    <row r="17" spans="1:29">
      <c r="A17" s="83" t="str">
        <f t="shared" si="1"/>
        <v>100-MWL001-NY022-BK</v>
      </c>
      <c r="B17" s="83" t="str">
        <f t="shared" si="2"/>
        <v>92-016-</v>
      </c>
      <c r="C17" s="106" t="s">
        <v>966</v>
      </c>
      <c r="G17" s="106" t="s">
        <v>851</v>
      </c>
      <c r="U17" s="83" t="str">
        <f t="shared" si="3"/>
        <v>100-MWL001-NY022-BK</v>
      </c>
      <c r="V17" s="83" t="str">
        <f t="shared" si="4"/>
        <v>100-MWL001-NY022-BK</v>
      </c>
      <c r="AA17" s="60">
        <f t="shared" si="5"/>
        <v>92</v>
      </c>
      <c r="AB17" s="49">
        <f t="shared" si="0"/>
        <v>16</v>
      </c>
      <c r="AC17" s="60">
        <f t="shared" si="6"/>
        <v>92016</v>
      </c>
    </row>
    <row r="18" spans="1:29">
      <c r="A18" s="83" t="str">
        <f t="shared" si="1"/>
        <v>100-MWL001-NY076-BK</v>
      </c>
      <c r="B18" s="83" t="str">
        <f t="shared" si="2"/>
        <v>92-017-</v>
      </c>
      <c r="C18" s="106" t="s">
        <v>967</v>
      </c>
      <c r="G18" s="106" t="s">
        <v>852</v>
      </c>
      <c r="U18" s="83" t="str">
        <f t="shared" si="3"/>
        <v>100-MWL001-NY076-BK</v>
      </c>
      <c r="V18" s="83" t="str">
        <f t="shared" si="4"/>
        <v>100-MWL001-NY076-BK</v>
      </c>
      <c r="AA18" s="60">
        <f t="shared" si="5"/>
        <v>92</v>
      </c>
      <c r="AB18" s="49">
        <f t="shared" si="0"/>
        <v>17</v>
      </c>
      <c r="AC18" s="60">
        <f t="shared" si="6"/>
        <v>92017</v>
      </c>
    </row>
    <row r="19" spans="1:29">
      <c r="A19" s="83" t="str">
        <f t="shared" si="1"/>
        <v>100-MWL003-PA013-NY</v>
      </c>
      <c r="B19" s="83" t="str">
        <f t="shared" si="2"/>
        <v>92-018-</v>
      </c>
      <c r="C19" s="106" t="s">
        <v>968</v>
      </c>
      <c r="G19" s="106" t="s">
        <v>853</v>
      </c>
      <c r="U19" s="83" t="str">
        <f t="shared" si="3"/>
        <v>100-MWL003-PA013-NY</v>
      </c>
      <c r="V19" s="83" t="str">
        <f t="shared" si="4"/>
        <v>100-MWL003-PA013-NY</v>
      </c>
      <c r="AA19" s="60">
        <f t="shared" si="5"/>
        <v>92</v>
      </c>
      <c r="AB19" s="49">
        <f t="shared" si="0"/>
        <v>18</v>
      </c>
      <c r="AC19" s="60">
        <f t="shared" si="6"/>
        <v>92018</v>
      </c>
    </row>
    <row r="20" spans="1:29">
      <c r="A20" s="83" t="str">
        <f t="shared" si="1"/>
        <v>100-MWL005-CA069-BK</v>
      </c>
      <c r="B20" s="83" t="str">
        <f t="shared" si="2"/>
        <v>92-019-</v>
      </c>
      <c r="C20" s="106" t="s">
        <v>969</v>
      </c>
      <c r="G20" s="106" t="s">
        <v>854</v>
      </c>
      <c r="U20" s="83" t="str">
        <f t="shared" si="3"/>
        <v>100-MWL005-CA069-BK</v>
      </c>
      <c r="V20" s="83" t="str">
        <f t="shared" si="4"/>
        <v>100-MWL005-CA069-BK</v>
      </c>
      <c r="AA20" s="60">
        <f t="shared" si="5"/>
        <v>92</v>
      </c>
      <c r="AB20" s="49">
        <f t="shared" si="0"/>
        <v>19</v>
      </c>
      <c r="AC20" s="60">
        <f t="shared" si="6"/>
        <v>92019</v>
      </c>
    </row>
    <row r="21" spans="1:29">
      <c r="A21" s="83" t="str">
        <f t="shared" si="1"/>
        <v>100-MWL005-CA069-BKA</v>
      </c>
      <c r="B21" s="83" t="str">
        <f t="shared" si="2"/>
        <v>92-020-</v>
      </c>
      <c r="C21" s="106" t="s">
        <v>970</v>
      </c>
      <c r="G21" s="106" t="s">
        <v>855</v>
      </c>
      <c r="U21" s="83" t="str">
        <f t="shared" si="3"/>
        <v>100-MWL005-CA069-BKA</v>
      </c>
      <c r="V21" s="83" t="str">
        <f t="shared" si="4"/>
        <v>100-MWL005-CA069-BKA</v>
      </c>
      <c r="AA21" s="60">
        <f t="shared" si="5"/>
        <v>92</v>
      </c>
      <c r="AB21" s="49">
        <f t="shared" si="0"/>
        <v>20</v>
      </c>
      <c r="AC21" s="60">
        <f t="shared" si="6"/>
        <v>92020</v>
      </c>
    </row>
    <row r="22" spans="1:29">
      <c r="A22" s="83" t="str">
        <f t="shared" si="1"/>
        <v>100-MWL005-CA087-BK</v>
      </c>
      <c r="B22" s="83" t="str">
        <f t="shared" si="2"/>
        <v>92-021-</v>
      </c>
      <c r="C22" s="106" t="s">
        <v>971</v>
      </c>
      <c r="G22" s="106" t="s">
        <v>856</v>
      </c>
      <c r="U22" s="83" t="str">
        <f t="shared" si="3"/>
        <v>100-MWL005-CA087-BK</v>
      </c>
      <c r="V22" s="83" t="str">
        <f t="shared" si="4"/>
        <v>100-MWL005-CA087-BK</v>
      </c>
      <c r="AA22" s="60">
        <f t="shared" si="5"/>
        <v>92</v>
      </c>
      <c r="AB22" s="49">
        <f t="shared" si="0"/>
        <v>21</v>
      </c>
      <c r="AC22" s="60">
        <f t="shared" si="6"/>
        <v>92021</v>
      </c>
    </row>
    <row r="23" spans="1:29">
      <c r="A23" s="83" t="str">
        <f t="shared" si="1"/>
        <v>100-MWL005-CO005-MN</v>
      </c>
      <c r="B23" s="83" t="str">
        <f t="shared" si="2"/>
        <v>92-022-</v>
      </c>
      <c r="C23" s="106" t="s">
        <v>972</v>
      </c>
      <c r="G23" s="106" t="s">
        <v>857</v>
      </c>
      <c r="U23" s="83" t="str">
        <f t="shared" si="3"/>
        <v>100-MWL005-CO005-MN</v>
      </c>
      <c r="V23" s="83" t="str">
        <f t="shared" si="4"/>
        <v>100-MWL005-CO005-MN</v>
      </c>
      <c r="AA23" s="60">
        <f t="shared" si="5"/>
        <v>92</v>
      </c>
      <c r="AB23" s="49">
        <f t="shared" si="0"/>
        <v>22</v>
      </c>
      <c r="AC23" s="60">
        <f t="shared" si="6"/>
        <v>92022</v>
      </c>
    </row>
    <row r="24" spans="1:29">
      <c r="A24" s="83" t="str">
        <f t="shared" si="1"/>
        <v>100-MWL005-GA003-HW</v>
      </c>
      <c r="B24" s="83" t="str">
        <f t="shared" si="2"/>
        <v>92-023-</v>
      </c>
      <c r="C24" s="106" t="s">
        <v>973</v>
      </c>
      <c r="G24" s="106" t="s">
        <v>858</v>
      </c>
      <c r="U24" s="83" t="str">
        <f t="shared" si="3"/>
        <v>100-MWL005-GA003-HW</v>
      </c>
      <c r="V24" s="83" t="str">
        <f t="shared" si="4"/>
        <v>100-MWL005-GA003-HW</v>
      </c>
      <c r="AA24" s="60">
        <f t="shared" si="5"/>
        <v>92</v>
      </c>
      <c r="AB24" s="49">
        <f t="shared" si="0"/>
        <v>23</v>
      </c>
      <c r="AC24" s="60">
        <f t="shared" si="6"/>
        <v>92023</v>
      </c>
    </row>
    <row r="25" spans="1:29">
      <c r="A25" s="83" t="str">
        <f t="shared" si="1"/>
        <v>100-MWL005-IL011-BK</v>
      </c>
      <c r="B25" s="83" t="str">
        <f t="shared" si="2"/>
        <v>92-024-</v>
      </c>
      <c r="C25" s="106" t="s">
        <v>974</v>
      </c>
      <c r="G25" s="106" t="s">
        <v>859</v>
      </c>
      <c r="U25" s="83" t="str">
        <f t="shared" si="3"/>
        <v>100-MWL005-IL011-BK</v>
      </c>
      <c r="V25" s="83" t="str">
        <f t="shared" si="4"/>
        <v>100-MWL005-IL011-BK</v>
      </c>
      <c r="AA25" s="60">
        <f t="shared" si="5"/>
        <v>92</v>
      </c>
      <c r="AB25" s="49">
        <f t="shared" si="0"/>
        <v>24</v>
      </c>
      <c r="AC25" s="60">
        <f t="shared" si="6"/>
        <v>92024</v>
      </c>
    </row>
    <row r="26" spans="1:29">
      <c r="A26" s="83" t="str">
        <f t="shared" si="1"/>
        <v>100-MWL005-IL011-BKA</v>
      </c>
      <c r="B26" s="83" t="str">
        <f t="shared" si="2"/>
        <v>92-025-</v>
      </c>
      <c r="C26" s="106" t="s">
        <v>975</v>
      </c>
      <c r="G26" s="106" t="s">
        <v>860</v>
      </c>
      <c r="U26" s="83" t="str">
        <f t="shared" si="3"/>
        <v>100-MWL005-IL011-BKA</v>
      </c>
      <c r="V26" s="83" t="str">
        <f t="shared" si="4"/>
        <v>100-MWL005-IL011-BKA</v>
      </c>
      <c r="AA26" s="60">
        <f t="shared" si="5"/>
        <v>92</v>
      </c>
      <c r="AB26" s="49">
        <f t="shared" si="0"/>
        <v>25</v>
      </c>
      <c r="AC26" s="60">
        <f t="shared" si="6"/>
        <v>92025</v>
      </c>
    </row>
    <row r="27" spans="1:29">
      <c r="A27" s="83" t="str">
        <f t="shared" si="1"/>
        <v>100-MWL005-MD007-BK</v>
      </c>
      <c r="B27" s="83" t="str">
        <f t="shared" si="2"/>
        <v>92-026-</v>
      </c>
      <c r="C27" s="106" t="s">
        <v>976</v>
      </c>
      <c r="G27" s="106" t="s">
        <v>861</v>
      </c>
      <c r="U27" s="83" t="str">
        <f t="shared" si="3"/>
        <v>100-MWL005-MD007-BK</v>
      </c>
      <c r="V27" s="83" t="str">
        <f t="shared" si="4"/>
        <v>100-MWL005-MD007-BK</v>
      </c>
      <c r="AA27" s="60">
        <f t="shared" si="5"/>
        <v>92</v>
      </c>
      <c r="AB27" s="49">
        <f t="shared" si="0"/>
        <v>26</v>
      </c>
      <c r="AC27" s="60">
        <f t="shared" si="6"/>
        <v>92026</v>
      </c>
    </row>
    <row r="28" spans="1:29">
      <c r="A28" s="83" t="str">
        <f t="shared" si="1"/>
        <v>100-MWL005-MI010-NY</v>
      </c>
      <c r="B28" s="83" t="str">
        <f t="shared" si="2"/>
        <v>92-027-</v>
      </c>
      <c r="C28" s="106" t="s">
        <v>977</v>
      </c>
      <c r="G28" s="106" t="s">
        <v>862</v>
      </c>
      <c r="U28" s="83" t="str">
        <f t="shared" si="3"/>
        <v>100-MWL005-MI010-NY</v>
      </c>
      <c r="V28" s="83" t="str">
        <f t="shared" si="4"/>
        <v>100-MWL005-MI010-NY</v>
      </c>
      <c r="AA28" s="60">
        <f t="shared" si="5"/>
        <v>92</v>
      </c>
      <c r="AB28" s="49">
        <f t="shared" si="0"/>
        <v>27</v>
      </c>
      <c r="AC28" s="60">
        <f t="shared" si="6"/>
        <v>92027</v>
      </c>
    </row>
    <row r="29" spans="1:29">
      <c r="A29" s="83" t="str">
        <f t="shared" si="1"/>
        <v>100-MWL005-NV001-BKA</v>
      </c>
      <c r="B29" s="83" t="str">
        <f t="shared" si="2"/>
        <v>92-028-</v>
      </c>
      <c r="C29" s="106" t="s">
        <v>978</v>
      </c>
      <c r="G29" s="106" t="s">
        <v>863</v>
      </c>
      <c r="U29" s="83" t="str">
        <f t="shared" si="3"/>
        <v>100-MWL005-NV001-BKA</v>
      </c>
      <c r="V29" s="83" t="str">
        <f t="shared" si="4"/>
        <v>100-MWL005-NV001-BKA</v>
      </c>
      <c r="AA29" s="60">
        <f t="shared" si="5"/>
        <v>92</v>
      </c>
      <c r="AB29" s="49">
        <f t="shared" si="0"/>
        <v>28</v>
      </c>
      <c r="AC29" s="60">
        <f t="shared" si="6"/>
        <v>92028</v>
      </c>
    </row>
    <row r="30" spans="1:29">
      <c r="A30" s="83" t="str">
        <f t="shared" si="1"/>
        <v>100-MWL005-NY020-HW</v>
      </c>
      <c r="B30" s="83" t="str">
        <f t="shared" si="2"/>
        <v>92-029-</v>
      </c>
      <c r="C30" s="106" t="s">
        <v>979</v>
      </c>
      <c r="G30" s="106" t="s">
        <v>864</v>
      </c>
      <c r="U30" s="83" t="str">
        <f t="shared" si="3"/>
        <v>100-MWL005-NY020-HW</v>
      </c>
      <c r="V30" s="83" t="str">
        <f t="shared" si="4"/>
        <v>100-MWL005-NY020-HW</v>
      </c>
      <c r="AA30" s="60">
        <f t="shared" si="5"/>
        <v>92</v>
      </c>
      <c r="AB30" s="49">
        <f t="shared" si="0"/>
        <v>29</v>
      </c>
      <c r="AC30" s="60">
        <f t="shared" si="6"/>
        <v>92029</v>
      </c>
    </row>
    <row r="31" spans="1:29">
      <c r="A31" s="83" t="str">
        <f t="shared" si="1"/>
        <v>100-MWL005-NY066-AT</v>
      </c>
      <c r="B31" s="83" t="str">
        <f t="shared" si="2"/>
        <v>92-030-</v>
      </c>
      <c r="C31" s="106" t="s">
        <v>980</v>
      </c>
      <c r="G31" s="106" t="s">
        <v>865</v>
      </c>
      <c r="U31" s="83" t="str">
        <f t="shared" si="3"/>
        <v>100-MWL005-NY066-AT</v>
      </c>
      <c r="V31" s="83" t="str">
        <f t="shared" si="4"/>
        <v>100-MWL005-NY066-AT</v>
      </c>
      <c r="AA31" s="60">
        <f t="shared" si="5"/>
        <v>92</v>
      </c>
      <c r="AB31" s="49">
        <f t="shared" si="0"/>
        <v>30</v>
      </c>
      <c r="AC31" s="60">
        <f t="shared" si="6"/>
        <v>92030</v>
      </c>
    </row>
    <row r="32" spans="1:29">
      <c r="A32" s="83" t="str">
        <f t="shared" si="1"/>
        <v>100-MWL005-NY066-NY</v>
      </c>
      <c r="B32" s="83" t="str">
        <f t="shared" si="2"/>
        <v>92-031-</v>
      </c>
      <c r="C32" s="106" t="s">
        <v>981</v>
      </c>
      <c r="G32" s="106" t="s">
        <v>866</v>
      </c>
      <c r="U32" s="83" t="str">
        <f t="shared" si="3"/>
        <v>100-MWL005-NY066-NY</v>
      </c>
      <c r="V32" s="83" t="str">
        <f t="shared" si="4"/>
        <v>100-MWL005-NY066-NY</v>
      </c>
      <c r="AA32" s="60">
        <f t="shared" si="5"/>
        <v>92</v>
      </c>
      <c r="AB32" s="49">
        <f t="shared" si="0"/>
        <v>31</v>
      </c>
      <c r="AC32" s="60">
        <f t="shared" si="6"/>
        <v>92031</v>
      </c>
    </row>
    <row r="33" spans="1:29">
      <c r="A33" s="83" t="str">
        <f t="shared" si="1"/>
        <v>100-MWL005-NY066-RL</v>
      </c>
      <c r="B33" s="83" t="str">
        <f t="shared" si="2"/>
        <v>92-032-</v>
      </c>
      <c r="C33" s="106" t="s">
        <v>982</v>
      </c>
      <c r="G33" s="106" t="s">
        <v>867</v>
      </c>
      <c r="U33" s="83" t="str">
        <f t="shared" si="3"/>
        <v>100-MWL005-NY066-RL</v>
      </c>
      <c r="V33" s="83" t="str">
        <f t="shared" si="4"/>
        <v>100-MWL005-NY066-RL</v>
      </c>
      <c r="AA33" s="60">
        <f t="shared" si="5"/>
        <v>92</v>
      </c>
      <c r="AB33" s="49">
        <f t="shared" si="0"/>
        <v>32</v>
      </c>
      <c r="AC33" s="60">
        <f t="shared" si="6"/>
        <v>92032</v>
      </c>
    </row>
    <row r="34" spans="1:29">
      <c r="A34" s="83" t="str">
        <f t="shared" si="1"/>
        <v>100-MWL005-TX005-HW</v>
      </c>
      <c r="B34" s="83" t="str">
        <f t="shared" si="2"/>
        <v>92-033-</v>
      </c>
      <c r="C34" s="106" t="s">
        <v>983</v>
      </c>
      <c r="G34" s="106" t="s">
        <v>868</v>
      </c>
      <c r="U34" s="83" t="str">
        <f t="shared" si="3"/>
        <v>100-MWL005-TX005-HW</v>
      </c>
      <c r="V34" s="83" t="str">
        <f t="shared" si="4"/>
        <v>100-MWL005-TX005-HW</v>
      </c>
      <c r="AA34" s="60">
        <f t="shared" si="5"/>
        <v>92</v>
      </c>
      <c r="AB34" s="49">
        <f t="shared" si="0"/>
        <v>33</v>
      </c>
      <c r="AC34" s="60">
        <f t="shared" si="6"/>
        <v>92033</v>
      </c>
    </row>
    <row r="35" spans="1:29">
      <c r="A35" s="83" t="str">
        <f t="shared" si="1"/>
        <v>100-MWL005-WA004-AT</v>
      </c>
      <c r="B35" s="83" t="str">
        <f t="shared" si="2"/>
        <v>92-034-</v>
      </c>
      <c r="C35" s="106" t="s">
        <v>984</v>
      </c>
      <c r="G35" s="106" t="s">
        <v>869</v>
      </c>
      <c r="U35" s="83" t="str">
        <f t="shared" si="3"/>
        <v>100-MWL005-WA004-AT</v>
      </c>
      <c r="V35" s="83" t="str">
        <f t="shared" si="4"/>
        <v>100-MWL005-WA004-AT</v>
      </c>
      <c r="AA35" s="60">
        <f t="shared" si="5"/>
        <v>92</v>
      </c>
      <c r="AB35" s="49">
        <f t="shared" si="0"/>
        <v>34</v>
      </c>
      <c r="AC35" s="60">
        <f t="shared" si="6"/>
        <v>92034</v>
      </c>
    </row>
    <row r="36" spans="1:29">
      <c r="A36" s="83" t="str">
        <f t="shared" si="1"/>
        <v>100-MWL025-CA006-FT</v>
      </c>
      <c r="B36" s="83" t="str">
        <f t="shared" si="2"/>
        <v>92-035-</v>
      </c>
      <c r="C36" s="106" t="s">
        <v>985</v>
      </c>
      <c r="G36" s="106" t="s">
        <v>870</v>
      </c>
      <c r="U36" s="83" t="str">
        <f t="shared" si="3"/>
        <v>100-MWL025-CA006-FT</v>
      </c>
      <c r="V36" s="83" t="str">
        <f t="shared" si="4"/>
        <v>100-MWL025-CA006-FT</v>
      </c>
      <c r="AA36" s="60">
        <f t="shared" si="5"/>
        <v>92</v>
      </c>
      <c r="AB36" s="49">
        <f t="shared" si="0"/>
        <v>35</v>
      </c>
      <c r="AC36" s="60">
        <f t="shared" si="6"/>
        <v>92035</v>
      </c>
    </row>
    <row r="37" spans="1:29">
      <c r="A37" s="83" t="str">
        <f t="shared" si="1"/>
        <v>100-MWL025-CA012-HW</v>
      </c>
      <c r="B37" s="83" t="str">
        <f t="shared" si="2"/>
        <v>92-036-</v>
      </c>
      <c r="C37" s="106" t="s">
        <v>986</v>
      </c>
      <c r="G37" s="106" t="s">
        <v>871</v>
      </c>
      <c r="U37" s="83" t="str">
        <f t="shared" si="3"/>
        <v>100-MWL025-CA012-HW</v>
      </c>
      <c r="V37" s="83" t="str">
        <f t="shared" si="4"/>
        <v>100-MWL025-CA012-HW</v>
      </c>
      <c r="AA37" s="60">
        <f t="shared" si="5"/>
        <v>92</v>
      </c>
      <c r="AB37" s="49">
        <f t="shared" si="0"/>
        <v>36</v>
      </c>
      <c r="AC37" s="60">
        <f t="shared" si="6"/>
        <v>92036</v>
      </c>
    </row>
    <row r="38" spans="1:29">
      <c r="A38" s="83" t="str">
        <f t="shared" si="1"/>
        <v>100-MWL025-CA016-BK</v>
      </c>
      <c r="B38" s="83" t="str">
        <f t="shared" si="2"/>
        <v>92-037-</v>
      </c>
      <c r="C38" s="106" t="s">
        <v>987</v>
      </c>
      <c r="G38" s="106" t="s">
        <v>872</v>
      </c>
      <c r="U38" s="83" t="str">
        <f t="shared" si="3"/>
        <v>100-MWL025-CA016-BK</v>
      </c>
      <c r="V38" s="83" t="str">
        <f t="shared" si="4"/>
        <v>100-MWL025-CA016-BK</v>
      </c>
      <c r="AA38" s="60">
        <f t="shared" si="5"/>
        <v>92</v>
      </c>
      <c r="AB38" s="49">
        <f t="shared" si="0"/>
        <v>37</v>
      </c>
      <c r="AC38" s="60">
        <f t="shared" si="6"/>
        <v>92037</v>
      </c>
    </row>
    <row r="39" spans="1:29">
      <c r="A39" s="83" t="str">
        <f t="shared" si="1"/>
        <v>100-MWL025-NY018-BK</v>
      </c>
      <c r="B39" s="83" t="str">
        <f t="shared" si="2"/>
        <v>92-038-</v>
      </c>
      <c r="C39" s="106" t="s">
        <v>988</v>
      </c>
      <c r="G39" s="106" t="s">
        <v>873</v>
      </c>
      <c r="U39" s="83" t="str">
        <f t="shared" si="3"/>
        <v>100-MWL025-NY018-BK</v>
      </c>
      <c r="V39" s="83" t="str">
        <f t="shared" si="4"/>
        <v>100-MWL025-NY018-BK</v>
      </c>
      <c r="AA39" s="60">
        <f t="shared" si="5"/>
        <v>92</v>
      </c>
      <c r="AB39" s="49">
        <f t="shared" si="0"/>
        <v>38</v>
      </c>
      <c r="AC39" s="60">
        <f t="shared" si="6"/>
        <v>92038</v>
      </c>
    </row>
    <row r="40" spans="1:29">
      <c r="A40" s="83" t="str">
        <f t="shared" si="1"/>
        <v>100-MWL025-NY027-FT</v>
      </c>
      <c r="B40" s="83" t="str">
        <f t="shared" si="2"/>
        <v>92-039-</v>
      </c>
      <c r="C40" s="106" t="s">
        <v>989</v>
      </c>
      <c r="G40" s="106" t="s">
        <v>874</v>
      </c>
      <c r="U40" s="83" t="str">
        <f t="shared" si="3"/>
        <v>100-MWL025-NY027-FT</v>
      </c>
      <c r="V40" s="83" t="str">
        <f t="shared" si="4"/>
        <v>100-MWL025-NY027-FT</v>
      </c>
      <c r="AA40" s="60">
        <f t="shared" si="5"/>
        <v>92</v>
      </c>
      <c r="AB40" s="49">
        <f t="shared" si="0"/>
        <v>39</v>
      </c>
      <c r="AC40" s="60">
        <f t="shared" si="6"/>
        <v>92039</v>
      </c>
    </row>
    <row r="41" spans="1:29">
      <c r="A41" s="83" t="str">
        <f t="shared" si="1"/>
        <v>103-SWC001-CA001-KH</v>
      </c>
      <c r="B41" s="83" t="str">
        <f t="shared" si="2"/>
        <v>92-040-</v>
      </c>
      <c r="C41" s="106" t="s">
        <v>990</v>
      </c>
      <c r="G41" s="106" t="s">
        <v>875</v>
      </c>
      <c r="U41" s="83" t="str">
        <f t="shared" si="3"/>
        <v>103-SWC001-CA001-KH</v>
      </c>
      <c r="V41" s="83" t="str">
        <f t="shared" si="4"/>
        <v>103-SWC001-CA001-KH</v>
      </c>
      <c r="AA41" s="60">
        <f t="shared" si="5"/>
        <v>92</v>
      </c>
      <c r="AB41" s="49">
        <f t="shared" si="0"/>
        <v>40</v>
      </c>
      <c r="AC41" s="60">
        <f t="shared" si="6"/>
        <v>92040</v>
      </c>
    </row>
    <row r="42" spans="1:29">
      <c r="A42" s="83" t="str">
        <f t="shared" si="1"/>
        <v>103-SWC001-CA002-KH</v>
      </c>
      <c r="B42" s="83" t="str">
        <f t="shared" si="2"/>
        <v>92-041-</v>
      </c>
      <c r="C42" s="106" t="s">
        <v>991</v>
      </c>
      <c r="G42" s="106" t="s">
        <v>876</v>
      </c>
      <c r="U42" s="83" t="str">
        <f t="shared" si="3"/>
        <v>103-SWC001-CA002-KH</v>
      </c>
      <c r="V42" s="83" t="str">
        <f t="shared" si="4"/>
        <v>103-SWC001-CA002-KH</v>
      </c>
      <c r="AA42" s="60">
        <f t="shared" si="5"/>
        <v>92</v>
      </c>
      <c r="AB42" s="49">
        <f t="shared" si="0"/>
        <v>41</v>
      </c>
      <c r="AC42" s="60">
        <f t="shared" si="6"/>
        <v>92041</v>
      </c>
    </row>
    <row r="43" spans="1:29">
      <c r="A43" s="83" t="str">
        <f t="shared" si="1"/>
        <v>103-SWC001-CA007-GY</v>
      </c>
      <c r="B43" s="83" t="str">
        <f t="shared" si="2"/>
        <v>92-042-</v>
      </c>
      <c r="C43" s="106" t="s">
        <v>992</v>
      </c>
      <c r="G43" s="106" t="s">
        <v>877</v>
      </c>
      <c r="U43" s="83" t="str">
        <f t="shared" si="3"/>
        <v>103-SWC001-CA007-GY</v>
      </c>
      <c r="V43" s="83" t="str">
        <f t="shared" si="4"/>
        <v>103-SWC001-CA007-GY</v>
      </c>
      <c r="AA43" s="60">
        <f t="shared" si="5"/>
        <v>92</v>
      </c>
      <c r="AB43" s="49">
        <f t="shared" si="0"/>
        <v>42</v>
      </c>
      <c r="AC43" s="60">
        <f t="shared" si="6"/>
        <v>92042</v>
      </c>
    </row>
    <row r="44" spans="1:29">
      <c r="A44" s="83" t="str">
        <f t="shared" si="1"/>
        <v>103-SWC001-CA008-MC</v>
      </c>
      <c r="B44" s="83" t="str">
        <f t="shared" si="2"/>
        <v>92-043-</v>
      </c>
      <c r="C44" s="106" t="s">
        <v>993</v>
      </c>
      <c r="G44" s="106" t="s">
        <v>878</v>
      </c>
      <c r="U44" s="83" t="str">
        <f t="shared" si="3"/>
        <v>103-SWC001-CA008-MC</v>
      </c>
      <c r="V44" s="83" t="str">
        <f t="shared" si="4"/>
        <v>103-SWC001-CA008-MC</v>
      </c>
      <c r="AA44" s="60">
        <f t="shared" si="5"/>
        <v>92</v>
      </c>
      <c r="AB44" s="49">
        <f t="shared" si="0"/>
        <v>43</v>
      </c>
      <c r="AC44" s="60">
        <f t="shared" si="6"/>
        <v>92043</v>
      </c>
    </row>
    <row r="45" spans="1:29">
      <c r="A45" s="83" t="str">
        <f t="shared" si="1"/>
        <v>103-SWC001-NY001-KH</v>
      </c>
      <c r="B45" s="83" t="str">
        <f t="shared" si="2"/>
        <v>92-044-</v>
      </c>
      <c r="C45" s="106" t="s">
        <v>994</v>
      </c>
      <c r="G45" s="106" t="s">
        <v>879</v>
      </c>
      <c r="U45" s="83" t="str">
        <f t="shared" si="3"/>
        <v>103-SWC001-NY001-KH</v>
      </c>
      <c r="V45" s="83" t="str">
        <f t="shared" si="4"/>
        <v>103-SWC001-NY001-KH</v>
      </c>
      <c r="AA45" s="60">
        <f t="shared" si="5"/>
        <v>92</v>
      </c>
      <c r="AB45" s="49">
        <f t="shared" si="0"/>
        <v>44</v>
      </c>
      <c r="AC45" s="60">
        <f t="shared" si="6"/>
        <v>92044</v>
      </c>
    </row>
    <row r="46" spans="1:29">
      <c r="A46" s="83" t="str">
        <f t="shared" si="1"/>
        <v>103-SWC001-NY015-BK</v>
      </c>
      <c r="B46" s="83" t="str">
        <f t="shared" si="2"/>
        <v>92-045-</v>
      </c>
      <c r="C46" s="106" t="s">
        <v>995</v>
      </c>
      <c r="G46" s="106" t="s">
        <v>880</v>
      </c>
      <c r="U46" s="83" t="str">
        <f t="shared" si="3"/>
        <v>103-SWC001-NY015-BK</v>
      </c>
      <c r="V46" s="83" t="str">
        <f t="shared" si="4"/>
        <v>103-SWC001-NY015-BK</v>
      </c>
      <c r="AA46" s="60">
        <f t="shared" si="5"/>
        <v>92</v>
      </c>
      <c r="AB46" s="49">
        <f t="shared" si="0"/>
        <v>45</v>
      </c>
      <c r="AC46" s="60">
        <f t="shared" si="6"/>
        <v>92045</v>
      </c>
    </row>
    <row r="47" spans="1:29">
      <c r="A47" s="83" t="str">
        <f t="shared" si="1"/>
        <v>103-SWC001-NY022-GY</v>
      </c>
      <c r="B47" s="83" t="str">
        <f t="shared" si="2"/>
        <v>92-046-</v>
      </c>
      <c r="C47" s="106" t="s">
        <v>996</v>
      </c>
      <c r="G47" s="106" t="s">
        <v>881</v>
      </c>
      <c r="U47" s="83" t="str">
        <f t="shared" si="3"/>
        <v>103-SWC001-NY022-GY</v>
      </c>
      <c r="V47" s="83" t="str">
        <f t="shared" si="4"/>
        <v>103-SWC001-NY022-GY</v>
      </c>
      <c r="AA47" s="60">
        <f t="shared" si="5"/>
        <v>92</v>
      </c>
      <c r="AB47" s="49">
        <f t="shared" si="0"/>
        <v>46</v>
      </c>
      <c r="AC47" s="60">
        <f t="shared" si="6"/>
        <v>92046</v>
      </c>
    </row>
    <row r="48" spans="1:29">
      <c r="A48" s="83" t="str">
        <f t="shared" si="1"/>
        <v>103-SWC001-NY037-BD</v>
      </c>
      <c r="B48" s="83" t="str">
        <f t="shared" si="2"/>
        <v>92-047-</v>
      </c>
      <c r="C48" s="106" t="s">
        <v>997</v>
      </c>
      <c r="G48" s="106" t="s">
        <v>882</v>
      </c>
      <c r="U48" s="83" t="str">
        <f t="shared" si="3"/>
        <v>103-SWC001-NY037-BD</v>
      </c>
      <c r="V48" s="83" t="str">
        <f t="shared" si="4"/>
        <v>103-SWC001-NY037-BD</v>
      </c>
      <c r="AA48" s="60">
        <f t="shared" si="5"/>
        <v>92</v>
      </c>
      <c r="AB48" s="49">
        <f t="shared" si="0"/>
        <v>47</v>
      </c>
      <c r="AC48" s="60">
        <f t="shared" si="6"/>
        <v>92047</v>
      </c>
    </row>
    <row r="49" spans="1:29">
      <c r="A49" s="83" t="str">
        <f t="shared" si="1"/>
        <v>103-SWC001-UT002-MC</v>
      </c>
      <c r="B49" s="83" t="str">
        <f t="shared" si="2"/>
        <v>92-048-</v>
      </c>
      <c r="C49" s="106" t="s">
        <v>998</v>
      </c>
      <c r="G49" s="106" t="s">
        <v>883</v>
      </c>
      <c r="U49" s="83" t="str">
        <f t="shared" si="3"/>
        <v>103-SWC001-UT002-MC</v>
      </c>
      <c r="V49" s="83" t="str">
        <f t="shared" si="4"/>
        <v>103-SWC001-UT002-MC</v>
      </c>
      <c r="AA49" s="60">
        <f t="shared" si="5"/>
        <v>92</v>
      </c>
      <c r="AB49" s="49">
        <f t="shared" si="0"/>
        <v>48</v>
      </c>
      <c r="AC49" s="60">
        <f t="shared" si="6"/>
        <v>92048</v>
      </c>
    </row>
    <row r="50" spans="1:29">
      <c r="A50" s="83" t="str">
        <f t="shared" si="1"/>
        <v>103-SWC002-NY020-BK</v>
      </c>
      <c r="B50" s="83" t="str">
        <f t="shared" si="2"/>
        <v>92-049-</v>
      </c>
      <c r="C50" s="106" t="s">
        <v>999</v>
      </c>
      <c r="G50" s="106" t="s">
        <v>884</v>
      </c>
      <c r="U50" s="83" t="str">
        <f t="shared" si="3"/>
        <v>103-SWC002-NY020-BK</v>
      </c>
      <c r="V50" s="83" t="str">
        <f t="shared" si="4"/>
        <v>103-SWC002-NY020-BK</v>
      </c>
      <c r="AA50" s="60">
        <f t="shared" si="5"/>
        <v>92</v>
      </c>
      <c r="AB50" s="49">
        <f t="shared" si="0"/>
        <v>49</v>
      </c>
      <c r="AC50" s="60">
        <f t="shared" si="6"/>
        <v>92049</v>
      </c>
    </row>
    <row r="51" spans="1:29">
      <c r="A51" s="83" t="str">
        <f t="shared" si="1"/>
        <v>103-SWC003-CA047-ST</v>
      </c>
      <c r="B51" s="83" t="str">
        <f t="shared" si="2"/>
        <v>92-050-</v>
      </c>
      <c r="C51" s="106" t="s">
        <v>1000</v>
      </c>
      <c r="G51" s="106" t="s">
        <v>885</v>
      </c>
      <c r="U51" s="83" t="str">
        <f t="shared" si="3"/>
        <v>103-SWC003-CA047-ST</v>
      </c>
      <c r="V51" s="83" t="str">
        <f t="shared" si="4"/>
        <v>103-SWC003-CA047-ST</v>
      </c>
      <c r="AA51" s="60">
        <f t="shared" si="5"/>
        <v>92</v>
      </c>
      <c r="AB51" s="49">
        <f t="shared" si="0"/>
        <v>50</v>
      </c>
      <c r="AC51" s="60">
        <f t="shared" si="6"/>
        <v>92050</v>
      </c>
    </row>
    <row r="52" spans="1:29">
      <c r="A52" s="83" t="str">
        <f t="shared" si="1"/>
        <v/>
      </c>
      <c r="B52" s="83" t="str">
        <f t="shared" si="2"/>
        <v/>
      </c>
      <c r="U52" s="83" t="str">
        <f t="shared" si="3"/>
        <v/>
      </c>
      <c r="V52" s="83" t="str">
        <f t="shared" si="4"/>
        <v/>
      </c>
      <c r="AA52" s="60">
        <f t="shared" si="5"/>
        <v>0</v>
      </c>
      <c r="AB52" s="49">
        <f t="shared" si="0"/>
        <v>0</v>
      </c>
      <c r="AC52" s="60">
        <f t="shared" si="6"/>
        <v>0</v>
      </c>
    </row>
    <row r="53" spans="1:29">
      <c r="A53" s="83" t="str">
        <f t="shared" si="1"/>
        <v/>
      </c>
      <c r="B53" s="83" t="str">
        <f t="shared" si="2"/>
        <v/>
      </c>
      <c r="U53" s="83" t="str">
        <f t="shared" si="3"/>
        <v/>
      </c>
      <c r="V53" s="83" t="str">
        <f t="shared" si="4"/>
        <v/>
      </c>
      <c r="AA53" s="60">
        <f t="shared" si="5"/>
        <v>0</v>
      </c>
      <c r="AB53" s="49">
        <f t="shared" si="0"/>
        <v>0</v>
      </c>
      <c r="AC53" s="60">
        <f t="shared" si="6"/>
        <v>0</v>
      </c>
    </row>
    <row r="54" spans="1:29">
      <c r="A54" s="83" t="str">
        <f t="shared" si="1"/>
        <v/>
      </c>
      <c r="B54" s="83" t="str">
        <f t="shared" si="2"/>
        <v/>
      </c>
      <c r="U54" s="83" t="str">
        <f t="shared" si="3"/>
        <v/>
      </c>
      <c r="V54" s="83" t="str">
        <f t="shared" si="4"/>
        <v/>
      </c>
      <c r="AA54" s="60">
        <f t="shared" si="5"/>
        <v>0</v>
      </c>
      <c r="AB54" s="49">
        <f t="shared" si="0"/>
        <v>0</v>
      </c>
      <c r="AC54" s="60">
        <f t="shared" si="6"/>
        <v>0</v>
      </c>
    </row>
    <row r="55" spans="1:29">
      <c r="A55" s="83" t="str">
        <f t="shared" si="1"/>
        <v/>
      </c>
      <c r="B55" s="83" t="str">
        <f t="shared" si="2"/>
        <v/>
      </c>
      <c r="U55" s="83" t="str">
        <f t="shared" si="3"/>
        <v/>
      </c>
      <c r="V55" s="83" t="str">
        <f t="shared" si="4"/>
        <v/>
      </c>
      <c r="AA55" s="60">
        <f t="shared" si="5"/>
        <v>0</v>
      </c>
      <c r="AB55" s="49">
        <f t="shared" si="0"/>
        <v>0</v>
      </c>
      <c r="AC55" s="60">
        <f t="shared" si="6"/>
        <v>0</v>
      </c>
    </row>
    <row r="56" spans="1:29">
      <c r="A56" s="83" t="str">
        <f t="shared" si="1"/>
        <v/>
      </c>
      <c r="B56" s="83" t="str">
        <f t="shared" si="2"/>
        <v/>
      </c>
      <c r="U56" s="83" t="str">
        <f t="shared" si="3"/>
        <v/>
      </c>
      <c r="V56" s="83" t="str">
        <f t="shared" si="4"/>
        <v/>
      </c>
      <c r="AA56" s="60">
        <f t="shared" si="5"/>
        <v>0</v>
      </c>
      <c r="AB56" s="49">
        <f t="shared" si="0"/>
        <v>0</v>
      </c>
      <c r="AC56" s="60">
        <f t="shared" si="6"/>
        <v>0</v>
      </c>
    </row>
    <row r="57" spans="1:29">
      <c r="A57" s="83" t="str">
        <f t="shared" si="1"/>
        <v/>
      </c>
      <c r="B57" s="83" t="str">
        <f t="shared" si="2"/>
        <v/>
      </c>
      <c r="U57" s="83" t="str">
        <f t="shared" si="3"/>
        <v/>
      </c>
      <c r="V57" s="83" t="str">
        <f t="shared" si="4"/>
        <v/>
      </c>
      <c r="AA57" s="60">
        <f t="shared" si="5"/>
        <v>0</v>
      </c>
      <c r="AB57" s="49">
        <f t="shared" si="0"/>
        <v>0</v>
      </c>
      <c r="AC57" s="60">
        <f t="shared" si="6"/>
        <v>0</v>
      </c>
    </row>
    <row r="58" spans="1:29">
      <c r="A58" s="83" t="str">
        <f t="shared" si="1"/>
        <v/>
      </c>
      <c r="B58" s="83" t="str">
        <f t="shared" si="2"/>
        <v/>
      </c>
      <c r="U58" s="83" t="str">
        <f t="shared" si="3"/>
        <v/>
      </c>
      <c r="V58" s="83" t="str">
        <f t="shared" si="4"/>
        <v/>
      </c>
      <c r="AA58" s="60">
        <f t="shared" si="5"/>
        <v>0</v>
      </c>
      <c r="AB58" s="49">
        <f t="shared" si="0"/>
        <v>0</v>
      </c>
      <c r="AC58" s="60">
        <f t="shared" si="6"/>
        <v>0</v>
      </c>
    </row>
    <row r="59" spans="1:29">
      <c r="A59" s="83" t="str">
        <f t="shared" si="1"/>
        <v/>
      </c>
      <c r="B59" s="83" t="str">
        <f t="shared" si="2"/>
        <v/>
      </c>
      <c r="U59" s="83" t="str">
        <f t="shared" si="3"/>
        <v/>
      </c>
      <c r="V59" s="83" t="str">
        <f t="shared" si="4"/>
        <v/>
      </c>
      <c r="AA59" s="60">
        <f t="shared" si="5"/>
        <v>0</v>
      </c>
      <c r="AB59" s="49">
        <f t="shared" si="0"/>
        <v>0</v>
      </c>
      <c r="AC59" s="60">
        <f t="shared" si="6"/>
        <v>0</v>
      </c>
    </row>
    <row r="60" spans="1:29">
      <c r="A60" s="83" t="str">
        <f t="shared" si="1"/>
        <v/>
      </c>
      <c r="B60" s="83" t="str">
        <f t="shared" si="2"/>
        <v/>
      </c>
      <c r="U60" s="83" t="str">
        <f t="shared" si="3"/>
        <v/>
      </c>
      <c r="V60" s="83" t="str">
        <f t="shared" si="4"/>
        <v/>
      </c>
      <c r="AA60" s="60">
        <f t="shared" si="5"/>
        <v>0</v>
      </c>
      <c r="AB60" s="49">
        <f t="shared" si="0"/>
        <v>0</v>
      </c>
      <c r="AC60" s="60">
        <f t="shared" si="6"/>
        <v>0</v>
      </c>
    </row>
    <row r="61" spans="1:29">
      <c r="A61" s="83" t="str">
        <f t="shared" si="1"/>
        <v/>
      </c>
      <c r="B61" s="83" t="str">
        <f t="shared" si="2"/>
        <v/>
      </c>
      <c r="U61" s="83" t="str">
        <f t="shared" si="3"/>
        <v/>
      </c>
      <c r="V61" s="83" t="str">
        <f t="shared" si="4"/>
        <v/>
      </c>
      <c r="AA61" s="60">
        <f t="shared" si="5"/>
        <v>0</v>
      </c>
      <c r="AB61" s="49">
        <f t="shared" si="0"/>
        <v>0</v>
      </c>
      <c r="AC61" s="60">
        <f t="shared" si="6"/>
        <v>0</v>
      </c>
    </row>
    <row r="62" spans="1:29">
      <c r="A62" s="83" t="str">
        <f t="shared" si="1"/>
        <v/>
      </c>
      <c r="B62" s="83" t="str">
        <f t="shared" si="2"/>
        <v/>
      </c>
      <c r="U62" s="83" t="str">
        <f t="shared" si="3"/>
        <v/>
      </c>
      <c r="V62" s="83" t="str">
        <f t="shared" si="4"/>
        <v/>
      </c>
      <c r="AA62" s="60">
        <f t="shared" si="5"/>
        <v>0</v>
      </c>
      <c r="AB62" s="49">
        <f t="shared" si="0"/>
        <v>0</v>
      </c>
      <c r="AC62" s="60">
        <f t="shared" si="6"/>
        <v>0</v>
      </c>
    </row>
    <row r="63" spans="1:29">
      <c r="A63" s="83" t="str">
        <f t="shared" si="1"/>
        <v/>
      </c>
      <c r="B63" s="83" t="str">
        <f t="shared" si="2"/>
        <v/>
      </c>
      <c r="U63" s="83" t="str">
        <f t="shared" si="3"/>
        <v/>
      </c>
      <c r="V63" s="83" t="str">
        <f t="shared" si="4"/>
        <v/>
      </c>
      <c r="AA63" s="60">
        <f t="shared" si="5"/>
        <v>0</v>
      </c>
      <c r="AB63" s="49">
        <f t="shared" si="0"/>
        <v>0</v>
      </c>
      <c r="AC63" s="60">
        <f t="shared" si="6"/>
        <v>0</v>
      </c>
    </row>
    <row r="64" spans="1:29">
      <c r="A64" s="83" t="str">
        <f t="shared" si="1"/>
        <v/>
      </c>
      <c r="B64" s="83" t="str">
        <f t="shared" si="2"/>
        <v/>
      </c>
      <c r="U64" s="83" t="str">
        <f t="shared" si="3"/>
        <v/>
      </c>
      <c r="V64" s="83" t="str">
        <f t="shared" si="4"/>
        <v/>
      </c>
      <c r="AA64" s="60">
        <f t="shared" si="5"/>
        <v>0</v>
      </c>
      <c r="AB64" s="49">
        <f t="shared" si="0"/>
        <v>0</v>
      </c>
      <c r="AC64" s="60">
        <f t="shared" si="6"/>
        <v>0</v>
      </c>
    </row>
    <row r="65" spans="1:29">
      <c r="A65" s="83" t="str">
        <f t="shared" si="1"/>
        <v/>
      </c>
      <c r="B65" s="83" t="str">
        <f t="shared" si="2"/>
        <v/>
      </c>
      <c r="U65" s="83" t="str">
        <f t="shared" si="3"/>
        <v/>
      </c>
      <c r="V65" s="83" t="str">
        <f t="shared" si="4"/>
        <v/>
      </c>
      <c r="AA65" s="60">
        <f t="shared" si="5"/>
        <v>0</v>
      </c>
      <c r="AB65" s="49">
        <f t="shared" si="0"/>
        <v>0</v>
      </c>
      <c r="AC65" s="60">
        <f t="shared" si="6"/>
        <v>0</v>
      </c>
    </row>
    <row r="66" spans="1:29">
      <c r="A66" s="83" t="str">
        <f t="shared" si="1"/>
        <v/>
      </c>
      <c r="B66" s="83" t="str">
        <f t="shared" si="2"/>
        <v/>
      </c>
      <c r="U66" s="83" t="str">
        <f t="shared" si="3"/>
        <v/>
      </c>
      <c r="V66" s="83" t="str">
        <f t="shared" si="4"/>
        <v/>
      </c>
      <c r="AA66" s="60">
        <f t="shared" si="5"/>
        <v>0</v>
      </c>
      <c r="AB66" s="49">
        <f t="shared" si="0"/>
        <v>0</v>
      </c>
      <c r="AC66" s="60">
        <f t="shared" si="6"/>
        <v>0</v>
      </c>
    </row>
    <row r="67" spans="1:29">
      <c r="A67" s="83" t="str">
        <f t="shared" ref="A67:A130" si="7">IF(G67&amp;Q67&lt;&gt;"",U67&amp;Q67,"")</f>
        <v/>
      </c>
      <c r="B67" s="83" t="str">
        <f t="shared" ref="B67:B130" si="8">IF(C67&lt;&gt;"",LEFT(C67,9),"")</f>
        <v/>
      </c>
      <c r="U67" s="83" t="str">
        <f t="shared" ref="U67:U130" si="9">IF(G67&lt;&gt;"",IF(StyleSpaceSplit,IFERROR(IF(FIND(" ",G67)&gt;=1,MID(G67,1,FIND(" ",G67)-1),G67),G67),G67),"")</f>
        <v/>
      </c>
      <c r="V67" s="83" t="str">
        <f t="shared" ref="V67:V130" si="10">IF(A67&lt;&gt;"",IFERROR(IF(FIND(" ",G67)&gt;=1,MID(G67,FIND(" ",G67)+1,LEN(G67)),""),G67),"")</f>
        <v/>
      </c>
      <c r="AA67" s="60">
        <f t="shared" ref="AA67:AA130" si="11">IFERROR(VALUE(MID($C67,1,2)),0)</f>
        <v>0</v>
      </c>
      <c r="AB67" s="49">
        <f t="shared" ref="AB67:AB130" si="12">IFERROR(VALUE(MID($C67,4,3)),0)</f>
        <v>0</v>
      </c>
      <c r="AC67" s="60">
        <f t="shared" ref="AC67:AC130" si="13">VALUE(RIGHT("00"&amp;AA67,2)&amp;RIGHT("000"&amp;AB67,3))</f>
        <v>0</v>
      </c>
    </row>
    <row r="68" spans="1:29">
      <c r="A68" s="83" t="str">
        <f t="shared" si="7"/>
        <v/>
      </c>
      <c r="B68" s="83" t="str">
        <f t="shared" si="8"/>
        <v/>
      </c>
      <c r="U68" s="83" t="str">
        <f t="shared" si="9"/>
        <v/>
      </c>
      <c r="V68" s="83" t="str">
        <f t="shared" si="10"/>
        <v/>
      </c>
      <c r="AA68" s="60">
        <f t="shared" si="11"/>
        <v>0</v>
      </c>
      <c r="AB68" s="49">
        <f t="shared" si="12"/>
        <v>0</v>
      </c>
      <c r="AC68" s="60">
        <f t="shared" si="13"/>
        <v>0</v>
      </c>
    </row>
    <row r="69" spans="1:29">
      <c r="A69" s="83" t="str">
        <f t="shared" si="7"/>
        <v/>
      </c>
      <c r="B69" s="83" t="str">
        <f t="shared" si="8"/>
        <v/>
      </c>
      <c r="U69" s="83" t="str">
        <f t="shared" si="9"/>
        <v/>
      </c>
      <c r="V69" s="83" t="str">
        <f t="shared" si="10"/>
        <v/>
      </c>
      <c r="AA69" s="60">
        <f t="shared" si="11"/>
        <v>0</v>
      </c>
      <c r="AB69" s="49">
        <f t="shared" si="12"/>
        <v>0</v>
      </c>
      <c r="AC69" s="60">
        <f t="shared" si="13"/>
        <v>0</v>
      </c>
    </row>
    <row r="70" spans="1:29">
      <c r="A70" s="83" t="str">
        <f t="shared" si="7"/>
        <v/>
      </c>
      <c r="B70" s="83" t="str">
        <f t="shared" si="8"/>
        <v/>
      </c>
      <c r="U70" s="83" t="str">
        <f t="shared" si="9"/>
        <v/>
      </c>
      <c r="V70" s="83" t="str">
        <f t="shared" si="10"/>
        <v/>
      </c>
      <c r="AA70" s="60">
        <f t="shared" si="11"/>
        <v>0</v>
      </c>
      <c r="AB70" s="49">
        <f t="shared" si="12"/>
        <v>0</v>
      </c>
      <c r="AC70" s="60">
        <f t="shared" si="13"/>
        <v>0</v>
      </c>
    </row>
    <row r="71" spans="1:29">
      <c r="A71" s="83" t="str">
        <f t="shared" si="7"/>
        <v/>
      </c>
      <c r="B71" s="83" t="str">
        <f t="shared" si="8"/>
        <v/>
      </c>
      <c r="U71" s="83" t="str">
        <f t="shared" si="9"/>
        <v/>
      </c>
      <c r="V71" s="83" t="str">
        <f t="shared" si="10"/>
        <v/>
      </c>
      <c r="AA71" s="60">
        <f t="shared" si="11"/>
        <v>0</v>
      </c>
      <c r="AB71" s="49">
        <f t="shared" si="12"/>
        <v>0</v>
      </c>
      <c r="AC71" s="60">
        <f t="shared" si="13"/>
        <v>0</v>
      </c>
    </row>
    <row r="72" spans="1:29">
      <c r="A72" s="83" t="str">
        <f t="shared" si="7"/>
        <v/>
      </c>
      <c r="B72" s="83" t="str">
        <f t="shared" si="8"/>
        <v/>
      </c>
      <c r="U72" s="83" t="str">
        <f t="shared" si="9"/>
        <v/>
      </c>
      <c r="V72" s="83" t="str">
        <f t="shared" si="10"/>
        <v/>
      </c>
      <c r="AA72" s="60">
        <f t="shared" si="11"/>
        <v>0</v>
      </c>
      <c r="AB72" s="49">
        <f t="shared" si="12"/>
        <v>0</v>
      </c>
      <c r="AC72" s="60">
        <f t="shared" si="13"/>
        <v>0</v>
      </c>
    </row>
    <row r="73" spans="1:29">
      <c r="A73" s="83" t="str">
        <f t="shared" si="7"/>
        <v/>
      </c>
      <c r="B73" s="83" t="str">
        <f t="shared" si="8"/>
        <v/>
      </c>
      <c r="U73" s="83" t="str">
        <f t="shared" si="9"/>
        <v/>
      </c>
      <c r="V73" s="83" t="str">
        <f t="shared" si="10"/>
        <v/>
      </c>
      <c r="AA73" s="60">
        <f t="shared" si="11"/>
        <v>0</v>
      </c>
      <c r="AB73" s="49">
        <f t="shared" si="12"/>
        <v>0</v>
      </c>
      <c r="AC73" s="60">
        <f t="shared" si="13"/>
        <v>0</v>
      </c>
    </row>
    <row r="74" spans="1:29">
      <c r="A74" s="83" t="str">
        <f t="shared" si="7"/>
        <v/>
      </c>
      <c r="B74" s="83" t="str">
        <f t="shared" si="8"/>
        <v/>
      </c>
      <c r="U74" s="83" t="str">
        <f t="shared" si="9"/>
        <v/>
      </c>
      <c r="V74" s="83" t="str">
        <f t="shared" si="10"/>
        <v/>
      </c>
      <c r="AA74" s="60">
        <f t="shared" si="11"/>
        <v>0</v>
      </c>
      <c r="AB74" s="49">
        <f t="shared" si="12"/>
        <v>0</v>
      </c>
      <c r="AC74" s="60">
        <f t="shared" si="13"/>
        <v>0</v>
      </c>
    </row>
    <row r="75" spans="1:29">
      <c r="A75" s="83" t="str">
        <f t="shared" si="7"/>
        <v/>
      </c>
      <c r="B75" s="83" t="str">
        <f t="shared" si="8"/>
        <v/>
      </c>
      <c r="U75" s="83" t="str">
        <f t="shared" si="9"/>
        <v/>
      </c>
      <c r="V75" s="83" t="str">
        <f t="shared" si="10"/>
        <v/>
      </c>
      <c r="AA75" s="60">
        <f t="shared" si="11"/>
        <v>0</v>
      </c>
      <c r="AB75" s="49">
        <f t="shared" si="12"/>
        <v>0</v>
      </c>
      <c r="AC75" s="60">
        <f t="shared" si="13"/>
        <v>0</v>
      </c>
    </row>
    <row r="76" spans="1:29">
      <c r="A76" s="83" t="str">
        <f t="shared" si="7"/>
        <v/>
      </c>
      <c r="B76" s="83" t="str">
        <f t="shared" si="8"/>
        <v/>
      </c>
      <c r="U76" s="83" t="str">
        <f t="shared" si="9"/>
        <v/>
      </c>
      <c r="V76" s="83" t="str">
        <f t="shared" si="10"/>
        <v/>
      </c>
      <c r="AA76" s="60">
        <f t="shared" si="11"/>
        <v>0</v>
      </c>
      <c r="AB76" s="49">
        <f t="shared" si="12"/>
        <v>0</v>
      </c>
      <c r="AC76" s="60">
        <f t="shared" si="13"/>
        <v>0</v>
      </c>
    </row>
    <row r="77" spans="1:29">
      <c r="A77" s="83" t="str">
        <f t="shared" si="7"/>
        <v/>
      </c>
      <c r="B77" s="83" t="str">
        <f t="shared" si="8"/>
        <v/>
      </c>
      <c r="U77" s="83" t="str">
        <f t="shared" si="9"/>
        <v/>
      </c>
      <c r="V77" s="83" t="str">
        <f t="shared" si="10"/>
        <v/>
      </c>
      <c r="AA77" s="60">
        <f t="shared" si="11"/>
        <v>0</v>
      </c>
      <c r="AB77" s="49">
        <f t="shared" si="12"/>
        <v>0</v>
      </c>
      <c r="AC77" s="60">
        <f t="shared" si="13"/>
        <v>0</v>
      </c>
    </row>
    <row r="78" spans="1:29">
      <c r="A78" s="83" t="str">
        <f t="shared" si="7"/>
        <v/>
      </c>
      <c r="B78" s="83" t="str">
        <f t="shared" si="8"/>
        <v/>
      </c>
      <c r="U78" s="83" t="str">
        <f t="shared" si="9"/>
        <v/>
      </c>
      <c r="V78" s="83" t="str">
        <f t="shared" si="10"/>
        <v/>
      </c>
      <c r="AA78" s="60">
        <f t="shared" si="11"/>
        <v>0</v>
      </c>
      <c r="AB78" s="49">
        <f t="shared" si="12"/>
        <v>0</v>
      </c>
      <c r="AC78" s="60">
        <f t="shared" si="13"/>
        <v>0</v>
      </c>
    </row>
    <row r="79" spans="1:29">
      <c r="A79" s="83" t="str">
        <f t="shared" si="7"/>
        <v/>
      </c>
      <c r="B79" s="83" t="str">
        <f t="shared" si="8"/>
        <v/>
      </c>
      <c r="U79" s="83" t="str">
        <f t="shared" si="9"/>
        <v/>
      </c>
      <c r="V79" s="83" t="str">
        <f t="shared" si="10"/>
        <v/>
      </c>
      <c r="AA79" s="60">
        <f t="shared" si="11"/>
        <v>0</v>
      </c>
      <c r="AB79" s="49">
        <f t="shared" si="12"/>
        <v>0</v>
      </c>
      <c r="AC79" s="60">
        <f t="shared" si="13"/>
        <v>0</v>
      </c>
    </row>
    <row r="80" spans="1:29">
      <c r="A80" s="83" t="str">
        <f t="shared" si="7"/>
        <v/>
      </c>
      <c r="B80" s="83" t="str">
        <f t="shared" si="8"/>
        <v/>
      </c>
      <c r="U80" s="83" t="str">
        <f t="shared" si="9"/>
        <v/>
      </c>
      <c r="V80" s="83" t="str">
        <f t="shared" si="10"/>
        <v/>
      </c>
      <c r="AA80" s="60">
        <f t="shared" si="11"/>
        <v>0</v>
      </c>
      <c r="AB80" s="49">
        <f t="shared" si="12"/>
        <v>0</v>
      </c>
      <c r="AC80" s="60">
        <f t="shared" si="13"/>
        <v>0</v>
      </c>
    </row>
    <row r="81" spans="1:29">
      <c r="A81" s="83" t="str">
        <f t="shared" si="7"/>
        <v/>
      </c>
      <c r="B81" s="83" t="str">
        <f t="shared" si="8"/>
        <v/>
      </c>
      <c r="U81" s="83" t="str">
        <f t="shared" si="9"/>
        <v/>
      </c>
      <c r="V81" s="83" t="str">
        <f t="shared" si="10"/>
        <v/>
      </c>
      <c r="AA81" s="60">
        <f t="shared" si="11"/>
        <v>0</v>
      </c>
      <c r="AB81" s="49">
        <f t="shared" si="12"/>
        <v>0</v>
      </c>
      <c r="AC81" s="60">
        <f t="shared" si="13"/>
        <v>0</v>
      </c>
    </row>
    <row r="82" spans="1:29">
      <c r="A82" s="83" t="str">
        <f t="shared" si="7"/>
        <v/>
      </c>
      <c r="B82" s="83" t="str">
        <f t="shared" si="8"/>
        <v/>
      </c>
      <c r="U82" s="83" t="str">
        <f t="shared" si="9"/>
        <v/>
      </c>
      <c r="V82" s="83" t="str">
        <f t="shared" si="10"/>
        <v/>
      </c>
      <c r="AA82" s="60">
        <f t="shared" si="11"/>
        <v>0</v>
      </c>
      <c r="AB82" s="49">
        <f t="shared" si="12"/>
        <v>0</v>
      </c>
      <c r="AC82" s="60">
        <f t="shared" si="13"/>
        <v>0</v>
      </c>
    </row>
    <row r="83" spans="1:29">
      <c r="A83" s="83" t="str">
        <f t="shared" si="7"/>
        <v/>
      </c>
      <c r="B83" s="83" t="str">
        <f t="shared" si="8"/>
        <v/>
      </c>
      <c r="U83" s="83" t="str">
        <f t="shared" si="9"/>
        <v/>
      </c>
      <c r="V83" s="83" t="str">
        <f t="shared" si="10"/>
        <v/>
      </c>
      <c r="AA83" s="60">
        <f t="shared" si="11"/>
        <v>0</v>
      </c>
      <c r="AB83" s="49">
        <f t="shared" si="12"/>
        <v>0</v>
      </c>
      <c r="AC83" s="60">
        <f t="shared" si="13"/>
        <v>0</v>
      </c>
    </row>
    <row r="84" spans="1:29">
      <c r="A84" s="83" t="str">
        <f t="shared" si="7"/>
        <v/>
      </c>
      <c r="B84" s="83" t="str">
        <f t="shared" si="8"/>
        <v/>
      </c>
      <c r="U84" s="83" t="str">
        <f t="shared" si="9"/>
        <v/>
      </c>
      <c r="V84" s="83" t="str">
        <f t="shared" si="10"/>
        <v/>
      </c>
      <c r="AA84" s="60">
        <f t="shared" si="11"/>
        <v>0</v>
      </c>
      <c r="AB84" s="49">
        <f t="shared" si="12"/>
        <v>0</v>
      </c>
      <c r="AC84" s="60">
        <f t="shared" si="13"/>
        <v>0</v>
      </c>
    </row>
    <row r="85" spans="1:29">
      <c r="A85" s="83" t="str">
        <f t="shared" si="7"/>
        <v/>
      </c>
      <c r="B85" s="83" t="str">
        <f t="shared" si="8"/>
        <v/>
      </c>
      <c r="U85" s="83" t="str">
        <f t="shared" si="9"/>
        <v/>
      </c>
      <c r="V85" s="83" t="str">
        <f t="shared" si="10"/>
        <v/>
      </c>
      <c r="AA85" s="60">
        <f t="shared" si="11"/>
        <v>0</v>
      </c>
      <c r="AB85" s="49">
        <f t="shared" si="12"/>
        <v>0</v>
      </c>
      <c r="AC85" s="60">
        <f t="shared" si="13"/>
        <v>0</v>
      </c>
    </row>
    <row r="86" spans="1:29">
      <c r="A86" s="83" t="str">
        <f t="shared" si="7"/>
        <v/>
      </c>
      <c r="B86" s="83" t="str">
        <f t="shared" si="8"/>
        <v/>
      </c>
      <c r="U86" s="83" t="str">
        <f t="shared" si="9"/>
        <v/>
      </c>
      <c r="V86" s="83" t="str">
        <f t="shared" si="10"/>
        <v/>
      </c>
      <c r="AA86" s="60">
        <f t="shared" si="11"/>
        <v>0</v>
      </c>
      <c r="AB86" s="49">
        <f t="shared" si="12"/>
        <v>0</v>
      </c>
      <c r="AC86" s="60">
        <f t="shared" si="13"/>
        <v>0</v>
      </c>
    </row>
    <row r="87" spans="1:29">
      <c r="A87" s="83" t="str">
        <f t="shared" si="7"/>
        <v/>
      </c>
      <c r="B87" s="83" t="str">
        <f t="shared" si="8"/>
        <v/>
      </c>
      <c r="U87" s="83" t="str">
        <f t="shared" si="9"/>
        <v/>
      </c>
      <c r="V87" s="83" t="str">
        <f t="shared" si="10"/>
        <v/>
      </c>
      <c r="AA87" s="60">
        <f t="shared" si="11"/>
        <v>0</v>
      </c>
      <c r="AB87" s="49">
        <f t="shared" si="12"/>
        <v>0</v>
      </c>
      <c r="AC87" s="60">
        <f t="shared" si="13"/>
        <v>0</v>
      </c>
    </row>
    <row r="88" spans="1:29">
      <c r="A88" s="83" t="str">
        <f t="shared" si="7"/>
        <v/>
      </c>
      <c r="B88" s="83" t="str">
        <f t="shared" si="8"/>
        <v/>
      </c>
      <c r="U88" s="83" t="str">
        <f t="shared" si="9"/>
        <v/>
      </c>
      <c r="V88" s="83" t="str">
        <f t="shared" si="10"/>
        <v/>
      </c>
      <c r="AA88" s="60">
        <f t="shared" si="11"/>
        <v>0</v>
      </c>
      <c r="AB88" s="49">
        <f t="shared" si="12"/>
        <v>0</v>
      </c>
      <c r="AC88" s="60">
        <f t="shared" si="13"/>
        <v>0</v>
      </c>
    </row>
    <row r="89" spans="1:29">
      <c r="A89" s="83" t="str">
        <f t="shared" si="7"/>
        <v/>
      </c>
      <c r="B89" s="83" t="str">
        <f t="shared" si="8"/>
        <v/>
      </c>
      <c r="U89" s="83" t="str">
        <f t="shared" si="9"/>
        <v/>
      </c>
      <c r="V89" s="83" t="str">
        <f t="shared" si="10"/>
        <v/>
      </c>
      <c r="AA89" s="60">
        <f t="shared" si="11"/>
        <v>0</v>
      </c>
      <c r="AB89" s="49">
        <f t="shared" si="12"/>
        <v>0</v>
      </c>
      <c r="AC89" s="60">
        <f t="shared" si="13"/>
        <v>0</v>
      </c>
    </row>
    <row r="90" spans="1:29">
      <c r="A90" s="83" t="str">
        <f t="shared" si="7"/>
        <v/>
      </c>
      <c r="B90" s="83" t="str">
        <f t="shared" si="8"/>
        <v/>
      </c>
      <c r="U90" s="83" t="str">
        <f t="shared" si="9"/>
        <v/>
      </c>
      <c r="V90" s="83" t="str">
        <f t="shared" si="10"/>
        <v/>
      </c>
      <c r="AA90" s="60">
        <f t="shared" si="11"/>
        <v>0</v>
      </c>
      <c r="AB90" s="49">
        <f t="shared" si="12"/>
        <v>0</v>
      </c>
      <c r="AC90" s="60">
        <f t="shared" si="13"/>
        <v>0</v>
      </c>
    </row>
    <row r="91" spans="1:29">
      <c r="A91" s="83" t="str">
        <f t="shared" si="7"/>
        <v/>
      </c>
      <c r="B91" s="83" t="str">
        <f t="shared" si="8"/>
        <v/>
      </c>
      <c r="U91" s="83" t="str">
        <f t="shared" si="9"/>
        <v/>
      </c>
      <c r="V91" s="83" t="str">
        <f t="shared" si="10"/>
        <v/>
      </c>
      <c r="AA91" s="60">
        <f t="shared" si="11"/>
        <v>0</v>
      </c>
      <c r="AB91" s="49">
        <f t="shared" si="12"/>
        <v>0</v>
      </c>
      <c r="AC91" s="60">
        <f t="shared" si="13"/>
        <v>0</v>
      </c>
    </row>
    <row r="92" spans="1:29">
      <c r="A92" s="83" t="str">
        <f t="shared" si="7"/>
        <v/>
      </c>
      <c r="B92" s="83" t="str">
        <f t="shared" si="8"/>
        <v/>
      </c>
      <c r="U92" s="83" t="str">
        <f t="shared" si="9"/>
        <v/>
      </c>
      <c r="V92" s="83" t="str">
        <f t="shared" si="10"/>
        <v/>
      </c>
      <c r="AA92" s="60">
        <f t="shared" si="11"/>
        <v>0</v>
      </c>
      <c r="AB92" s="49">
        <f t="shared" si="12"/>
        <v>0</v>
      </c>
      <c r="AC92" s="60">
        <f t="shared" si="13"/>
        <v>0</v>
      </c>
    </row>
    <row r="93" spans="1:29">
      <c r="A93" s="83" t="str">
        <f t="shared" si="7"/>
        <v/>
      </c>
      <c r="B93" s="83" t="str">
        <f t="shared" si="8"/>
        <v/>
      </c>
      <c r="U93" s="83" t="str">
        <f t="shared" si="9"/>
        <v/>
      </c>
      <c r="V93" s="83" t="str">
        <f t="shared" si="10"/>
        <v/>
      </c>
      <c r="AA93" s="60">
        <f t="shared" si="11"/>
        <v>0</v>
      </c>
      <c r="AB93" s="49">
        <f t="shared" si="12"/>
        <v>0</v>
      </c>
      <c r="AC93" s="60">
        <f t="shared" si="13"/>
        <v>0</v>
      </c>
    </row>
    <row r="94" spans="1:29">
      <c r="A94" s="83" t="str">
        <f t="shared" si="7"/>
        <v/>
      </c>
      <c r="B94" s="83" t="str">
        <f t="shared" si="8"/>
        <v/>
      </c>
      <c r="U94" s="83" t="str">
        <f t="shared" si="9"/>
        <v/>
      </c>
      <c r="V94" s="83" t="str">
        <f t="shared" si="10"/>
        <v/>
      </c>
      <c r="AA94" s="60">
        <f t="shared" si="11"/>
        <v>0</v>
      </c>
      <c r="AB94" s="49">
        <f t="shared" si="12"/>
        <v>0</v>
      </c>
      <c r="AC94" s="60">
        <f t="shared" si="13"/>
        <v>0</v>
      </c>
    </row>
    <row r="95" spans="1:29">
      <c r="A95" s="83" t="str">
        <f t="shared" si="7"/>
        <v/>
      </c>
      <c r="B95" s="83" t="str">
        <f t="shared" si="8"/>
        <v/>
      </c>
      <c r="U95" s="83" t="str">
        <f t="shared" si="9"/>
        <v/>
      </c>
      <c r="V95" s="83" t="str">
        <f t="shared" si="10"/>
        <v/>
      </c>
      <c r="AA95" s="60">
        <f t="shared" si="11"/>
        <v>0</v>
      </c>
      <c r="AB95" s="49">
        <f t="shared" si="12"/>
        <v>0</v>
      </c>
      <c r="AC95" s="60">
        <f t="shared" si="13"/>
        <v>0</v>
      </c>
    </row>
    <row r="96" spans="1:29">
      <c r="A96" s="83" t="str">
        <f t="shared" si="7"/>
        <v/>
      </c>
      <c r="B96" s="83" t="str">
        <f t="shared" si="8"/>
        <v/>
      </c>
      <c r="U96" s="83" t="str">
        <f t="shared" si="9"/>
        <v/>
      </c>
      <c r="V96" s="83" t="str">
        <f t="shared" si="10"/>
        <v/>
      </c>
      <c r="AA96" s="60">
        <f t="shared" si="11"/>
        <v>0</v>
      </c>
      <c r="AB96" s="49">
        <f t="shared" si="12"/>
        <v>0</v>
      </c>
      <c r="AC96" s="60">
        <f t="shared" si="13"/>
        <v>0</v>
      </c>
    </row>
    <row r="97" spans="1:29">
      <c r="A97" s="83" t="str">
        <f t="shared" si="7"/>
        <v/>
      </c>
      <c r="B97" s="83" t="str">
        <f t="shared" si="8"/>
        <v/>
      </c>
      <c r="U97" s="83" t="str">
        <f t="shared" si="9"/>
        <v/>
      </c>
      <c r="V97" s="83" t="str">
        <f t="shared" si="10"/>
        <v/>
      </c>
      <c r="AA97" s="60">
        <f t="shared" si="11"/>
        <v>0</v>
      </c>
      <c r="AB97" s="49">
        <f t="shared" si="12"/>
        <v>0</v>
      </c>
      <c r="AC97" s="60">
        <f t="shared" si="13"/>
        <v>0</v>
      </c>
    </row>
    <row r="98" spans="1:29">
      <c r="A98" s="83" t="str">
        <f t="shared" si="7"/>
        <v/>
      </c>
      <c r="B98" s="83" t="str">
        <f t="shared" si="8"/>
        <v/>
      </c>
      <c r="U98" s="83" t="str">
        <f t="shared" si="9"/>
        <v/>
      </c>
      <c r="V98" s="83" t="str">
        <f t="shared" si="10"/>
        <v/>
      </c>
      <c r="AA98" s="60">
        <f t="shared" si="11"/>
        <v>0</v>
      </c>
      <c r="AB98" s="49">
        <f t="shared" si="12"/>
        <v>0</v>
      </c>
      <c r="AC98" s="60">
        <f t="shared" si="13"/>
        <v>0</v>
      </c>
    </row>
    <row r="99" spans="1:29">
      <c r="A99" s="83" t="str">
        <f t="shared" si="7"/>
        <v/>
      </c>
      <c r="B99" s="83" t="str">
        <f t="shared" si="8"/>
        <v/>
      </c>
      <c r="U99" s="83" t="str">
        <f t="shared" si="9"/>
        <v/>
      </c>
      <c r="V99" s="83" t="str">
        <f t="shared" si="10"/>
        <v/>
      </c>
      <c r="AA99" s="60">
        <f t="shared" si="11"/>
        <v>0</v>
      </c>
      <c r="AB99" s="49">
        <f t="shared" si="12"/>
        <v>0</v>
      </c>
      <c r="AC99" s="60">
        <f t="shared" si="13"/>
        <v>0</v>
      </c>
    </row>
    <row r="100" spans="1:29">
      <c r="A100" s="83" t="str">
        <f t="shared" si="7"/>
        <v/>
      </c>
      <c r="B100" s="83" t="str">
        <f t="shared" si="8"/>
        <v/>
      </c>
      <c r="U100" s="83" t="str">
        <f t="shared" si="9"/>
        <v/>
      </c>
      <c r="V100" s="83" t="str">
        <f t="shared" si="10"/>
        <v/>
      </c>
      <c r="AA100" s="60">
        <f t="shared" si="11"/>
        <v>0</v>
      </c>
      <c r="AB100" s="49">
        <f t="shared" si="12"/>
        <v>0</v>
      </c>
      <c r="AC100" s="60">
        <f t="shared" si="13"/>
        <v>0</v>
      </c>
    </row>
    <row r="101" spans="1:29">
      <c r="A101" s="83" t="str">
        <f t="shared" si="7"/>
        <v/>
      </c>
      <c r="B101" s="83" t="str">
        <f t="shared" si="8"/>
        <v/>
      </c>
      <c r="U101" s="83" t="str">
        <f t="shared" si="9"/>
        <v/>
      </c>
      <c r="V101" s="83" t="str">
        <f t="shared" si="10"/>
        <v/>
      </c>
      <c r="AA101" s="60">
        <f t="shared" si="11"/>
        <v>0</v>
      </c>
      <c r="AB101" s="49">
        <f t="shared" si="12"/>
        <v>0</v>
      </c>
      <c r="AC101" s="60">
        <f t="shared" si="13"/>
        <v>0</v>
      </c>
    </row>
    <row r="102" spans="1:29">
      <c r="A102" s="83" t="str">
        <f t="shared" si="7"/>
        <v/>
      </c>
      <c r="B102" s="83" t="str">
        <f t="shared" si="8"/>
        <v/>
      </c>
      <c r="U102" s="83" t="str">
        <f t="shared" si="9"/>
        <v/>
      </c>
      <c r="V102" s="83" t="str">
        <f t="shared" si="10"/>
        <v/>
      </c>
      <c r="AA102" s="60">
        <f t="shared" si="11"/>
        <v>0</v>
      </c>
      <c r="AB102" s="49">
        <f t="shared" si="12"/>
        <v>0</v>
      </c>
      <c r="AC102" s="60">
        <f t="shared" si="13"/>
        <v>0</v>
      </c>
    </row>
    <row r="103" spans="1:29">
      <c r="A103" s="83" t="str">
        <f t="shared" si="7"/>
        <v/>
      </c>
      <c r="B103" s="83" t="str">
        <f t="shared" si="8"/>
        <v/>
      </c>
      <c r="U103" s="83" t="str">
        <f t="shared" si="9"/>
        <v/>
      </c>
      <c r="V103" s="83" t="str">
        <f t="shared" si="10"/>
        <v/>
      </c>
      <c r="AA103" s="60">
        <f t="shared" si="11"/>
        <v>0</v>
      </c>
      <c r="AB103" s="49">
        <f t="shared" si="12"/>
        <v>0</v>
      </c>
      <c r="AC103" s="60">
        <f t="shared" si="13"/>
        <v>0</v>
      </c>
    </row>
    <row r="104" spans="1:29">
      <c r="A104" s="83" t="str">
        <f t="shared" si="7"/>
        <v/>
      </c>
      <c r="B104" s="83" t="str">
        <f t="shared" si="8"/>
        <v/>
      </c>
      <c r="U104" s="83" t="str">
        <f t="shared" si="9"/>
        <v/>
      </c>
      <c r="V104" s="83" t="str">
        <f t="shared" si="10"/>
        <v/>
      </c>
      <c r="AA104" s="60">
        <f t="shared" si="11"/>
        <v>0</v>
      </c>
      <c r="AB104" s="49">
        <f t="shared" si="12"/>
        <v>0</v>
      </c>
      <c r="AC104" s="60">
        <f t="shared" si="13"/>
        <v>0</v>
      </c>
    </row>
    <row r="105" spans="1:29">
      <c r="A105" s="83" t="str">
        <f t="shared" si="7"/>
        <v/>
      </c>
      <c r="B105" s="83" t="str">
        <f t="shared" si="8"/>
        <v/>
      </c>
      <c r="U105" s="83" t="str">
        <f t="shared" si="9"/>
        <v/>
      </c>
      <c r="V105" s="83" t="str">
        <f t="shared" si="10"/>
        <v/>
      </c>
      <c r="AA105" s="60">
        <f t="shared" si="11"/>
        <v>0</v>
      </c>
      <c r="AB105" s="49">
        <f t="shared" si="12"/>
        <v>0</v>
      </c>
      <c r="AC105" s="60">
        <f t="shared" si="13"/>
        <v>0</v>
      </c>
    </row>
    <row r="106" spans="1:29">
      <c r="A106" s="83" t="str">
        <f t="shared" si="7"/>
        <v/>
      </c>
      <c r="B106" s="83" t="str">
        <f t="shared" si="8"/>
        <v/>
      </c>
      <c r="U106" s="83" t="str">
        <f t="shared" si="9"/>
        <v/>
      </c>
      <c r="V106" s="83" t="str">
        <f t="shared" si="10"/>
        <v/>
      </c>
      <c r="AA106" s="60">
        <f t="shared" si="11"/>
        <v>0</v>
      </c>
      <c r="AB106" s="49">
        <f t="shared" si="12"/>
        <v>0</v>
      </c>
      <c r="AC106" s="60">
        <f t="shared" si="13"/>
        <v>0</v>
      </c>
    </row>
    <row r="107" spans="1:29">
      <c r="A107" s="83" t="str">
        <f t="shared" si="7"/>
        <v/>
      </c>
      <c r="B107" s="83" t="str">
        <f t="shared" si="8"/>
        <v/>
      </c>
      <c r="U107" s="83" t="str">
        <f t="shared" si="9"/>
        <v/>
      </c>
      <c r="V107" s="83" t="str">
        <f t="shared" si="10"/>
        <v/>
      </c>
      <c r="AA107" s="60">
        <f t="shared" si="11"/>
        <v>0</v>
      </c>
      <c r="AB107" s="49">
        <f t="shared" si="12"/>
        <v>0</v>
      </c>
      <c r="AC107" s="60">
        <f t="shared" si="13"/>
        <v>0</v>
      </c>
    </row>
    <row r="108" spans="1:29">
      <c r="A108" s="83" t="str">
        <f t="shared" si="7"/>
        <v/>
      </c>
      <c r="B108" s="83" t="str">
        <f t="shared" si="8"/>
        <v/>
      </c>
      <c r="U108" s="83" t="str">
        <f t="shared" si="9"/>
        <v/>
      </c>
      <c r="V108" s="83" t="str">
        <f t="shared" si="10"/>
        <v/>
      </c>
      <c r="AA108" s="60">
        <f t="shared" si="11"/>
        <v>0</v>
      </c>
      <c r="AB108" s="49">
        <f t="shared" si="12"/>
        <v>0</v>
      </c>
      <c r="AC108" s="60">
        <f t="shared" si="13"/>
        <v>0</v>
      </c>
    </row>
    <row r="109" spans="1:29">
      <c r="A109" s="83" t="str">
        <f t="shared" si="7"/>
        <v/>
      </c>
      <c r="B109" s="83" t="str">
        <f t="shared" si="8"/>
        <v/>
      </c>
      <c r="U109" s="83" t="str">
        <f t="shared" si="9"/>
        <v/>
      </c>
      <c r="V109" s="83" t="str">
        <f t="shared" si="10"/>
        <v/>
      </c>
      <c r="AA109" s="60">
        <f t="shared" si="11"/>
        <v>0</v>
      </c>
      <c r="AB109" s="49">
        <f t="shared" si="12"/>
        <v>0</v>
      </c>
      <c r="AC109" s="60">
        <f t="shared" si="13"/>
        <v>0</v>
      </c>
    </row>
    <row r="110" spans="1:29">
      <c r="A110" s="83" t="str">
        <f t="shared" si="7"/>
        <v/>
      </c>
      <c r="B110" s="83" t="str">
        <f t="shared" si="8"/>
        <v/>
      </c>
      <c r="U110" s="83" t="str">
        <f t="shared" si="9"/>
        <v/>
      </c>
      <c r="V110" s="83" t="str">
        <f t="shared" si="10"/>
        <v/>
      </c>
      <c r="AA110" s="60">
        <f t="shared" si="11"/>
        <v>0</v>
      </c>
      <c r="AB110" s="49">
        <f t="shared" si="12"/>
        <v>0</v>
      </c>
      <c r="AC110" s="60">
        <f t="shared" si="13"/>
        <v>0</v>
      </c>
    </row>
    <row r="111" spans="1:29">
      <c r="A111" s="83" t="str">
        <f t="shared" si="7"/>
        <v/>
      </c>
      <c r="B111" s="83" t="str">
        <f t="shared" si="8"/>
        <v/>
      </c>
      <c r="U111" s="83" t="str">
        <f t="shared" si="9"/>
        <v/>
      </c>
      <c r="V111" s="83" t="str">
        <f t="shared" si="10"/>
        <v/>
      </c>
      <c r="AA111" s="60">
        <f t="shared" si="11"/>
        <v>0</v>
      </c>
      <c r="AB111" s="49">
        <f t="shared" si="12"/>
        <v>0</v>
      </c>
      <c r="AC111" s="60">
        <f t="shared" si="13"/>
        <v>0</v>
      </c>
    </row>
    <row r="112" spans="1:29">
      <c r="A112" s="83" t="str">
        <f t="shared" si="7"/>
        <v/>
      </c>
      <c r="B112" s="83" t="str">
        <f t="shared" si="8"/>
        <v/>
      </c>
      <c r="U112" s="83" t="str">
        <f t="shared" si="9"/>
        <v/>
      </c>
      <c r="V112" s="83" t="str">
        <f t="shared" si="10"/>
        <v/>
      </c>
      <c r="AA112" s="60">
        <f t="shared" si="11"/>
        <v>0</v>
      </c>
      <c r="AB112" s="49">
        <f t="shared" si="12"/>
        <v>0</v>
      </c>
      <c r="AC112" s="60">
        <f t="shared" si="13"/>
        <v>0</v>
      </c>
    </row>
    <row r="113" spans="1:29">
      <c r="A113" s="83" t="str">
        <f t="shared" si="7"/>
        <v/>
      </c>
      <c r="B113" s="83" t="str">
        <f t="shared" si="8"/>
        <v/>
      </c>
      <c r="U113" s="83" t="str">
        <f t="shared" si="9"/>
        <v/>
      </c>
      <c r="V113" s="83" t="str">
        <f t="shared" si="10"/>
        <v/>
      </c>
      <c r="AA113" s="60">
        <f t="shared" si="11"/>
        <v>0</v>
      </c>
      <c r="AB113" s="49">
        <f t="shared" si="12"/>
        <v>0</v>
      </c>
      <c r="AC113" s="60">
        <f t="shared" si="13"/>
        <v>0</v>
      </c>
    </row>
    <row r="114" spans="1:29">
      <c r="A114" s="83" t="str">
        <f t="shared" si="7"/>
        <v/>
      </c>
      <c r="B114" s="83" t="str">
        <f t="shared" si="8"/>
        <v/>
      </c>
      <c r="U114" s="83" t="str">
        <f t="shared" si="9"/>
        <v/>
      </c>
      <c r="V114" s="83" t="str">
        <f t="shared" si="10"/>
        <v/>
      </c>
      <c r="AA114" s="60">
        <f t="shared" si="11"/>
        <v>0</v>
      </c>
      <c r="AB114" s="49">
        <f t="shared" si="12"/>
        <v>0</v>
      </c>
      <c r="AC114" s="60">
        <f t="shared" si="13"/>
        <v>0</v>
      </c>
    </row>
    <row r="115" spans="1:29">
      <c r="A115" s="83" t="str">
        <f t="shared" si="7"/>
        <v/>
      </c>
      <c r="B115" s="83" t="str">
        <f t="shared" si="8"/>
        <v/>
      </c>
      <c r="U115" s="83" t="str">
        <f t="shared" si="9"/>
        <v/>
      </c>
      <c r="V115" s="83" t="str">
        <f t="shared" si="10"/>
        <v/>
      </c>
      <c r="AA115" s="60">
        <f t="shared" si="11"/>
        <v>0</v>
      </c>
      <c r="AB115" s="49">
        <f t="shared" si="12"/>
        <v>0</v>
      </c>
      <c r="AC115" s="60">
        <f t="shared" si="13"/>
        <v>0</v>
      </c>
    </row>
    <row r="116" spans="1:29">
      <c r="A116" s="83" t="str">
        <f t="shared" si="7"/>
        <v/>
      </c>
      <c r="B116" s="83" t="str">
        <f t="shared" si="8"/>
        <v/>
      </c>
      <c r="U116" s="83" t="str">
        <f t="shared" si="9"/>
        <v/>
      </c>
      <c r="V116" s="83" t="str">
        <f t="shared" si="10"/>
        <v/>
      </c>
      <c r="AA116" s="60">
        <f t="shared" si="11"/>
        <v>0</v>
      </c>
      <c r="AB116" s="49">
        <f t="shared" si="12"/>
        <v>0</v>
      </c>
      <c r="AC116" s="60">
        <f t="shared" si="13"/>
        <v>0</v>
      </c>
    </row>
    <row r="117" spans="1:29">
      <c r="A117" s="83" t="str">
        <f t="shared" si="7"/>
        <v/>
      </c>
      <c r="B117" s="83" t="str">
        <f t="shared" si="8"/>
        <v/>
      </c>
      <c r="U117" s="83" t="str">
        <f t="shared" si="9"/>
        <v/>
      </c>
      <c r="V117" s="83" t="str">
        <f t="shared" si="10"/>
        <v/>
      </c>
      <c r="AA117" s="60">
        <f t="shared" si="11"/>
        <v>0</v>
      </c>
      <c r="AB117" s="49">
        <f t="shared" si="12"/>
        <v>0</v>
      </c>
      <c r="AC117" s="60">
        <f t="shared" si="13"/>
        <v>0</v>
      </c>
    </row>
    <row r="118" spans="1:29">
      <c r="A118" s="83" t="str">
        <f t="shared" si="7"/>
        <v/>
      </c>
      <c r="B118" s="83" t="str">
        <f t="shared" si="8"/>
        <v/>
      </c>
      <c r="U118" s="83" t="str">
        <f t="shared" si="9"/>
        <v/>
      </c>
      <c r="V118" s="83" t="str">
        <f t="shared" si="10"/>
        <v/>
      </c>
      <c r="AA118" s="60">
        <f t="shared" si="11"/>
        <v>0</v>
      </c>
      <c r="AB118" s="49">
        <f t="shared" si="12"/>
        <v>0</v>
      </c>
      <c r="AC118" s="60">
        <f t="shared" si="13"/>
        <v>0</v>
      </c>
    </row>
    <row r="119" spans="1:29">
      <c r="A119" s="83" t="str">
        <f t="shared" si="7"/>
        <v/>
      </c>
      <c r="B119" s="83" t="str">
        <f t="shared" si="8"/>
        <v/>
      </c>
      <c r="U119" s="83" t="str">
        <f t="shared" si="9"/>
        <v/>
      </c>
      <c r="V119" s="83" t="str">
        <f t="shared" si="10"/>
        <v/>
      </c>
      <c r="AA119" s="60">
        <f t="shared" si="11"/>
        <v>0</v>
      </c>
      <c r="AB119" s="49">
        <f t="shared" si="12"/>
        <v>0</v>
      </c>
      <c r="AC119" s="60">
        <f t="shared" si="13"/>
        <v>0</v>
      </c>
    </row>
    <row r="120" spans="1:29">
      <c r="A120" s="83" t="str">
        <f t="shared" si="7"/>
        <v/>
      </c>
      <c r="B120" s="83" t="str">
        <f t="shared" si="8"/>
        <v/>
      </c>
      <c r="U120" s="83" t="str">
        <f t="shared" si="9"/>
        <v/>
      </c>
      <c r="V120" s="83" t="str">
        <f t="shared" si="10"/>
        <v/>
      </c>
      <c r="AA120" s="60">
        <f t="shared" si="11"/>
        <v>0</v>
      </c>
      <c r="AB120" s="49">
        <f t="shared" si="12"/>
        <v>0</v>
      </c>
      <c r="AC120" s="60">
        <f t="shared" si="13"/>
        <v>0</v>
      </c>
    </row>
    <row r="121" spans="1:29">
      <c r="A121" s="83" t="str">
        <f t="shared" si="7"/>
        <v/>
      </c>
      <c r="B121" s="83" t="str">
        <f t="shared" si="8"/>
        <v/>
      </c>
      <c r="U121" s="83" t="str">
        <f t="shared" si="9"/>
        <v/>
      </c>
      <c r="V121" s="83" t="str">
        <f t="shared" si="10"/>
        <v/>
      </c>
      <c r="AA121" s="60">
        <f t="shared" si="11"/>
        <v>0</v>
      </c>
      <c r="AB121" s="49">
        <f t="shared" si="12"/>
        <v>0</v>
      </c>
      <c r="AC121" s="60">
        <f t="shared" si="13"/>
        <v>0</v>
      </c>
    </row>
    <row r="122" spans="1:29">
      <c r="A122" s="83" t="str">
        <f t="shared" si="7"/>
        <v/>
      </c>
      <c r="B122" s="83" t="str">
        <f t="shared" si="8"/>
        <v/>
      </c>
      <c r="U122" s="83" t="str">
        <f t="shared" si="9"/>
        <v/>
      </c>
      <c r="V122" s="83" t="str">
        <f t="shared" si="10"/>
        <v/>
      </c>
      <c r="AA122" s="60">
        <f t="shared" si="11"/>
        <v>0</v>
      </c>
      <c r="AB122" s="49">
        <f t="shared" si="12"/>
        <v>0</v>
      </c>
      <c r="AC122" s="60">
        <f t="shared" si="13"/>
        <v>0</v>
      </c>
    </row>
    <row r="123" spans="1:29">
      <c r="A123" s="83" t="str">
        <f t="shared" si="7"/>
        <v/>
      </c>
      <c r="B123" s="83" t="str">
        <f t="shared" si="8"/>
        <v/>
      </c>
      <c r="U123" s="83" t="str">
        <f t="shared" si="9"/>
        <v/>
      </c>
      <c r="V123" s="83" t="str">
        <f t="shared" si="10"/>
        <v/>
      </c>
      <c r="AA123" s="60">
        <f t="shared" si="11"/>
        <v>0</v>
      </c>
      <c r="AB123" s="49">
        <f t="shared" si="12"/>
        <v>0</v>
      </c>
      <c r="AC123" s="60">
        <f t="shared" si="13"/>
        <v>0</v>
      </c>
    </row>
    <row r="124" spans="1:29">
      <c r="A124" s="83" t="str">
        <f t="shared" si="7"/>
        <v/>
      </c>
      <c r="B124" s="83" t="str">
        <f t="shared" si="8"/>
        <v/>
      </c>
      <c r="U124" s="83" t="str">
        <f t="shared" si="9"/>
        <v/>
      </c>
      <c r="V124" s="83" t="str">
        <f t="shared" si="10"/>
        <v/>
      </c>
      <c r="AA124" s="60">
        <f t="shared" si="11"/>
        <v>0</v>
      </c>
      <c r="AB124" s="49">
        <f t="shared" si="12"/>
        <v>0</v>
      </c>
      <c r="AC124" s="60">
        <f t="shared" si="13"/>
        <v>0</v>
      </c>
    </row>
    <row r="125" spans="1:29">
      <c r="A125" s="83" t="str">
        <f t="shared" si="7"/>
        <v/>
      </c>
      <c r="B125" s="83" t="str">
        <f t="shared" si="8"/>
        <v/>
      </c>
      <c r="U125" s="83" t="str">
        <f t="shared" si="9"/>
        <v/>
      </c>
      <c r="V125" s="83" t="str">
        <f t="shared" si="10"/>
        <v/>
      </c>
      <c r="AA125" s="60">
        <f t="shared" si="11"/>
        <v>0</v>
      </c>
      <c r="AB125" s="49">
        <f t="shared" si="12"/>
        <v>0</v>
      </c>
      <c r="AC125" s="60">
        <f t="shared" si="13"/>
        <v>0</v>
      </c>
    </row>
    <row r="126" spans="1:29">
      <c r="A126" s="83" t="str">
        <f t="shared" si="7"/>
        <v/>
      </c>
      <c r="B126" s="83" t="str">
        <f t="shared" si="8"/>
        <v/>
      </c>
      <c r="U126" s="83" t="str">
        <f t="shared" si="9"/>
        <v/>
      </c>
      <c r="V126" s="83" t="str">
        <f t="shared" si="10"/>
        <v/>
      </c>
      <c r="AA126" s="60">
        <f t="shared" si="11"/>
        <v>0</v>
      </c>
      <c r="AB126" s="49">
        <f t="shared" si="12"/>
        <v>0</v>
      </c>
      <c r="AC126" s="60">
        <f t="shared" si="13"/>
        <v>0</v>
      </c>
    </row>
    <row r="127" spans="1:29">
      <c r="A127" s="83" t="str">
        <f t="shared" si="7"/>
        <v/>
      </c>
      <c r="B127" s="83" t="str">
        <f t="shared" si="8"/>
        <v/>
      </c>
      <c r="U127" s="83" t="str">
        <f t="shared" si="9"/>
        <v/>
      </c>
      <c r="V127" s="83" t="str">
        <f t="shared" si="10"/>
        <v/>
      </c>
      <c r="AA127" s="60">
        <f t="shared" si="11"/>
        <v>0</v>
      </c>
      <c r="AB127" s="49">
        <f t="shared" si="12"/>
        <v>0</v>
      </c>
      <c r="AC127" s="60">
        <f t="shared" si="13"/>
        <v>0</v>
      </c>
    </row>
    <row r="128" spans="1:29">
      <c r="A128" s="83" t="str">
        <f t="shared" si="7"/>
        <v/>
      </c>
      <c r="B128" s="83" t="str">
        <f t="shared" si="8"/>
        <v/>
      </c>
      <c r="U128" s="83" t="str">
        <f t="shared" si="9"/>
        <v/>
      </c>
      <c r="V128" s="83" t="str">
        <f t="shared" si="10"/>
        <v/>
      </c>
      <c r="AA128" s="60">
        <f t="shared" si="11"/>
        <v>0</v>
      </c>
      <c r="AB128" s="49">
        <f t="shared" si="12"/>
        <v>0</v>
      </c>
      <c r="AC128" s="60">
        <f t="shared" si="13"/>
        <v>0</v>
      </c>
    </row>
    <row r="129" spans="1:29">
      <c r="A129" s="83" t="str">
        <f t="shared" si="7"/>
        <v/>
      </c>
      <c r="B129" s="83" t="str">
        <f t="shared" si="8"/>
        <v/>
      </c>
      <c r="U129" s="83" t="str">
        <f t="shared" si="9"/>
        <v/>
      </c>
      <c r="V129" s="83" t="str">
        <f t="shared" si="10"/>
        <v/>
      </c>
      <c r="AA129" s="60">
        <f t="shared" si="11"/>
        <v>0</v>
      </c>
      <c r="AB129" s="49">
        <f t="shared" si="12"/>
        <v>0</v>
      </c>
      <c r="AC129" s="60">
        <f t="shared" si="13"/>
        <v>0</v>
      </c>
    </row>
    <row r="130" spans="1:29">
      <c r="A130" s="83" t="str">
        <f t="shared" si="7"/>
        <v/>
      </c>
      <c r="B130" s="83" t="str">
        <f t="shared" si="8"/>
        <v/>
      </c>
      <c r="U130" s="83" t="str">
        <f t="shared" si="9"/>
        <v/>
      </c>
      <c r="V130" s="83" t="str">
        <f t="shared" si="10"/>
        <v/>
      </c>
      <c r="AA130" s="60">
        <f t="shared" si="11"/>
        <v>0</v>
      </c>
      <c r="AB130" s="49">
        <f t="shared" si="12"/>
        <v>0</v>
      </c>
      <c r="AC130" s="60">
        <f t="shared" si="13"/>
        <v>0</v>
      </c>
    </row>
    <row r="131" spans="1:29">
      <c r="A131" s="83" t="str">
        <f t="shared" ref="A131:A194" si="14">IF(G131&amp;Q131&lt;&gt;"",U131&amp;Q131,"")</f>
        <v/>
      </c>
      <c r="B131" s="83" t="str">
        <f t="shared" ref="B131:B194" si="15">IF(C131&lt;&gt;"",LEFT(C131,9),"")</f>
        <v/>
      </c>
      <c r="U131" s="83" t="str">
        <f t="shared" ref="U131:U194" si="16">IF(G131&lt;&gt;"",IF(StyleSpaceSplit,IFERROR(IF(FIND(" ",G131)&gt;=1,MID(G131,1,FIND(" ",G131)-1),G131),G131),G131),"")</f>
        <v/>
      </c>
      <c r="V131" s="83" t="str">
        <f t="shared" ref="V131:V194" si="17">IF(A131&lt;&gt;"",IFERROR(IF(FIND(" ",G131)&gt;=1,MID(G131,FIND(" ",G131)+1,LEN(G131)),""),G131),"")</f>
        <v/>
      </c>
      <c r="AA131" s="60">
        <f t="shared" ref="AA131:AA194" si="18">IFERROR(VALUE(MID($C131,1,2)),0)</f>
        <v>0</v>
      </c>
      <c r="AB131" s="49">
        <f t="shared" ref="AB131:AB194" si="19">IFERROR(VALUE(MID($C131,4,3)),0)</f>
        <v>0</v>
      </c>
      <c r="AC131" s="60">
        <f t="shared" ref="AC131:AC194" si="20">VALUE(RIGHT("00"&amp;AA131,2)&amp;RIGHT("000"&amp;AB131,3))</f>
        <v>0</v>
      </c>
    </row>
    <row r="132" spans="1:29">
      <c r="A132" s="83" t="str">
        <f t="shared" si="14"/>
        <v/>
      </c>
      <c r="B132" s="83" t="str">
        <f t="shared" si="15"/>
        <v/>
      </c>
      <c r="U132" s="83" t="str">
        <f t="shared" si="16"/>
        <v/>
      </c>
      <c r="V132" s="83" t="str">
        <f t="shared" si="17"/>
        <v/>
      </c>
      <c r="AA132" s="60">
        <f t="shared" si="18"/>
        <v>0</v>
      </c>
      <c r="AB132" s="49">
        <f t="shared" si="19"/>
        <v>0</v>
      </c>
      <c r="AC132" s="60">
        <f t="shared" si="20"/>
        <v>0</v>
      </c>
    </row>
    <row r="133" spans="1:29">
      <c r="A133" s="83" t="str">
        <f t="shared" si="14"/>
        <v/>
      </c>
      <c r="B133" s="83" t="str">
        <f t="shared" si="15"/>
        <v/>
      </c>
      <c r="U133" s="83" t="str">
        <f t="shared" si="16"/>
        <v/>
      </c>
      <c r="V133" s="83" t="str">
        <f t="shared" si="17"/>
        <v/>
      </c>
      <c r="AA133" s="60">
        <f t="shared" si="18"/>
        <v>0</v>
      </c>
      <c r="AB133" s="49">
        <f t="shared" si="19"/>
        <v>0</v>
      </c>
      <c r="AC133" s="60">
        <f t="shared" si="20"/>
        <v>0</v>
      </c>
    </row>
    <row r="134" spans="1:29">
      <c r="A134" s="83" t="str">
        <f t="shared" si="14"/>
        <v/>
      </c>
      <c r="B134" s="83" t="str">
        <f t="shared" si="15"/>
        <v/>
      </c>
      <c r="U134" s="83" t="str">
        <f t="shared" si="16"/>
        <v/>
      </c>
      <c r="V134" s="83" t="str">
        <f t="shared" si="17"/>
        <v/>
      </c>
      <c r="AA134" s="60">
        <f t="shared" si="18"/>
        <v>0</v>
      </c>
      <c r="AB134" s="49">
        <f t="shared" si="19"/>
        <v>0</v>
      </c>
      <c r="AC134" s="60">
        <f t="shared" si="20"/>
        <v>0</v>
      </c>
    </row>
    <row r="135" spans="1:29">
      <c r="A135" s="83" t="str">
        <f t="shared" si="14"/>
        <v/>
      </c>
      <c r="B135" s="83" t="str">
        <f t="shared" si="15"/>
        <v/>
      </c>
      <c r="U135" s="83" t="str">
        <f t="shared" si="16"/>
        <v/>
      </c>
      <c r="V135" s="83" t="str">
        <f t="shared" si="17"/>
        <v/>
      </c>
      <c r="AA135" s="60">
        <f t="shared" si="18"/>
        <v>0</v>
      </c>
      <c r="AB135" s="49">
        <f t="shared" si="19"/>
        <v>0</v>
      </c>
      <c r="AC135" s="60">
        <f t="shared" si="20"/>
        <v>0</v>
      </c>
    </row>
    <row r="136" spans="1:29">
      <c r="A136" s="83" t="str">
        <f t="shared" si="14"/>
        <v/>
      </c>
      <c r="B136" s="83" t="str">
        <f t="shared" si="15"/>
        <v/>
      </c>
      <c r="U136" s="83" t="str">
        <f t="shared" si="16"/>
        <v/>
      </c>
      <c r="V136" s="83" t="str">
        <f t="shared" si="17"/>
        <v/>
      </c>
      <c r="AA136" s="60">
        <f t="shared" si="18"/>
        <v>0</v>
      </c>
      <c r="AB136" s="49">
        <f t="shared" si="19"/>
        <v>0</v>
      </c>
      <c r="AC136" s="60">
        <f t="shared" si="20"/>
        <v>0</v>
      </c>
    </row>
    <row r="137" spans="1:29">
      <c r="A137" s="83" t="str">
        <f t="shared" si="14"/>
        <v/>
      </c>
      <c r="B137" s="83" t="str">
        <f t="shared" si="15"/>
        <v/>
      </c>
      <c r="U137" s="83" t="str">
        <f t="shared" si="16"/>
        <v/>
      </c>
      <c r="V137" s="83" t="str">
        <f t="shared" si="17"/>
        <v/>
      </c>
      <c r="AA137" s="60">
        <f t="shared" si="18"/>
        <v>0</v>
      </c>
      <c r="AB137" s="49">
        <f t="shared" si="19"/>
        <v>0</v>
      </c>
      <c r="AC137" s="60">
        <f t="shared" si="20"/>
        <v>0</v>
      </c>
    </row>
    <row r="138" spans="1:29">
      <c r="A138" s="83" t="str">
        <f t="shared" si="14"/>
        <v/>
      </c>
      <c r="B138" s="83" t="str">
        <f t="shared" si="15"/>
        <v/>
      </c>
      <c r="U138" s="83" t="str">
        <f t="shared" si="16"/>
        <v/>
      </c>
      <c r="V138" s="83" t="str">
        <f t="shared" si="17"/>
        <v/>
      </c>
      <c r="AA138" s="60">
        <f t="shared" si="18"/>
        <v>0</v>
      </c>
      <c r="AB138" s="49">
        <f t="shared" si="19"/>
        <v>0</v>
      </c>
      <c r="AC138" s="60">
        <f t="shared" si="20"/>
        <v>0</v>
      </c>
    </row>
    <row r="139" spans="1:29">
      <c r="A139" s="83" t="str">
        <f t="shared" si="14"/>
        <v/>
      </c>
      <c r="B139" s="83" t="str">
        <f t="shared" si="15"/>
        <v/>
      </c>
      <c r="U139" s="83" t="str">
        <f t="shared" si="16"/>
        <v/>
      </c>
      <c r="V139" s="83" t="str">
        <f t="shared" si="17"/>
        <v/>
      </c>
      <c r="AA139" s="60">
        <f t="shared" si="18"/>
        <v>0</v>
      </c>
      <c r="AB139" s="49">
        <f t="shared" si="19"/>
        <v>0</v>
      </c>
      <c r="AC139" s="60">
        <f t="shared" si="20"/>
        <v>0</v>
      </c>
    </row>
    <row r="140" spans="1:29">
      <c r="A140" s="83" t="str">
        <f t="shared" si="14"/>
        <v/>
      </c>
      <c r="B140" s="83" t="str">
        <f t="shared" si="15"/>
        <v/>
      </c>
      <c r="U140" s="83" t="str">
        <f t="shared" si="16"/>
        <v/>
      </c>
      <c r="V140" s="83" t="str">
        <f t="shared" si="17"/>
        <v/>
      </c>
      <c r="AA140" s="60">
        <f t="shared" si="18"/>
        <v>0</v>
      </c>
      <c r="AB140" s="49">
        <f t="shared" si="19"/>
        <v>0</v>
      </c>
      <c r="AC140" s="60">
        <f t="shared" si="20"/>
        <v>0</v>
      </c>
    </row>
    <row r="141" spans="1:29">
      <c r="A141" s="83" t="str">
        <f t="shared" si="14"/>
        <v/>
      </c>
      <c r="B141" s="83" t="str">
        <f t="shared" si="15"/>
        <v/>
      </c>
      <c r="U141" s="83" t="str">
        <f t="shared" si="16"/>
        <v/>
      </c>
      <c r="V141" s="83" t="str">
        <f t="shared" si="17"/>
        <v/>
      </c>
      <c r="AA141" s="60">
        <f t="shared" si="18"/>
        <v>0</v>
      </c>
      <c r="AB141" s="49">
        <f t="shared" si="19"/>
        <v>0</v>
      </c>
      <c r="AC141" s="60">
        <f t="shared" si="20"/>
        <v>0</v>
      </c>
    </row>
    <row r="142" spans="1:29">
      <c r="A142" s="83" t="str">
        <f t="shared" si="14"/>
        <v/>
      </c>
      <c r="B142" s="83" t="str">
        <f t="shared" si="15"/>
        <v/>
      </c>
      <c r="U142" s="83" t="str">
        <f t="shared" si="16"/>
        <v/>
      </c>
      <c r="V142" s="83" t="str">
        <f t="shared" si="17"/>
        <v/>
      </c>
      <c r="AA142" s="60">
        <f t="shared" si="18"/>
        <v>0</v>
      </c>
      <c r="AB142" s="49">
        <f t="shared" si="19"/>
        <v>0</v>
      </c>
      <c r="AC142" s="60">
        <f t="shared" si="20"/>
        <v>0</v>
      </c>
    </row>
    <row r="143" spans="1:29">
      <c r="A143" s="83" t="str">
        <f t="shared" si="14"/>
        <v/>
      </c>
      <c r="B143" s="83" t="str">
        <f t="shared" si="15"/>
        <v/>
      </c>
      <c r="U143" s="83" t="str">
        <f t="shared" si="16"/>
        <v/>
      </c>
      <c r="V143" s="83" t="str">
        <f t="shared" si="17"/>
        <v/>
      </c>
      <c r="AA143" s="60">
        <f t="shared" si="18"/>
        <v>0</v>
      </c>
      <c r="AB143" s="49">
        <f t="shared" si="19"/>
        <v>0</v>
      </c>
      <c r="AC143" s="60">
        <f t="shared" si="20"/>
        <v>0</v>
      </c>
    </row>
    <row r="144" spans="1:29">
      <c r="A144" s="83" t="str">
        <f t="shared" si="14"/>
        <v/>
      </c>
      <c r="B144" s="83" t="str">
        <f t="shared" si="15"/>
        <v/>
      </c>
      <c r="U144" s="83" t="str">
        <f t="shared" si="16"/>
        <v/>
      </c>
      <c r="V144" s="83" t="str">
        <f t="shared" si="17"/>
        <v/>
      </c>
      <c r="AA144" s="60">
        <f t="shared" si="18"/>
        <v>0</v>
      </c>
      <c r="AB144" s="49">
        <f t="shared" si="19"/>
        <v>0</v>
      </c>
      <c r="AC144" s="60">
        <f t="shared" si="20"/>
        <v>0</v>
      </c>
    </row>
    <row r="145" spans="1:29">
      <c r="A145" s="83" t="str">
        <f t="shared" si="14"/>
        <v/>
      </c>
      <c r="B145" s="83" t="str">
        <f t="shared" si="15"/>
        <v/>
      </c>
      <c r="U145" s="83" t="str">
        <f t="shared" si="16"/>
        <v/>
      </c>
      <c r="V145" s="83" t="str">
        <f t="shared" si="17"/>
        <v/>
      </c>
      <c r="AA145" s="60">
        <f t="shared" si="18"/>
        <v>0</v>
      </c>
      <c r="AB145" s="49">
        <f t="shared" si="19"/>
        <v>0</v>
      </c>
      <c r="AC145" s="60">
        <f t="shared" si="20"/>
        <v>0</v>
      </c>
    </row>
    <row r="146" spans="1:29">
      <c r="A146" s="83" t="str">
        <f t="shared" si="14"/>
        <v/>
      </c>
      <c r="B146" s="83" t="str">
        <f t="shared" si="15"/>
        <v/>
      </c>
      <c r="U146" s="83" t="str">
        <f t="shared" si="16"/>
        <v/>
      </c>
      <c r="V146" s="83" t="str">
        <f t="shared" si="17"/>
        <v/>
      </c>
      <c r="AA146" s="60">
        <f t="shared" si="18"/>
        <v>0</v>
      </c>
      <c r="AB146" s="49">
        <f t="shared" si="19"/>
        <v>0</v>
      </c>
      <c r="AC146" s="60">
        <f t="shared" si="20"/>
        <v>0</v>
      </c>
    </row>
    <row r="147" spans="1:29">
      <c r="A147" s="83" t="str">
        <f t="shared" si="14"/>
        <v/>
      </c>
      <c r="B147" s="83" t="str">
        <f t="shared" si="15"/>
        <v/>
      </c>
      <c r="U147" s="83" t="str">
        <f t="shared" si="16"/>
        <v/>
      </c>
      <c r="V147" s="83" t="str">
        <f t="shared" si="17"/>
        <v/>
      </c>
      <c r="AA147" s="60">
        <f t="shared" si="18"/>
        <v>0</v>
      </c>
      <c r="AB147" s="49">
        <f t="shared" si="19"/>
        <v>0</v>
      </c>
      <c r="AC147" s="60">
        <f t="shared" si="20"/>
        <v>0</v>
      </c>
    </row>
    <row r="148" spans="1:29">
      <c r="A148" s="83" t="str">
        <f t="shared" si="14"/>
        <v/>
      </c>
      <c r="B148" s="83" t="str">
        <f t="shared" si="15"/>
        <v/>
      </c>
      <c r="U148" s="83" t="str">
        <f t="shared" si="16"/>
        <v/>
      </c>
      <c r="V148" s="83" t="str">
        <f t="shared" si="17"/>
        <v/>
      </c>
      <c r="AA148" s="60">
        <f t="shared" si="18"/>
        <v>0</v>
      </c>
      <c r="AB148" s="49">
        <f t="shared" si="19"/>
        <v>0</v>
      </c>
      <c r="AC148" s="60">
        <f t="shared" si="20"/>
        <v>0</v>
      </c>
    </row>
    <row r="149" spans="1:29">
      <c r="A149" s="83" t="str">
        <f t="shared" si="14"/>
        <v/>
      </c>
      <c r="B149" s="83" t="str">
        <f t="shared" si="15"/>
        <v/>
      </c>
      <c r="U149" s="83" t="str">
        <f t="shared" si="16"/>
        <v/>
      </c>
      <c r="V149" s="83" t="str">
        <f t="shared" si="17"/>
        <v/>
      </c>
      <c r="AA149" s="60">
        <f t="shared" si="18"/>
        <v>0</v>
      </c>
      <c r="AB149" s="49">
        <f t="shared" si="19"/>
        <v>0</v>
      </c>
      <c r="AC149" s="60">
        <f t="shared" si="20"/>
        <v>0</v>
      </c>
    </row>
    <row r="150" spans="1:29">
      <c r="A150" s="83" t="str">
        <f t="shared" si="14"/>
        <v/>
      </c>
      <c r="B150" s="83" t="str">
        <f t="shared" si="15"/>
        <v/>
      </c>
      <c r="U150" s="83" t="str">
        <f t="shared" si="16"/>
        <v/>
      </c>
      <c r="V150" s="83" t="str">
        <f t="shared" si="17"/>
        <v/>
      </c>
      <c r="AA150" s="60">
        <f t="shared" si="18"/>
        <v>0</v>
      </c>
      <c r="AB150" s="49">
        <f t="shared" si="19"/>
        <v>0</v>
      </c>
      <c r="AC150" s="60">
        <f t="shared" si="20"/>
        <v>0</v>
      </c>
    </row>
    <row r="151" spans="1:29">
      <c r="A151" s="83" t="str">
        <f t="shared" si="14"/>
        <v/>
      </c>
      <c r="B151" s="83" t="str">
        <f t="shared" si="15"/>
        <v/>
      </c>
      <c r="U151" s="83" t="str">
        <f t="shared" si="16"/>
        <v/>
      </c>
      <c r="V151" s="83" t="str">
        <f t="shared" si="17"/>
        <v/>
      </c>
      <c r="AA151" s="60">
        <f t="shared" si="18"/>
        <v>0</v>
      </c>
      <c r="AB151" s="49">
        <f t="shared" si="19"/>
        <v>0</v>
      </c>
      <c r="AC151" s="60">
        <f t="shared" si="20"/>
        <v>0</v>
      </c>
    </row>
    <row r="152" spans="1:29">
      <c r="A152" s="83" t="str">
        <f t="shared" si="14"/>
        <v/>
      </c>
      <c r="B152" s="83" t="str">
        <f t="shared" si="15"/>
        <v/>
      </c>
      <c r="U152" s="83" t="str">
        <f t="shared" si="16"/>
        <v/>
      </c>
      <c r="V152" s="83" t="str">
        <f t="shared" si="17"/>
        <v/>
      </c>
      <c r="AA152" s="60">
        <f t="shared" si="18"/>
        <v>0</v>
      </c>
      <c r="AB152" s="49">
        <f t="shared" si="19"/>
        <v>0</v>
      </c>
      <c r="AC152" s="60">
        <f t="shared" si="20"/>
        <v>0</v>
      </c>
    </row>
    <row r="153" spans="1:29">
      <c r="A153" s="83" t="str">
        <f t="shared" si="14"/>
        <v/>
      </c>
      <c r="B153" s="83" t="str">
        <f t="shared" si="15"/>
        <v/>
      </c>
      <c r="U153" s="83" t="str">
        <f t="shared" si="16"/>
        <v/>
      </c>
      <c r="V153" s="83" t="str">
        <f t="shared" si="17"/>
        <v/>
      </c>
      <c r="AA153" s="60">
        <f t="shared" si="18"/>
        <v>0</v>
      </c>
      <c r="AB153" s="49">
        <f t="shared" si="19"/>
        <v>0</v>
      </c>
      <c r="AC153" s="60">
        <f t="shared" si="20"/>
        <v>0</v>
      </c>
    </row>
    <row r="154" spans="1:29">
      <c r="A154" s="83" t="str">
        <f t="shared" si="14"/>
        <v/>
      </c>
      <c r="B154" s="83" t="str">
        <f t="shared" si="15"/>
        <v/>
      </c>
      <c r="U154" s="83" t="str">
        <f t="shared" si="16"/>
        <v/>
      </c>
      <c r="V154" s="83" t="str">
        <f t="shared" si="17"/>
        <v/>
      </c>
      <c r="AA154" s="60">
        <f t="shared" si="18"/>
        <v>0</v>
      </c>
      <c r="AB154" s="49">
        <f t="shared" si="19"/>
        <v>0</v>
      </c>
      <c r="AC154" s="60">
        <f t="shared" si="20"/>
        <v>0</v>
      </c>
    </row>
    <row r="155" spans="1:29">
      <c r="A155" s="83" t="str">
        <f t="shared" si="14"/>
        <v/>
      </c>
      <c r="B155" s="83" t="str">
        <f t="shared" si="15"/>
        <v/>
      </c>
      <c r="U155" s="83" t="str">
        <f t="shared" si="16"/>
        <v/>
      </c>
      <c r="V155" s="83" t="str">
        <f t="shared" si="17"/>
        <v/>
      </c>
      <c r="AA155" s="60">
        <f t="shared" si="18"/>
        <v>0</v>
      </c>
      <c r="AB155" s="49">
        <f t="shared" si="19"/>
        <v>0</v>
      </c>
      <c r="AC155" s="60">
        <f t="shared" si="20"/>
        <v>0</v>
      </c>
    </row>
    <row r="156" spans="1:29">
      <c r="A156" s="83" t="str">
        <f t="shared" si="14"/>
        <v/>
      </c>
      <c r="B156" s="83" t="str">
        <f t="shared" si="15"/>
        <v/>
      </c>
      <c r="U156" s="83" t="str">
        <f t="shared" si="16"/>
        <v/>
      </c>
      <c r="V156" s="83" t="str">
        <f t="shared" si="17"/>
        <v/>
      </c>
      <c r="AA156" s="60">
        <f t="shared" si="18"/>
        <v>0</v>
      </c>
      <c r="AB156" s="49">
        <f t="shared" si="19"/>
        <v>0</v>
      </c>
      <c r="AC156" s="60">
        <f t="shared" si="20"/>
        <v>0</v>
      </c>
    </row>
    <row r="157" spans="1:29">
      <c r="A157" s="83" t="str">
        <f t="shared" si="14"/>
        <v/>
      </c>
      <c r="B157" s="83" t="str">
        <f t="shared" si="15"/>
        <v/>
      </c>
      <c r="U157" s="83" t="str">
        <f t="shared" si="16"/>
        <v/>
      </c>
      <c r="V157" s="83" t="str">
        <f t="shared" si="17"/>
        <v/>
      </c>
      <c r="AA157" s="60">
        <f t="shared" si="18"/>
        <v>0</v>
      </c>
      <c r="AB157" s="49">
        <f t="shared" si="19"/>
        <v>0</v>
      </c>
      <c r="AC157" s="60">
        <f t="shared" si="20"/>
        <v>0</v>
      </c>
    </row>
    <row r="158" spans="1:29">
      <c r="A158" s="83" t="str">
        <f t="shared" si="14"/>
        <v/>
      </c>
      <c r="B158" s="83" t="str">
        <f t="shared" si="15"/>
        <v/>
      </c>
      <c r="U158" s="83" t="str">
        <f t="shared" si="16"/>
        <v/>
      </c>
      <c r="V158" s="83" t="str">
        <f t="shared" si="17"/>
        <v/>
      </c>
      <c r="AA158" s="60">
        <f t="shared" si="18"/>
        <v>0</v>
      </c>
      <c r="AB158" s="49">
        <f t="shared" si="19"/>
        <v>0</v>
      </c>
      <c r="AC158" s="60">
        <f t="shared" si="20"/>
        <v>0</v>
      </c>
    </row>
    <row r="159" spans="1:29">
      <c r="A159" s="83" t="str">
        <f t="shared" si="14"/>
        <v/>
      </c>
      <c r="B159" s="83" t="str">
        <f t="shared" si="15"/>
        <v/>
      </c>
      <c r="U159" s="83" t="str">
        <f t="shared" si="16"/>
        <v/>
      </c>
      <c r="V159" s="83" t="str">
        <f t="shared" si="17"/>
        <v/>
      </c>
      <c r="AA159" s="60">
        <f t="shared" si="18"/>
        <v>0</v>
      </c>
      <c r="AB159" s="49">
        <f t="shared" si="19"/>
        <v>0</v>
      </c>
      <c r="AC159" s="60">
        <f t="shared" si="20"/>
        <v>0</v>
      </c>
    </row>
    <row r="160" spans="1:29">
      <c r="A160" s="83" t="str">
        <f t="shared" si="14"/>
        <v/>
      </c>
      <c r="B160" s="83" t="str">
        <f t="shared" si="15"/>
        <v/>
      </c>
      <c r="U160" s="83" t="str">
        <f t="shared" si="16"/>
        <v/>
      </c>
      <c r="V160" s="83" t="str">
        <f t="shared" si="17"/>
        <v/>
      </c>
      <c r="AA160" s="60">
        <f t="shared" si="18"/>
        <v>0</v>
      </c>
      <c r="AB160" s="49">
        <f t="shared" si="19"/>
        <v>0</v>
      </c>
      <c r="AC160" s="60">
        <f t="shared" si="20"/>
        <v>0</v>
      </c>
    </row>
    <row r="161" spans="1:29">
      <c r="A161" s="83" t="str">
        <f t="shared" si="14"/>
        <v/>
      </c>
      <c r="B161" s="83" t="str">
        <f t="shared" si="15"/>
        <v/>
      </c>
      <c r="U161" s="83" t="str">
        <f t="shared" si="16"/>
        <v/>
      </c>
      <c r="V161" s="83" t="str">
        <f t="shared" si="17"/>
        <v/>
      </c>
      <c r="AA161" s="60">
        <f t="shared" si="18"/>
        <v>0</v>
      </c>
      <c r="AB161" s="49">
        <f t="shared" si="19"/>
        <v>0</v>
      </c>
      <c r="AC161" s="60">
        <f t="shared" si="20"/>
        <v>0</v>
      </c>
    </row>
    <row r="162" spans="1:29">
      <c r="A162" s="83" t="str">
        <f t="shared" si="14"/>
        <v/>
      </c>
      <c r="B162" s="83" t="str">
        <f t="shared" si="15"/>
        <v/>
      </c>
      <c r="U162" s="83" t="str">
        <f t="shared" si="16"/>
        <v/>
      </c>
      <c r="V162" s="83" t="str">
        <f t="shared" si="17"/>
        <v/>
      </c>
      <c r="AA162" s="60">
        <f t="shared" si="18"/>
        <v>0</v>
      </c>
      <c r="AB162" s="49">
        <f t="shared" si="19"/>
        <v>0</v>
      </c>
      <c r="AC162" s="60">
        <f t="shared" si="20"/>
        <v>0</v>
      </c>
    </row>
    <row r="163" spans="1:29">
      <c r="A163" s="83" t="str">
        <f t="shared" si="14"/>
        <v/>
      </c>
      <c r="B163" s="83" t="str">
        <f t="shared" si="15"/>
        <v/>
      </c>
      <c r="U163" s="83" t="str">
        <f t="shared" si="16"/>
        <v/>
      </c>
      <c r="V163" s="83" t="str">
        <f t="shared" si="17"/>
        <v/>
      </c>
      <c r="AA163" s="60">
        <f t="shared" si="18"/>
        <v>0</v>
      </c>
      <c r="AB163" s="49">
        <f t="shared" si="19"/>
        <v>0</v>
      </c>
      <c r="AC163" s="60">
        <f t="shared" si="20"/>
        <v>0</v>
      </c>
    </row>
    <row r="164" spans="1:29">
      <c r="A164" s="83" t="str">
        <f t="shared" si="14"/>
        <v/>
      </c>
      <c r="B164" s="83" t="str">
        <f t="shared" si="15"/>
        <v/>
      </c>
      <c r="U164" s="83" t="str">
        <f t="shared" si="16"/>
        <v/>
      </c>
      <c r="V164" s="83" t="str">
        <f t="shared" si="17"/>
        <v/>
      </c>
      <c r="AA164" s="60">
        <f t="shared" si="18"/>
        <v>0</v>
      </c>
      <c r="AB164" s="49">
        <f t="shared" si="19"/>
        <v>0</v>
      </c>
      <c r="AC164" s="60">
        <f t="shared" si="20"/>
        <v>0</v>
      </c>
    </row>
    <row r="165" spans="1:29">
      <c r="A165" s="83" t="str">
        <f t="shared" si="14"/>
        <v/>
      </c>
      <c r="B165" s="83" t="str">
        <f t="shared" si="15"/>
        <v/>
      </c>
      <c r="U165" s="83" t="str">
        <f t="shared" si="16"/>
        <v/>
      </c>
      <c r="V165" s="83" t="str">
        <f t="shared" si="17"/>
        <v/>
      </c>
      <c r="AA165" s="60">
        <f t="shared" si="18"/>
        <v>0</v>
      </c>
      <c r="AB165" s="49">
        <f t="shared" si="19"/>
        <v>0</v>
      </c>
      <c r="AC165" s="60">
        <f t="shared" si="20"/>
        <v>0</v>
      </c>
    </row>
    <row r="166" spans="1:29">
      <c r="A166" s="83" t="str">
        <f t="shared" si="14"/>
        <v/>
      </c>
      <c r="B166" s="83" t="str">
        <f t="shared" si="15"/>
        <v/>
      </c>
      <c r="U166" s="83" t="str">
        <f t="shared" si="16"/>
        <v/>
      </c>
      <c r="V166" s="83" t="str">
        <f t="shared" si="17"/>
        <v/>
      </c>
      <c r="AA166" s="60">
        <f t="shared" si="18"/>
        <v>0</v>
      </c>
      <c r="AB166" s="49">
        <f t="shared" si="19"/>
        <v>0</v>
      </c>
      <c r="AC166" s="60">
        <f t="shared" si="20"/>
        <v>0</v>
      </c>
    </row>
    <row r="167" spans="1:29">
      <c r="A167" s="83" t="str">
        <f t="shared" si="14"/>
        <v/>
      </c>
      <c r="B167" s="83" t="str">
        <f t="shared" si="15"/>
        <v/>
      </c>
      <c r="U167" s="83" t="str">
        <f t="shared" si="16"/>
        <v/>
      </c>
      <c r="V167" s="83" t="str">
        <f t="shared" si="17"/>
        <v/>
      </c>
      <c r="AA167" s="60">
        <f t="shared" si="18"/>
        <v>0</v>
      </c>
      <c r="AB167" s="49">
        <f t="shared" si="19"/>
        <v>0</v>
      </c>
      <c r="AC167" s="60">
        <f t="shared" si="20"/>
        <v>0</v>
      </c>
    </row>
    <row r="168" spans="1:29">
      <c r="A168" s="83" t="str">
        <f t="shared" si="14"/>
        <v/>
      </c>
      <c r="B168" s="83" t="str">
        <f t="shared" si="15"/>
        <v/>
      </c>
      <c r="U168" s="83" t="str">
        <f t="shared" si="16"/>
        <v/>
      </c>
      <c r="V168" s="83" t="str">
        <f t="shared" si="17"/>
        <v/>
      </c>
      <c r="AA168" s="60">
        <f t="shared" si="18"/>
        <v>0</v>
      </c>
      <c r="AB168" s="49">
        <f t="shared" si="19"/>
        <v>0</v>
      </c>
      <c r="AC168" s="60">
        <f t="shared" si="20"/>
        <v>0</v>
      </c>
    </row>
    <row r="169" spans="1:29">
      <c r="A169" s="83" t="str">
        <f t="shared" si="14"/>
        <v/>
      </c>
      <c r="B169" s="83" t="str">
        <f t="shared" si="15"/>
        <v/>
      </c>
      <c r="U169" s="83" t="str">
        <f t="shared" si="16"/>
        <v/>
      </c>
      <c r="V169" s="83" t="str">
        <f t="shared" si="17"/>
        <v/>
      </c>
      <c r="AA169" s="60">
        <f t="shared" si="18"/>
        <v>0</v>
      </c>
      <c r="AB169" s="49">
        <f t="shared" si="19"/>
        <v>0</v>
      </c>
      <c r="AC169" s="60">
        <f t="shared" si="20"/>
        <v>0</v>
      </c>
    </row>
    <row r="170" spans="1:29">
      <c r="A170" s="83" t="str">
        <f t="shared" si="14"/>
        <v/>
      </c>
      <c r="B170" s="83" t="str">
        <f t="shared" si="15"/>
        <v/>
      </c>
      <c r="U170" s="83" t="str">
        <f t="shared" si="16"/>
        <v/>
      </c>
      <c r="V170" s="83" t="str">
        <f t="shared" si="17"/>
        <v/>
      </c>
      <c r="AA170" s="60">
        <f t="shared" si="18"/>
        <v>0</v>
      </c>
      <c r="AB170" s="49">
        <f t="shared" si="19"/>
        <v>0</v>
      </c>
      <c r="AC170" s="60">
        <f t="shared" si="20"/>
        <v>0</v>
      </c>
    </row>
    <row r="171" spans="1:29">
      <c r="A171" s="83" t="str">
        <f t="shared" si="14"/>
        <v/>
      </c>
      <c r="B171" s="83" t="str">
        <f t="shared" si="15"/>
        <v/>
      </c>
      <c r="U171" s="83" t="str">
        <f t="shared" si="16"/>
        <v/>
      </c>
      <c r="V171" s="83" t="str">
        <f t="shared" si="17"/>
        <v/>
      </c>
      <c r="AA171" s="60">
        <f t="shared" si="18"/>
        <v>0</v>
      </c>
      <c r="AB171" s="49">
        <f t="shared" si="19"/>
        <v>0</v>
      </c>
      <c r="AC171" s="60">
        <f t="shared" si="20"/>
        <v>0</v>
      </c>
    </row>
    <row r="172" spans="1:29">
      <c r="A172" s="83" t="str">
        <f t="shared" si="14"/>
        <v/>
      </c>
      <c r="B172" s="83" t="str">
        <f t="shared" si="15"/>
        <v/>
      </c>
      <c r="U172" s="83" t="str">
        <f t="shared" si="16"/>
        <v/>
      </c>
      <c r="V172" s="83" t="str">
        <f t="shared" si="17"/>
        <v/>
      </c>
      <c r="AA172" s="60">
        <f t="shared" si="18"/>
        <v>0</v>
      </c>
      <c r="AB172" s="49">
        <f t="shared" si="19"/>
        <v>0</v>
      </c>
      <c r="AC172" s="60">
        <f t="shared" si="20"/>
        <v>0</v>
      </c>
    </row>
    <row r="173" spans="1:29">
      <c r="A173" s="83" t="str">
        <f t="shared" si="14"/>
        <v/>
      </c>
      <c r="B173" s="83" t="str">
        <f t="shared" si="15"/>
        <v/>
      </c>
      <c r="U173" s="83" t="str">
        <f t="shared" si="16"/>
        <v/>
      </c>
      <c r="V173" s="83" t="str">
        <f t="shared" si="17"/>
        <v/>
      </c>
      <c r="AA173" s="60">
        <f t="shared" si="18"/>
        <v>0</v>
      </c>
      <c r="AB173" s="49">
        <f t="shared" si="19"/>
        <v>0</v>
      </c>
      <c r="AC173" s="60">
        <f t="shared" si="20"/>
        <v>0</v>
      </c>
    </row>
    <row r="174" spans="1:29">
      <c r="A174" s="83" t="str">
        <f t="shared" si="14"/>
        <v/>
      </c>
      <c r="B174" s="83" t="str">
        <f t="shared" si="15"/>
        <v/>
      </c>
      <c r="U174" s="83" t="str">
        <f t="shared" si="16"/>
        <v/>
      </c>
      <c r="V174" s="83" t="str">
        <f t="shared" si="17"/>
        <v/>
      </c>
      <c r="AA174" s="60">
        <f t="shared" si="18"/>
        <v>0</v>
      </c>
      <c r="AB174" s="49">
        <f t="shared" si="19"/>
        <v>0</v>
      </c>
      <c r="AC174" s="60">
        <f t="shared" si="20"/>
        <v>0</v>
      </c>
    </row>
    <row r="175" spans="1:29">
      <c r="A175" s="83" t="str">
        <f t="shared" si="14"/>
        <v/>
      </c>
      <c r="B175" s="83" t="str">
        <f t="shared" si="15"/>
        <v/>
      </c>
      <c r="U175" s="83" t="str">
        <f t="shared" si="16"/>
        <v/>
      </c>
      <c r="V175" s="83" t="str">
        <f t="shared" si="17"/>
        <v/>
      </c>
      <c r="AA175" s="60">
        <f t="shared" si="18"/>
        <v>0</v>
      </c>
      <c r="AB175" s="49">
        <f t="shared" si="19"/>
        <v>0</v>
      </c>
      <c r="AC175" s="60">
        <f t="shared" si="20"/>
        <v>0</v>
      </c>
    </row>
    <row r="176" spans="1:29">
      <c r="A176" s="83" t="str">
        <f t="shared" si="14"/>
        <v/>
      </c>
      <c r="B176" s="83" t="str">
        <f t="shared" si="15"/>
        <v/>
      </c>
      <c r="U176" s="83" t="str">
        <f t="shared" si="16"/>
        <v/>
      </c>
      <c r="V176" s="83" t="str">
        <f t="shared" si="17"/>
        <v/>
      </c>
      <c r="AA176" s="60">
        <f t="shared" si="18"/>
        <v>0</v>
      </c>
      <c r="AB176" s="49">
        <f t="shared" si="19"/>
        <v>0</v>
      </c>
      <c r="AC176" s="60">
        <f t="shared" si="20"/>
        <v>0</v>
      </c>
    </row>
    <row r="177" spans="1:29">
      <c r="A177" s="83" t="str">
        <f t="shared" si="14"/>
        <v/>
      </c>
      <c r="B177" s="83" t="str">
        <f t="shared" si="15"/>
        <v/>
      </c>
      <c r="U177" s="83" t="str">
        <f t="shared" si="16"/>
        <v/>
      </c>
      <c r="V177" s="83" t="str">
        <f t="shared" si="17"/>
        <v/>
      </c>
      <c r="AA177" s="60">
        <f t="shared" si="18"/>
        <v>0</v>
      </c>
      <c r="AB177" s="49">
        <f t="shared" si="19"/>
        <v>0</v>
      </c>
      <c r="AC177" s="60">
        <f t="shared" si="20"/>
        <v>0</v>
      </c>
    </row>
    <row r="178" spans="1:29">
      <c r="A178" s="83" t="str">
        <f t="shared" si="14"/>
        <v/>
      </c>
      <c r="B178" s="83" t="str">
        <f t="shared" si="15"/>
        <v/>
      </c>
      <c r="U178" s="83" t="str">
        <f t="shared" si="16"/>
        <v/>
      </c>
      <c r="V178" s="83" t="str">
        <f t="shared" si="17"/>
        <v/>
      </c>
      <c r="AA178" s="60">
        <f t="shared" si="18"/>
        <v>0</v>
      </c>
      <c r="AB178" s="49">
        <f t="shared" si="19"/>
        <v>0</v>
      </c>
      <c r="AC178" s="60">
        <f t="shared" si="20"/>
        <v>0</v>
      </c>
    </row>
    <row r="179" spans="1:29">
      <c r="A179" s="83" t="str">
        <f t="shared" si="14"/>
        <v/>
      </c>
      <c r="B179" s="83" t="str">
        <f t="shared" si="15"/>
        <v/>
      </c>
      <c r="U179" s="83" t="str">
        <f t="shared" si="16"/>
        <v/>
      </c>
      <c r="V179" s="83" t="str">
        <f t="shared" si="17"/>
        <v/>
      </c>
      <c r="AA179" s="60">
        <f t="shared" si="18"/>
        <v>0</v>
      </c>
      <c r="AB179" s="49">
        <f t="shared" si="19"/>
        <v>0</v>
      </c>
      <c r="AC179" s="60">
        <f t="shared" si="20"/>
        <v>0</v>
      </c>
    </row>
    <row r="180" spans="1:29">
      <c r="A180" s="83" t="str">
        <f t="shared" si="14"/>
        <v/>
      </c>
      <c r="B180" s="83" t="str">
        <f t="shared" si="15"/>
        <v/>
      </c>
      <c r="U180" s="83" t="str">
        <f t="shared" si="16"/>
        <v/>
      </c>
      <c r="V180" s="83" t="str">
        <f t="shared" si="17"/>
        <v/>
      </c>
      <c r="AA180" s="60">
        <f t="shared" si="18"/>
        <v>0</v>
      </c>
      <c r="AB180" s="49">
        <f t="shared" si="19"/>
        <v>0</v>
      </c>
      <c r="AC180" s="60">
        <f t="shared" si="20"/>
        <v>0</v>
      </c>
    </row>
    <row r="181" spans="1:29">
      <c r="A181" s="83" t="str">
        <f t="shared" si="14"/>
        <v/>
      </c>
      <c r="B181" s="83" t="str">
        <f t="shared" si="15"/>
        <v/>
      </c>
      <c r="U181" s="83" t="str">
        <f t="shared" si="16"/>
        <v/>
      </c>
      <c r="V181" s="83" t="str">
        <f t="shared" si="17"/>
        <v/>
      </c>
      <c r="AA181" s="60">
        <f t="shared" si="18"/>
        <v>0</v>
      </c>
      <c r="AB181" s="49">
        <f t="shared" si="19"/>
        <v>0</v>
      </c>
      <c r="AC181" s="60">
        <f t="shared" si="20"/>
        <v>0</v>
      </c>
    </row>
    <row r="182" spans="1:29">
      <c r="A182" s="83" t="str">
        <f t="shared" si="14"/>
        <v/>
      </c>
      <c r="B182" s="83" t="str">
        <f t="shared" si="15"/>
        <v/>
      </c>
      <c r="U182" s="83" t="str">
        <f t="shared" si="16"/>
        <v/>
      </c>
      <c r="V182" s="83" t="str">
        <f t="shared" si="17"/>
        <v/>
      </c>
      <c r="AA182" s="60">
        <f t="shared" si="18"/>
        <v>0</v>
      </c>
      <c r="AB182" s="49">
        <f t="shared" si="19"/>
        <v>0</v>
      </c>
      <c r="AC182" s="60">
        <f t="shared" si="20"/>
        <v>0</v>
      </c>
    </row>
    <row r="183" spans="1:29">
      <c r="A183" s="83" t="str">
        <f t="shared" si="14"/>
        <v/>
      </c>
      <c r="B183" s="83" t="str">
        <f t="shared" si="15"/>
        <v/>
      </c>
      <c r="U183" s="83" t="str">
        <f t="shared" si="16"/>
        <v/>
      </c>
      <c r="V183" s="83" t="str">
        <f t="shared" si="17"/>
        <v/>
      </c>
      <c r="AA183" s="60">
        <f t="shared" si="18"/>
        <v>0</v>
      </c>
      <c r="AB183" s="49">
        <f t="shared" si="19"/>
        <v>0</v>
      </c>
      <c r="AC183" s="60">
        <f t="shared" si="20"/>
        <v>0</v>
      </c>
    </row>
    <row r="184" spans="1:29">
      <c r="A184" s="83" t="str">
        <f t="shared" si="14"/>
        <v/>
      </c>
      <c r="B184" s="83" t="str">
        <f t="shared" si="15"/>
        <v/>
      </c>
      <c r="U184" s="83" t="str">
        <f t="shared" si="16"/>
        <v/>
      </c>
      <c r="V184" s="83" t="str">
        <f t="shared" si="17"/>
        <v/>
      </c>
      <c r="AA184" s="60">
        <f t="shared" si="18"/>
        <v>0</v>
      </c>
      <c r="AB184" s="49">
        <f t="shared" si="19"/>
        <v>0</v>
      </c>
      <c r="AC184" s="60">
        <f t="shared" si="20"/>
        <v>0</v>
      </c>
    </row>
    <row r="185" spans="1:29">
      <c r="A185" s="83" t="str">
        <f t="shared" si="14"/>
        <v/>
      </c>
      <c r="B185" s="83" t="str">
        <f t="shared" si="15"/>
        <v/>
      </c>
      <c r="U185" s="83" t="str">
        <f t="shared" si="16"/>
        <v/>
      </c>
      <c r="V185" s="83" t="str">
        <f t="shared" si="17"/>
        <v/>
      </c>
      <c r="AA185" s="60">
        <f t="shared" si="18"/>
        <v>0</v>
      </c>
      <c r="AB185" s="49">
        <f t="shared" si="19"/>
        <v>0</v>
      </c>
      <c r="AC185" s="60">
        <f t="shared" si="20"/>
        <v>0</v>
      </c>
    </row>
    <row r="186" spans="1:29">
      <c r="A186" s="83" t="str">
        <f t="shared" si="14"/>
        <v/>
      </c>
      <c r="B186" s="83" t="str">
        <f t="shared" si="15"/>
        <v/>
      </c>
      <c r="U186" s="83" t="str">
        <f t="shared" si="16"/>
        <v/>
      </c>
      <c r="V186" s="83" t="str">
        <f t="shared" si="17"/>
        <v/>
      </c>
      <c r="AA186" s="60">
        <f t="shared" si="18"/>
        <v>0</v>
      </c>
      <c r="AB186" s="49">
        <f t="shared" si="19"/>
        <v>0</v>
      </c>
      <c r="AC186" s="60">
        <f t="shared" si="20"/>
        <v>0</v>
      </c>
    </row>
    <row r="187" spans="1:29">
      <c r="A187" s="83" t="str">
        <f t="shared" si="14"/>
        <v/>
      </c>
      <c r="B187" s="83" t="str">
        <f t="shared" si="15"/>
        <v/>
      </c>
      <c r="U187" s="83" t="str">
        <f t="shared" si="16"/>
        <v/>
      </c>
      <c r="V187" s="83" t="str">
        <f t="shared" si="17"/>
        <v/>
      </c>
      <c r="AA187" s="60">
        <f t="shared" si="18"/>
        <v>0</v>
      </c>
      <c r="AB187" s="49">
        <f t="shared" si="19"/>
        <v>0</v>
      </c>
      <c r="AC187" s="60">
        <f t="shared" si="20"/>
        <v>0</v>
      </c>
    </row>
    <row r="188" spans="1:29">
      <c r="A188" s="83" t="str">
        <f t="shared" si="14"/>
        <v/>
      </c>
      <c r="B188" s="83" t="str">
        <f t="shared" si="15"/>
        <v/>
      </c>
      <c r="U188" s="83" t="str">
        <f t="shared" si="16"/>
        <v/>
      </c>
      <c r="V188" s="83" t="str">
        <f t="shared" si="17"/>
        <v/>
      </c>
      <c r="AA188" s="60">
        <f t="shared" si="18"/>
        <v>0</v>
      </c>
      <c r="AB188" s="49">
        <f t="shared" si="19"/>
        <v>0</v>
      </c>
      <c r="AC188" s="60">
        <f t="shared" si="20"/>
        <v>0</v>
      </c>
    </row>
    <row r="189" spans="1:29">
      <c r="A189" s="83" t="str">
        <f t="shared" si="14"/>
        <v/>
      </c>
      <c r="B189" s="83" t="str">
        <f t="shared" si="15"/>
        <v/>
      </c>
      <c r="U189" s="83" t="str">
        <f t="shared" si="16"/>
        <v/>
      </c>
      <c r="V189" s="83" t="str">
        <f t="shared" si="17"/>
        <v/>
      </c>
      <c r="AA189" s="60">
        <f t="shared" si="18"/>
        <v>0</v>
      </c>
      <c r="AB189" s="49">
        <f t="shared" si="19"/>
        <v>0</v>
      </c>
      <c r="AC189" s="60">
        <f t="shared" si="20"/>
        <v>0</v>
      </c>
    </row>
    <row r="190" spans="1:29">
      <c r="A190" s="83" t="str">
        <f t="shared" si="14"/>
        <v/>
      </c>
      <c r="B190" s="83" t="str">
        <f t="shared" si="15"/>
        <v/>
      </c>
      <c r="U190" s="83" t="str">
        <f t="shared" si="16"/>
        <v/>
      </c>
      <c r="V190" s="83" t="str">
        <f t="shared" si="17"/>
        <v/>
      </c>
      <c r="AA190" s="60">
        <f t="shared" si="18"/>
        <v>0</v>
      </c>
      <c r="AB190" s="49">
        <f t="shared" si="19"/>
        <v>0</v>
      </c>
      <c r="AC190" s="60">
        <f t="shared" si="20"/>
        <v>0</v>
      </c>
    </row>
    <row r="191" spans="1:29">
      <c r="A191" s="83" t="str">
        <f t="shared" si="14"/>
        <v/>
      </c>
      <c r="B191" s="83" t="str">
        <f t="shared" si="15"/>
        <v/>
      </c>
      <c r="U191" s="83" t="str">
        <f t="shared" si="16"/>
        <v/>
      </c>
      <c r="V191" s="83" t="str">
        <f t="shared" si="17"/>
        <v/>
      </c>
      <c r="AA191" s="60">
        <f t="shared" si="18"/>
        <v>0</v>
      </c>
      <c r="AB191" s="49">
        <f t="shared" si="19"/>
        <v>0</v>
      </c>
      <c r="AC191" s="60">
        <f t="shared" si="20"/>
        <v>0</v>
      </c>
    </row>
    <row r="192" spans="1:29">
      <c r="A192" s="83" t="str">
        <f t="shared" si="14"/>
        <v/>
      </c>
      <c r="B192" s="83" t="str">
        <f t="shared" si="15"/>
        <v/>
      </c>
      <c r="U192" s="83" t="str">
        <f t="shared" si="16"/>
        <v/>
      </c>
      <c r="V192" s="83" t="str">
        <f t="shared" si="17"/>
        <v/>
      </c>
      <c r="AA192" s="60">
        <f t="shared" si="18"/>
        <v>0</v>
      </c>
      <c r="AB192" s="49">
        <f t="shared" si="19"/>
        <v>0</v>
      </c>
      <c r="AC192" s="60">
        <f t="shared" si="20"/>
        <v>0</v>
      </c>
    </row>
    <row r="193" spans="1:29">
      <c r="A193" s="83" t="str">
        <f t="shared" si="14"/>
        <v/>
      </c>
      <c r="B193" s="83" t="str">
        <f t="shared" si="15"/>
        <v/>
      </c>
      <c r="U193" s="83" t="str">
        <f t="shared" si="16"/>
        <v/>
      </c>
      <c r="V193" s="83" t="str">
        <f t="shared" si="17"/>
        <v/>
      </c>
      <c r="AA193" s="60">
        <f t="shared" si="18"/>
        <v>0</v>
      </c>
      <c r="AB193" s="49">
        <f t="shared" si="19"/>
        <v>0</v>
      </c>
      <c r="AC193" s="60">
        <f t="shared" si="20"/>
        <v>0</v>
      </c>
    </row>
    <row r="194" spans="1:29">
      <c r="A194" s="83" t="str">
        <f t="shared" si="14"/>
        <v/>
      </c>
      <c r="B194" s="83" t="str">
        <f t="shared" si="15"/>
        <v/>
      </c>
      <c r="U194" s="83" t="str">
        <f t="shared" si="16"/>
        <v/>
      </c>
      <c r="V194" s="83" t="str">
        <f t="shared" si="17"/>
        <v/>
      </c>
      <c r="AA194" s="60">
        <f t="shared" si="18"/>
        <v>0</v>
      </c>
      <c r="AB194" s="49">
        <f t="shared" si="19"/>
        <v>0</v>
      </c>
      <c r="AC194" s="60">
        <f t="shared" si="20"/>
        <v>0</v>
      </c>
    </row>
    <row r="195" spans="1:29">
      <c r="A195" s="83" t="str">
        <f t="shared" ref="A195:A258" si="21">IF(G195&amp;Q195&lt;&gt;"",U195&amp;Q195,"")</f>
        <v/>
      </c>
      <c r="B195" s="83" t="str">
        <f t="shared" ref="B195:B258" si="22">IF(C195&lt;&gt;"",LEFT(C195,9),"")</f>
        <v/>
      </c>
      <c r="U195" s="83" t="str">
        <f t="shared" ref="U195:U258" si="23">IF(G195&lt;&gt;"",IF(StyleSpaceSplit,IFERROR(IF(FIND(" ",G195)&gt;=1,MID(G195,1,FIND(" ",G195)-1),G195),G195),G195),"")</f>
        <v/>
      </c>
      <c r="V195" s="83" t="str">
        <f t="shared" ref="V195:V258" si="24">IF(A195&lt;&gt;"",IFERROR(IF(FIND(" ",G195)&gt;=1,MID(G195,FIND(" ",G195)+1,LEN(G195)),""),G195),"")</f>
        <v/>
      </c>
      <c r="AA195" s="60">
        <f t="shared" ref="AA195:AA258" si="25">IFERROR(VALUE(MID($C195,1,2)),0)</f>
        <v>0</v>
      </c>
      <c r="AB195" s="49">
        <f t="shared" ref="AB195:AB258" si="26">IFERROR(VALUE(MID($C195,4,3)),0)</f>
        <v>0</v>
      </c>
      <c r="AC195" s="60">
        <f t="shared" ref="AC195:AC258" si="27">VALUE(RIGHT("00"&amp;AA195,2)&amp;RIGHT("000"&amp;AB195,3))</f>
        <v>0</v>
      </c>
    </row>
    <row r="196" spans="1:29">
      <c r="A196" s="83" t="str">
        <f t="shared" si="21"/>
        <v/>
      </c>
      <c r="B196" s="83" t="str">
        <f t="shared" si="22"/>
        <v/>
      </c>
      <c r="U196" s="83" t="str">
        <f t="shared" si="23"/>
        <v/>
      </c>
      <c r="V196" s="83" t="str">
        <f t="shared" si="24"/>
        <v/>
      </c>
      <c r="AA196" s="60">
        <f t="shared" si="25"/>
        <v>0</v>
      </c>
      <c r="AB196" s="49">
        <f t="shared" si="26"/>
        <v>0</v>
      </c>
      <c r="AC196" s="60">
        <f t="shared" si="27"/>
        <v>0</v>
      </c>
    </row>
    <row r="197" spans="1:29">
      <c r="A197" s="83" t="str">
        <f t="shared" si="21"/>
        <v/>
      </c>
      <c r="B197" s="83" t="str">
        <f t="shared" si="22"/>
        <v/>
      </c>
      <c r="U197" s="83" t="str">
        <f t="shared" si="23"/>
        <v/>
      </c>
      <c r="V197" s="83" t="str">
        <f t="shared" si="24"/>
        <v/>
      </c>
      <c r="AA197" s="60">
        <f t="shared" si="25"/>
        <v>0</v>
      </c>
      <c r="AB197" s="49">
        <f t="shared" si="26"/>
        <v>0</v>
      </c>
      <c r="AC197" s="60">
        <f t="shared" si="27"/>
        <v>0</v>
      </c>
    </row>
    <row r="198" spans="1:29">
      <c r="A198" s="83" t="str">
        <f t="shared" si="21"/>
        <v/>
      </c>
      <c r="B198" s="83" t="str">
        <f t="shared" si="22"/>
        <v/>
      </c>
      <c r="U198" s="83" t="str">
        <f t="shared" si="23"/>
        <v/>
      </c>
      <c r="V198" s="83" t="str">
        <f t="shared" si="24"/>
        <v/>
      </c>
      <c r="AA198" s="60">
        <f t="shared" si="25"/>
        <v>0</v>
      </c>
      <c r="AB198" s="49">
        <f t="shared" si="26"/>
        <v>0</v>
      </c>
      <c r="AC198" s="60">
        <f t="shared" si="27"/>
        <v>0</v>
      </c>
    </row>
    <row r="199" spans="1:29">
      <c r="A199" s="83" t="str">
        <f t="shared" si="21"/>
        <v/>
      </c>
      <c r="B199" s="83" t="str">
        <f t="shared" si="22"/>
        <v/>
      </c>
      <c r="U199" s="83" t="str">
        <f t="shared" si="23"/>
        <v/>
      </c>
      <c r="V199" s="83" t="str">
        <f t="shared" si="24"/>
        <v/>
      </c>
      <c r="AA199" s="60">
        <f t="shared" si="25"/>
        <v>0</v>
      </c>
      <c r="AB199" s="49">
        <f t="shared" si="26"/>
        <v>0</v>
      </c>
      <c r="AC199" s="60">
        <f t="shared" si="27"/>
        <v>0</v>
      </c>
    </row>
    <row r="200" spans="1:29">
      <c r="A200" s="83" t="str">
        <f t="shared" si="21"/>
        <v/>
      </c>
      <c r="B200" s="83" t="str">
        <f t="shared" si="22"/>
        <v/>
      </c>
      <c r="U200" s="83" t="str">
        <f t="shared" si="23"/>
        <v/>
      </c>
      <c r="V200" s="83" t="str">
        <f t="shared" si="24"/>
        <v/>
      </c>
      <c r="AA200" s="60">
        <f t="shared" si="25"/>
        <v>0</v>
      </c>
      <c r="AB200" s="49">
        <f t="shared" si="26"/>
        <v>0</v>
      </c>
      <c r="AC200" s="60">
        <f t="shared" si="27"/>
        <v>0</v>
      </c>
    </row>
    <row r="201" spans="1:29">
      <c r="A201" s="83" t="str">
        <f t="shared" si="21"/>
        <v/>
      </c>
      <c r="B201" s="83" t="str">
        <f t="shared" si="22"/>
        <v/>
      </c>
      <c r="U201" s="83" t="str">
        <f t="shared" si="23"/>
        <v/>
      </c>
      <c r="V201" s="83" t="str">
        <f t="shared" si="24"/>
        <v/>
      </c>
      <c r="AA201" s="60">
        <f t="shared" si="25"/>
        <v>0</v>
      </c>
      <c r="AB201" s="49">
        <f t="shared" si="26"/>
        <v>0</v>
      </c>
      <c r="AC201" s="60">
        <f t="shared" si="27"/>
        <v>0</v>
      </c>
    </row>
    <row r="202" spans="1:29">
      <c r="A202" s="83" t="str">
        <f t="shared" si="21"/>
        <v/>
      </c>
      <c r="B202" s="83" t="str">
        <f t="shared" si="22"/>
        <v/>
      </c>
      <c r="U202" s="83" t="str">
        <f t="shared" si="23"/>
        <v/>
      </c>
      <c r="V202" s="83" t="str">
        <f t="shared" si="24"/>
        <v/>
      </c>
      <c r="AA202" s="60">
        <f t="shared" si="25"/>
        <v>0</v>
      </c>
      <c r="AB202" s="49">
        <f t="shared" si="26"/>
        <v>0</v>
      </c>
      <c r="AC202" s="60">
        <f t="shared" si="27"/>
        <v>0</v>
      </c>
    </row>
    <row r="203" spans="1:29">
      <c r="A203" s="83" t="str">
        <f t="shared" si="21"/>
        <v/>
      </c>
      <c r="B203" s="83" t="str">
        <f t="shared" si="22"/>
        <v/>
      </c>
      <c r="U203" s="83" t="str">
        <f t="shared" si="23"/>
        <v/>
      </c>
      <c r="V203" s="83" t="str">
        <f t="shared" si="24"/>
        <v/>
      </c>
      <c r="AA203" s="60">
        <f t="shared" si="25"/>
        <v>0</v>
      </c>
      <c r="AB203" s="49">
        <f t="shared" si="26"/>
        <v>0</v>
      </c>
      <c r="AC203" s="60">
        <f t="shared" si="27"/>
        <v>0</v>
      </c>
    </row>
    <row r="204" spans="1:29">
      <c r="A204" s="83" t="str">
        <f t="shared" si="21"/>
        <v/>
      </c>
      <c r="B204" s="83" t="str">
        <f t="shared" si="22"/>
        <v/>
      </c>
      <c r="U204" s="83" t="str">
        <f t="shared" si="23"/>
        <v/>
      </c>
      <c r="V204" s="83" t="str">
        <f t="shared" si="24"/>
        <v/>
      </c>
      <c r="AA204" s="60">
        <f t="shared" si="25"/>
        <v>0</v>
      </c>
      <c r="AB204" s="49">
        <f t="shared" si="26"/>
        <v>0</v>
      </c>
      <c r="AC204" s="60">
        <f t="shared" si="27"/>
        <v>0</v>
      </c>
    </row>
    <row r="205" spans="1:29">
      <c r="A205" s="83" t="str">
        <f t="shared" si="21"/>
        <v/>
      </c>
      <c r="B205" s="83" t="str">
        <f t="shared" si="22"/>
        <v/>
      </c>
      <c r="U205" s="83" t="str">
        <f t="shared" si="23"/>
        <v/>
      </c>
      <c r="V205" s="83" t="str">
        <f t="shared" si="24"/>
        <v/>
      </c>
      <c r="AA205" s="60">
        <f t="shared" si="25"/>
        <v>0</v>
      </c>
      <c r="AB205" s="49">
        <f t="shared" si="26"/>
        <v>0</v>
      </c>
      <c r="AC205" s="60">
        <f t="shared" si="27"/>
        <v>0</v>
      </c>
    </row>
    <row r="206" spans="1:29">
      <c r="A206" s="83" t="str">
        <f t="shared" si="21"/>
        <v/>
      </c>
      <c r="B206" s="83" t="str">
        <f t="shared" si="22"/>
        <v/>
      </c>
      <c r="U206" s="83" t="str">
        <f t="shared" si="23"/>
        <v/>
      </c>
      <c r="V206" s="83" t="str">
        <f t="shared" si="24"/>
        <v/>
      </c>
      <c r="AA206" s="60">
        <f t="shared" si="25"/>
        <v>0</v>
      </c>
      <c r="AB206" s="49">
        <f t="shared" si="26"/>
        <v>0</v>
      </c>
      <c r="AC206" s="60">
        <f t="shared" si="27"/>
        <v>0</v>
      </c>
    </row>
    <row r="207" spans="1:29">
      <c r="A207" s="83" t="str">
        <f t="shared" si="21"/>
        <v/>
      </c>
      <c r="B207" s="83" t="str">
        <f t="shared" si="22"/>
        <v/>
      </c>
      <c r="U207" s="83" t="str">
        <f t="shared" si="23"/>
        <v/>
      </c>
      <c r="V207" s="83" t="str">
        <f t="shared" si="24"/>
        <v/>
      </c>
      <c r="AA207" s="60">
        <f t="shared" si="25"/>
        <v>0</v>
      </c>
      <c r="AB207" s="49">
        <f t="shared" si="26"/>
        <v>0</v>
      </c>
      <c r="AC207" s="60">
        <f t="shared" si="27"/>
        <v>0</v>
      </c>
    </row>
    <row r="208" spans="1:29">
      <c r="A208" s="83" t="str">
        <f t="shared" si="21"/>
        <v/>
      </c>
      <c r="B208" s="83" t="str">
        <f t="shared" si="22"/>
        <v/>
      </c>
      <c r="U208" s="83" t="str">
        <f t="shared" si="23"/>
        <v/>
      </c>
      <c r="V208" s="83" t="str">
        <f t="shared" si="24"/>
        <v/>
      </c>
      <c r="AA208" s="60">
        <f t="shared" si="25"/>
        <v>0</v>
      </c>
      <c r="AB208" s="49">
        <f t="shared" si="26"/>
        <v>0</v>
      </c>
      <c r="AC208" s="60">
        <f t="shared" si="27"/>
        <v>0</v>
      </c>
    </row>
    <row r="209" spans="1:29">
      <c r="A209" s="83" t="str">
        <f t="shared" si="21"/>
        <v/>
      </c>
      <c r="B209" s="83" t="str">
        <f t="shared" si="22"/>
        <v/>
      </c>
      <c r="U209" s="83" t="str">
        <f t="shared" si="23"/>
        <v/>
      </c>
      <c r="V209" s="83" t="str">
        <f t="shared" si="24"/>
        <v/>
      </c>
      <c r="AA209" s="60">
        <f t="shared" si="25"/>
        <v>0</v>
      </c>
      <c r="AB209" s="49">
        <f t="shared" si="26"/>
        <v>0</v>
      </c>
      <c r="AC209" s="60">
        <f t="shared" si="27"/>
        <v>0</v>
      </c>
    </row>
    <row r="210" spans="1:29">
      <c r="A210" s="83" t="str">
        <f t="shared" si="21"/>
        <v/>
      </c>
      <c r="B210" s="83" t="str">
        <f t="shared" si="22"/>
        <v/>
      </c>
      <c r="U210" s="83" t="str">
        <f t="shared" si="23"/>
        <v/>
      </c>
      <c r="V210" s="83" t="str">
        <f t="shared" si="24"/>
        <v/>
      </c>
      <c r="AA210" s="60">
        <f t="shared" si="25"/>
        <v>0</v>
      </c>
      <c r="AB210" s="49">
        <f t="shared" si="26"/>
        <v>0</v>
      </c>
      <c r="AC210" s="60">
        <f t="shared" si="27"/>
        <v>0</v>
      </c>
    </row>
    <row r="211" spans="1:29">
      <c r="A211" s="83" t="str">
        <f t="shared" si="21"/>
        <v/>
      </c>
      <c r="B211" s="83" t="str">
        <f t="shared" si="22"/>
        <v/>
      </c>
      <c r="U211" s="83" t="str">
        <f t="shared" si="23"/>
        <v/>
      </c>
      <c r="V211" s="83" t="str">
        <f t="shared" si="24"/>
        <v/>
      </c>
      <c r="AA211" s="60">
        <f t="shared" si="25"/>
        <v>0</v>
      </c>
      <c r="AB211" s="49">
        <f t="shared" si="26"/>
        <v>0</v>
      </c>
      <c r="AC211" s="60">
        <f t="shared" si="27"/>
        <v>0</v>
      </c>
    </row>
    <row r="212" spans="1:29">
      <c r="A212" s="83" t="str">
        <f t="shared" si="21"/>
        <v/>
      </c>
      <c r="B212" s="83" t="str">
        <f t="shared" si="22"/>
        <v/>
      </c>
      <c r="U212" s="83" t="str">
        <f t="shared" si="23"/>
        <v/>
      </c>
      <c r="V212" s="83" t="str">
        <f t="shared" si="24"/>
        <v/>
      </c>
      <c r="AA212" s="60">
        <f t="shared" si="25"/>
        <v>0</v>
      </c>
      <c r="AB212" s="49">
        <f t="shared" si="26"/>
        <v>0</v>
      </c>
      <c r="AC212" s="60">
        <f t="shared" si="27"/>
        <v>0</v>
      </c>
    </row>
    <row r="213" spans="1:29">
      <c r="A213" s="83" t="str">
        <f t="shared" si="21"/>
        <v/>
      </c>
      <c r="B213" s="83" t="str">
        <f t="shared" si="22"/>
        <v/>
      </c>
      <c r="U213" s="83" t="str">
        <f t="shared" si="23"/>
        <v/>
      </c>
      <c r="V213" s="83" t="str">
        <f t="shared" si="24"/>
        <v/>
      </c>
      <c r="AA213" s="60">
        <f t="shared" si="25"/>
        <v>0</v>
      </c>
      <c r="AB213" s="49">
        <f t="shared" si="26"/>
        <v>0</v>
      </c>
      <c r="AC213" s="60">
        <f t="shared" si="27"/>
        <v>0</v>
      </c>
    </row>
    <row r="214" spans="1:29">
      <c r="A214" s="83" t="str">
        <f t="shared" si="21"/>
        <v/>
      </c>
      <c r="B214" s="83" t="str">
        <f t="shared" si="22"/>
        <v/>
      </c>
      <c r="U214" s="83" t="str">
        <f t="shared" si="23"/>
        <v/>
      </c>
      <c r="V214" s="83" t="str">
        <f t="shared" si="24"/>
        <v/>
      </c>
      <c r="AA214" s="60">
        <f t="shared" si="25"/>
        <v>0</v>
      </c>
      <c r="AB214" s="49">
        <f t="shared" si="26"/>
        <v>0</v>
      </c>
      <c r="AC214" s="60">
        <f t="shared" si="27"/>
        <v>0</v>
      </c>
    </row>
    <row r="215" spans="1:29">
      <c r="A215" s="83" t="str">
        <f t="shared" si="21"/>
        <v/>
      </c>
      <c r="B215" s="83" t="str">
        <f t="shared" si="22"/>
        <v/>
      </c>
      <c r="U215" s="83" t="str">
        <f t="shared" si="23"/>
        <v/>
      </c>
      <c r="V215" s="83" t="str">
        <f t="shared" si="24"/>
        <v/>
      </c>
      <c r="AA215" s="60">
        <f t="shared" si="25"/>
        <v>0</v>
      </c>
      <c r="AB215" s="49">
        <f t="shared" si="26"/>
        <v>0</v>
      </c>
      <c r="AC215" s="60">
        <f t="shared" si="27"/>
        <v>0</v>
      </c>
    </row>
    <row r="216" spans="1:29">
      <c r="A216" s="83" t="str">
        <f t="shared" si="21"/>
        <v/>
      </c>
      <c r="B216" s="83" t="str">
        <f t="shared" si="22"/>
        <v/>
      </c>
      <c r="U216" s="83" t="str">
        <f t="shared" si="23"/>
        <v/>
      </c>
      <c r="V216" s="83" t="str">
        <f t="shared" si="24"/>
        <v/>
      </c>
      <c r="AA216" s="60">
        <f t="shared" si="25"/>
        <v>0</v>
      </c>
      <c r="AB216" s="49">
        <f t="shared" si="26"/>
        <v>0</v>
      </c>
      <c r="AC216" s="60">
        <f t="shared" si="27"/>
        <v>0</v>
      </c>
    </row>
    <row r="217" spans="1:29">
      <c r="A217" s="83" t="str">
        <f t="shared" si="21"/>
        <v/>
      </c>
      <c r="B217" s="83" t="str">
        <f t="shared" si="22"/>
        <v/>
      </c>
      <c r="U217" s="83" t="str">
        <f t="shared" si="23"/>
        <v/>
      </c>
      <c r="V217" s="83" t="str">
        <f t="shared" si="24"/>
        <v/>
      </c>
      <c r="AA217" s="60">
        <f t="shared" si="25"/>
        <v>0</v>
      </c>
      <c r="AB217" s="49">
        <f t="shared" si="26"/>
        <v>0</v>
      </c>
      <c r="AC217" s="60">
        <f t="shared" si="27"/>
        <v>0</v>
      </c>
    </row>
    <row r="218" spans="1:29">
      <c r="A218" s="83" t="str">
        <f t="shared" si="21"/>
        <v/>
      </c>
      <c r="B218" s="83" t="str">
        <f>IF(C218&lt;&gt;"",LEFT(C218,9),"")</f>
        <v/>
      </c>
      <c r="U218" s="83" t="str">
        <f t="shared" si="23"/>
        <v/>
      </c>
      <c r="V218" s="83" t="str">
        <f t="shared" si="24"/>
        <v/>
      </c>
      <c r="AA218" s="60">
        <f t="shared" si="25"/>
        <v>0</v>
      </c>
      <c r="AB218" s="49">
        <f t="shared" si="26"/>
        <v>0</v>
      </c>
      <c r="AC218" s="60">
        <f t="shared" si="27"/>
        <v>0</v>
      </c>
    </row>
    <row r="219" spans="1:29">
      <c r="A219" s="83" t="str">
        <f t="shared" si="21"/>
        <v/>
      </c>
      <c r="B219" s="83" t="str">
        <f t="shared" si="22"/>
        <v/>
      </c>
      <c r="U219" s="83" t="str">
        <f t="shared" si="23"/>
        <v/>
      </c>
      <c r="V219" s="83" t="str">
        <f t="shared" si="24"/>
        <v/>
      </c>
      <c r="AA219" s="60">
        <f t="shared" si="25"/>
        <v>0</v>
      </c>
      <c r="AB219" s="49">
        <f t="shared" si="26"/>
        <v>0</v>
      </c>
      <c r="AC219" s="60">
        <f t="shared" si="27"/>
        <v>0</v>
      </c>
    </row>
    <row r="220" spans="1:29">
      <c r="A220" s="83" t="str">
        <f t="shared" si="21"/>
        <v/>
      </c>
      <c r="B220" s="83" t="str">
        <f t="shared" si="22"/>
        <v/>
      </c>
      <c r="U220" s="83" t="str">
        <f t="shared" si="23"/>
        <v/>
      </c>
      <c r="V220" s="83" t="str">
        <f t="shared" si="24"/>
        <v/>
      </c>
      <c r="AA220" s="60">
        <f t="shared" si="25"/>
        <v>0</v>
      </c>
      <c r="AB220" s="49">
        <f t="shared" si="26"/>
        <v>0</v>
      </c>
      <c r="AC220" s="60">
        <f t="shared" si="27"/>
        <v>0</v>
      </c>
    </row>
    <row r="221" spans="1:29">
      <c r="A221" s="83" t="str">
        <f t="shared" si="21"/>
        <v/>
      </c>
      <c r="B221" s="83" t="str">
        <f t="shared" si="22"/>
        <v/>
      </c>
      <c r="U221" s="83" t="str">
        <f t="shared" si="23"/>
        <v/>
      </c>
      <c r="V221" s="83" t="str">
        <f t="shared" si="24"/>
        <v/>
      </c>
      <c r="AA221" s="60">
        <f t="shared" si="25"/>
        <v>0</v>
      </c>
      <c r="AB221" s="49">
        <f t="shared" si="26"/>
        <v>0</v>
      </c>
      <c r="AC221" s="60">
        <f t="shared" si="27"/>
        <v>0</v>
      </c>
    </row>
    <row r="222" spans="1:29">
      <c r="A222" s="83" t="str">
        <f t="shared" si="21"/>
        <v/>
      </c>
      <c r="B222" s="83" t="str">
        <f t="shared" si="22"/>
        <v/>
      </c>
      <c r="U222" s="83" t="str">
        <f t="shared" si="23"/>
        <v/>
      </c>
      <c r="V222" s="83" t="str">
        <f t="shared" si="24"/>
        <v/>
      </c>
      <c r="AA222" s="60">
        <f t="shared" si="25"/>
        <v>0</v>
      </c>
      <c r="AB222" s="49">
        <f t="shared" si="26"/>
        <v>0</v>
      </c>
      <c r="AC222" s="60">
        <f t="shared" si="27"/>
        <v>0</v>
      </c>
    </row>
    <row r="223" spans="1:29">
      <c r="A223" s="83" t="str">
        <f t="shared" si="21"/>
        <v/>
      </c>
      <c r="B223" s="83" t="str">
        <f t="shared" si="22"/>
        <v/>
      </c>
      <c r="U223" s="83" t="str">
        <f t="shared" si="23"/>
        <v/>
      </c>
      <c r="V223" s="83" t="str">
        <f t="shared" si="24"/>
        <v/>
      </c>
      <c r="AA223" s="60">
        <f t="shared" si="25"/>
        <v>0</v>
      </c>
      <c r="AB223" s="49">
        <f t="shared" si="26"/>
        <v>0</v>
      </c>
      <c r="AC223" s="60">
        <f t="shared" si="27"/>
        <v>0</v>
      </c>
    </row>
    <row r="224" spans="1:29">
      <c r="A224" s="83" t="str">
        <f t="shared" si="21"/>
        <v/>
      </c>
      <c r="B224" s="83" t="str">
        <f t="shared" si="22"/>
        <v/>
      </c>
      <c r="U224" s="83" t="str">
        <f t="shared" si="23"/>
        <v/>
      </c>
      <c r="V224" s="83" t="str">
        <f t="shared" si="24"/>
        <v/>
      </c>
      <c r="AA224" s="60">
        <f t="shared" si="25"/>
        <v>0</v>
      </c>
      <c r="AB224" s="49">
        <f t="shared" si="26"/>
        <v>0</v>
      </c>
      <c r="AC224" s="60">
        <f t="shared" si="27"/>
        <v>0</v>
      </c>
    </row>
    <row r="225" spans="1:29">
      <c r="A225" s="83" t="str">
        <f t="shared" si="21"/>
        <v/>
      </c>
      <c r="B225" s="83" t="str">
        <f t="shared" si="22"/>
        <v/>
      </c>
      <c r="U225" s="83" t="str">
        <f t="shared" si="23"/>
        <v/>
      </c>
      <c r="V225" s="83" t="str">
        <f t="shared" si="24"/>
        <v/>
      </c>
      <c r="AA225" s="60">
        <f t="shared" si="25"/>
        <v>0</v>
      </c>
      <c r="AB225" s="49">
        <f t="shared" si="26"/>
        <v>0</v>
      </c>
      <c r="AC225" s="60">
        <f t="shared" si="27"/>
        <v>0</v>
      </c>
    </row>
    <row r="226" spans="1:29">
      <c r="A226" s="83" t="str">
        <f t="shared" si="21"/>
        <v/>
      </c>
      <c r="B226" s="83" t="str">
        <f t="shared" si="22"/>
        <v/>
      </c>
      <c r="U226" s="83" t="str">
        <f t="shared" si="23"/>
        <v/>
      </c>
      <c r="V226" s="83" t="str">
        <f t="shared" si="24"/>
        <v/>
      </c>
      <c r="AA226" s="60">
        <f t="shared" si="25"/>
        <v>0</v>
      </c>
      <c r="AB226" s="49">
        <f t="shared" si="26"/>
        <v>0</v>
      </c>
      <c r="AC226" s="60">
        <f t="shared" si="27"/>
        <v>0</v>
      </c>
    </row>
    <row r="227" spans="1:29">
      <c r="A227" s="83" t="str">
        <f t="shared" si="21"/>
        <v/>
      </c>
      <c r="B227" s="83" t="str">
        <f t="shared" si="22"/>
        <v/>
      </c>
      <c r="U227" s="83" t="str">
        <f t="shared" si="23"/>
        <v/>
      </c>
      <c r="V227" s="83" t="str">
        <f t="shared" si="24"/>
        <v/>
      </c>
      <c r="AA227" s="60">
        <f t="shared" si="25"/>
        <v>0</v>
      </c>
      <c r="AB227" s="49">
        <f t="shared" si="26"/>
        <v>0</v>
      </c>
      <c r="AC227" s="60">
        <f t="shared" si="27"/>
        <v>0</v>
      </c>
    </row>
    <row r="228" spans="1:29">
      <c r="A228" s="83" t="str">
        <f t="shared" si="21"/>
        <v/>
      </c>
      <c r="B228" s="83" t="str">
        <f t="shared" si="22"/>
        <v/>
      </c>
      <c r="U228" s="83" t="str">
        <f t="shared" si="23"/>
        <v/>
      </c>
      <c r="V228" s="83" t="str">
        <f t="shared" si="24"/>
        <v/>
      </c>
      <c r="AA228" s="60">
        <f t="shared" si="25"/>
        <v>0</v>
      </c>
      <c r="AB228" s="49">
        <f t="shared" si="26"/>
        <v>0</v>
      </c>
      <c r="AC228" s="60">
        <f t="shared" si="27"/>
        <v>0</v>
      </c>
    </row>
    <row r="229" spans="1:29">
      <c r="A229" s="83" t="str">
        <f t="shared" si="21"/>
        <v/>
      </c>
      <c r="B229" s="83" t="str">
        <f t="shared" si="22"/>
        <v/>
      </c>
      <c r="U229" s="83" t="str">
        <f t="shared" si="23"/>
        <v/>
      </c>
      <c r="V229" s="83" t="str">
        <f t="shared" si="24"/>
        <v/>
      </c>
      <c r="AA229" s="60">
        <f t="shared" si="25"/>
        <v>0</v>
      </c>
      <c r="AB229" s="49">
        <f t="shared" si="26"/>
        <v>0</v>
      </c>
      <c r="AC229" s="60">
        <f t="shared" si="27"/>
        <v>0</v>
      </c>
    </row>
    <row r="230" spans="1:29">
      <c r="A230" s="83" t="str">
        <f t="shared" si="21"/>
        <v/>
      </c>
      <c r="B230" s="83" t="str">
        <f t="shared" si="22"/>
        <v/>
      </c>
      <c r="U230" s="83" t="str">
        <f t="shared" si="23"/>
        <v/>
      </c>
      <c r="V230" s="83" t="str">
        <f t="shared" si="24"/>
        <v/>
      </c>
      <c r="AA230" s="60">
        <f t="shared" si="25"/>
        <v>0</v>
      </c>
      <c r="AB230" s="49">
        <f t="shared" si="26"/>
        <v>0</v>
      </c>
      <c r="AC230" s="60">
        <f t="shared" si="27"/>
        <v>0</v>
      </c>
    </row>
    <row r="231" spans="1:29">
      <c r="A231" s="83" t="str">
        <f t="shared" si="21"/>
        <v/>
      </c>
      <c r="B231" s="83" t="str">
        <f t="shared" si="22"/>
        <v/>
      </c>
      <c r="U231" s="83" t="str">
        <f t="shared" si="23"/>
        <v/>
      </c>
      <c r="V231" s="83" t="str">
        <f t="shared" si="24"/>
        <v/>
      </c>
      <c r="AA231" s="60">
        <f t="shared" si="25"/>
        <v>0</v>
      </c>
      <c r="AB231" s="49">
        <f t="shared" si="26"/>
        <v>0</v>
      </c>
      <c r="AC231" s="60">
        <f t="shared" si="27"/>
        <v>0</v>
      </c>
    </row>
    <row r="232" spans="1:29">
      <c r="A232" s="83" t="str">
        <f t="shared" si="21"/>
        <v/>
      </c>
      <c r="B232" s="83" t="str">
        <f t="shared" si="22"/>
        <v/>
      </c>
      <c r="U232" s="83" t="str">
        <f t="shared" si="23"/>
        <v/>
      </c>
      <c r="V232" s="83" t="str">
        <f t="shared" si="24"/>
        <v/>
      </c>
      <c r="AA232" s="60">
        <f t="shared" si="25"/>
        <v>0</v>
      </c>
      <c r="AB232" s="49">
        <f t="shared" si="26"/>
        <v>0</v>
      </c>
      <c r="AC232" s="60">
        <f t="shared" si="27"/>
        <v>0</v>
      </c>
    </row>
    <row r="233" spans="1:29">
      <c r="A233" s="83" t="str">
        <f t="shared" si="21"/>
        <v/>
      </c>
      <c r="B233" s="83" t="str">
        <f t="shared" si="22"/>
        <v/>
      </c>
      <c r="U233" s="83" t="str">
        <f t="shared" si="23"/>
        <v/>
      </c>
      <c r="V233" s="83" t="str">
        <f t="shared" si="24"/>
        <v/>
      </c>
      <c r="AA233" s="60">
        <f t="shared" si="25"/>
        <v>0</v>
      </c>
      <c r="AB233" s="49">
        <f t="shared" si="26"/>
        <v>0</v>
      </c>
      <c r="AC233" s="60">
        <f t="shared" si="27"/>
        <v>0</v>
      </c>
    </row>
    <row r="234" spans="1:29">
      <c r="A234" s="83" t="str">
        <f t="shared" si="21"/>
        <v/>
      </c>
      <c r="B234" s="83" t="str">
        <f t="shared" si="22"/>
        <v/>
      </c>
      <c r="U234" s="83" t="str">
        <f t="shared" si="23"/>
        <v/>
      </c>
      <c r="V234" s="83" t="str">
        <f t="shared" si="24"/>
        <v/>
      </c>
      <c r="AA234" s="60">
        <f t="shared" si="25"/>
        <v>0</v>
      </c>
      <c r="AB234" s="49">
        <f t="shared" si="26"/>
        <v>0</v>
      </c>
      <c r="AC234" s="60">
        <f t="shared" si="27"/>
        <v>0</v>
      </c>
    </row>
    <row r="235" spans="1:29">
      <c r="A235" s="83" t="str">
        <f t="shared" si="21"/>
        <v/>
      </c>
      <c r="B235" s="83" t="str">
        <f t="shared" si="22"/>
        <v/>
      </c>
      <c r="U235" s="83" t="str">
        <f t="shared" si="23"/>
        <v/>
      </c>
      <c r="V235" s="83" t="str">
        <f t="shared" si="24"/>
        <v/>
      </c>
      <c r="AA235" s="60">
        <f t="shared" si="25"/>
        <v>0</v>
      </c>
      <c r="AB235" s="49">
        <f t="shared" si="26"/>
        <v>0</v>
      </c>
      <c r="AC235" s="60">
        <f t="shared" si="27"/>
        <v>0</v>
      </c>
    </row>
    <row r="236" spans="1:29">
      <c r="A236" s="83" t="str">
        <f t="shared" si="21"/>
        <v/>
      </c>
      <c r="B236" s="83" t="str">
        <f t="shared" si="22"/>
        <v/>
      </c>
      <c r="U236" s="83" t="str">
        <f t="shared" si="23"/>
        <v/>
      </c>
      <c r="V236" s="83" t="str">
        <f t="shared" si="24"/>
        <v/>
      </c>
      <c r="AA236" s="60">
        <f t="shared" si="25"/>
        <v>0</v>
      </c>
      <c r="AB236" s="49">
        <f t="shared" si="26"/>
        <v>0</v>
      </c>
      <c r="AC236" s="60">
        <f t="shared" si="27"/>
        <v>0</v>
      </c>
    </row>
    <row r="237" spans="1:29">
      <c r="A237" s="83" t="str">
        <f t="shared" si="21"/>
        <v/>
      </c>
      <c r="B237" s="83" t="str">
        <f t="shared" si="22"/>
        <v/>
      </c>
      <c r="U237" s="83" t="str">
        <f t="shared" si="23"/>
        <v/>
      </c>
      <c r="V237" s="83" t="str">
        <f t="shared" si="24"/>
        <v/>
      </c>
      <c r="AA237" s="60">
        <f t="shared" si="25"/>
        <v>0</v>
      </c>
      <c r="AB237" s="49">
        <f t="shared" si="26"/>
        <v>0</v>
      </c>
      <c r="AC237" s="60">
        <f t="shared" si="27"/>
        <v>0</v>
      </c>
    </row>
    <row r="238" spans="1:29">
      <c r="A238" s="83" t="str">
        <f t="shared" si="21"/>
        <v/>
      </c>
      <c r="B238" s="83" t="str">
        <f t="shared" si="22"/>
        <v/>
      </c>
      <c r="U238" s="83" t="str">
        <f t="shared" si="23"/>
        <v/>
      </c>
      <c r="V238" s="83" t="str">
        <f t="shared" si="24"/>
        <v/>
      </c>
      <c r="AA238" s="60">
        <f t="shared" si="25"/>
        <v>0</v>
      </c>
      <c r="AB238" s="49">
        <f t="shared" si="26"/>
        <v>0</v>
      </c>
      <c r="AC238" s="60">
        <f t="shared" si="27"/>
        <v>0</v>
      </c>
    </row>
    <row r="239" spans="1:29">
      <c r="A239" s="83" t="str">
        <f t="shared" si="21"/>
        <v/>
      </c>
      <c r="B239" s="83" t="str">
        <f t="shared" si="22"/>
        <v/>
      </c>
      <c r="U239" s="83" t="str">
        <f t="shared" si="23"/>
        <v/>
      </c>
      <c r="V239" s="83" t="str">
        <f t="shared" si="24"/>
        <v/>
      </c>
      <c r="AA239" s="60">
        <f t="shared" si="25"/>
        <v>0</v>
      </c>
      <c r="AB239" s="49">
        <f t="shared" si="26"/>
        <v>0</v>
      </c>
      <c r="AC239" s="60">
        <f t="shared" si="27"/>
        <v>0</v>
      </c>
    </row>
    <row r="240" spans="1:29">
      <c r="A240" s="83" t="str">
        <f t="shared" si="21"/>
        <v/>
      </c>
      <c r="B240" s="83" t="str">
        <f t="shared" si="22"/>
        <v/>
      </c>
      <c r="U240" s="83" t="str">
        <f t="shared" si="23"/>
        <v/>
      </c>
      <c r="V240" s="83" t="str">
        <f t="shared" si="24"/>
        <v/>
      </c>
      <c r="AA240" s="60">
        <f t="shared" si="25"/>
        <v>0</v>
      </c>
      <c r="AB240" s="49">
        <f t="shared" si="26"/>
        <v>0</v>
      </c>
      <c r="AC240" s="60">
        <f t="shared" si="27"/>
        <v>0</v>
      </c>
    </row>
    <row r="241" spans="1:29">
      <c r="A241" s="83" t="str">
        <f t="shared" si="21"/>
        <v/>
      </c>
      <c r="B241" s="83" t="str">
        <f t="shared" si="22"/>
        <v/>
      </c>
      <c r="U241" s="83" t="str">
        <f t="shared" si="23"/>
        <v/>
      </c>
      <c r="V241" s="83" t="str">
        <f t="shared" si="24"/>
        <v/>
      </c>
      <c r="AA241" s="60">
        <f t="shared" si="25"/>
        <v>0</v>
      </c>
      <c r="AB241" s="49">
        <f t="shared" si="26"/>
        <v>0</v>
      </c>
      <c r="AC241" s="60">
        <f t="shared" si="27"/>
        <v>0</v>
      </c>
    </row>
    <row r="242" spans="1:29">
      <c r="A242" s="83" t="str">
        <f t="shared" si="21"/>
        <v/>
      </c>
      <c r="B242" s="83" t="str">
        <f t="shared" si="22"/>
        <v/>
      </c>
      <c r="U242" s="83" t="str">
        <f t="shared" si="23"/>
        <v/>
      </c>
      <c r="V242" s="83" t="str">
        <f t="shared" si="24"/>
        <v/>
      </c>
      <c r="AA242" s="60">
        <f t="shared" si="25"/>
        <v>0</v>
      </c>
      <c r="AB242" s="49">
        <f t="shared" si="26"/>
        <v>0</v>
      </c>
      <c r="AC242" s="60">
        <f t="shared" si="27"/>
        <v>0</v>
      </c>
    </row>
    <row r="243" spans="1:29">
      <c r="A243" s="83" t="str">
        <f t="shared" si="21"/>
        <v/>
      </c>
      <c r="B243" s="83" t="str">
        <f t="shared" si="22"/>
        <v/>
      </c>
      <c r="U243" s="83" t="str">
        <f t="shared" si="23"/>
        <v/>
      </c>
      <c r="V243" s="83" t="str">
        <f t="shared" si="24"/>
        <v/>
      </c>
      <c r="AA243" s="60">
        <f t="shared" si="25"/>
        <v>0</v>
      </c>
      <c r="AB243" s="49">
        <f t="shared" si="26"/>
        <v>0</v>
      </c>
      <c r="AC243" s="60">
        <f t="shared" si="27"/>
        <v>0</v>
      </c>
    </row>
    <row r="244" spans="1:29">
      <c r="A244" s="83" t="str">
        <f t="shared" si="21"/>
        <v/>
      </c>
      <c r="B244" s="83" t="str">
        <f t="shared" si="22"/>
        <v/>
      </c>
      <c r="U244" s="83" t="str">
        <f t="shared" si="23"/>
        <v/>
      </c>
      <c r="V244" s="83" t="str">
        <f t="shared" si="24"/>
        <v/>
      </c>
      <c r="AA244" s="60">
        <f t="shared" si="25"/>
        <v>0</v>
      </c>
      <c r="AB244" s="49">
        <f t="shared" si="26"/>
        <v>0</v>
      </c>
      <c r="AC244" s="60">
        <f t="shared" si="27"/>
        <v>0</v>
      </c>
    </row>
    <row r="245" spans="1:29">
      <c r="A245" s="83" t="str">
        <f t="shared" si="21"/>
        <v/>
      </c>
      <c r="B245" s="83" t="str">
        <f t="shared" si="22"/>
        <v/>
      </c>
      <c r="U245" s="83" t="str">
        <f t="shared" si="23"/>
        <v/>
      </c>
      <c r="V245" s="83" t="str">
        <f t="shared" si="24"/>
        <v/>
      </c>
      <c r="AA245" s="60">
        <f t="shared" si="25"/>
        <v>0</v>
      </c>
      <c r="AB245" s="49">
        <f t="shared" si="26"/>
        <v>0</v>
      </c>
      <c r="AC245" s="60">
        <f t="shared" si="27"/>
        <v>0</v>
      </c>
    </row>
    <row r="246" spans="1:29">
      <c r="A246" s="83" t="str">
        <f t="shared" si="21"/>
        <v/>
      </c>
      <c r="B246" s="83" t="str">
        <f t="shared" si="22"/>
        <v/>
      </c>
      <c r="U246" s="83" t="str">
        <f t="shared" si="23"/>
        <v/>
      </c>
      <c r="V246" s="83" t="str">
        <f t="shared" si="24"/>
        <v/>
      </c>
      <c r="AA246" s="60">
        <f t="shared" si="25"/>
        <v>0</v>
      </c>
      <c r="AB246" s="49">
        <f t="shared" si="26"/>
        <v>0</v>
      </c>
      <c r="AC246" s="60">
        <f t="shared" si="27"/>
        <v>0</v>
      </c>
    </row>
    <row r="247" spans="1:29">
      <c r="A247" s="83" t="str">
        <f t="shared" si="21"/>
        <v/>
      </c>
      <c r="B247" s="83" t="str">
        <f t="shared" si="22"/>
        <v/>
      </c>
      <c r="U247" s="83" t="str">
        <f t="shared" si="23"/>
        <v/>
      </c>
      <c r="V247" s="83" t="str">
        <f t="shared" si="24"/>
        <v/>
      </c>
      <c r="AA247" s="60">
        <f t="shared" si="25"/>
        <v>0</v>
      </c>
      <c r="AB247" s="49">
        <f t="shared" si="26"/>
        <v>0</v>
      </c>
      <c r="AC247" s="60">
        <f t="shared" si="27"/>
        <v>0</v>
      </c>
    </row>
    <row r="248" spans="1:29">
      <c r="A248" s="83" t="str">
        <f t="shared" si="21"/>
        <v/>
      </c>
      <c r="B248" s="83" t="str">
        <f t="shared" si="22"/>
        <v/>
      </c>
      <c r="U248" s="83" t="str">
        <f t="shared" si="23"/>
        <v/>
      </c>
      <c r="V248" s="83" t="str">
        <f t="shared" si="24"/>
        <v/>
      </c>
      <c r="AA248" s="60">
        <f t="shared" si="25"/>
        <v>0</v>
      </c>
      <c r="AB248" s="49">
        <f t="shared" si="26"/>
        <v>0</v>
      </c>
      <c r="AC248" s="60">
        <f t="shared" si="27"/>
        <v>0</v>
      </c>
    </row>
    <row r="249" spans="1:29">
      <c r="A249" s="83" t="str">
        <f t="shared" si="21"/>
        <v/>
      </c>
      <c r="B249" s="83" t="str">
        <f t="shared" si="22"/>
        <v/>
      </c>
      <c r="U249" s="83" t="str">
        <f t="shared" si="23"/>
        <v/>
      </c>
      <c r="V249" s="83" t="str">
        <f t="shared" si="24"/>
        <v/>
      </c>
      <c r="AA249" s="60">
        <f t="shared" si="25"/>
        <v>0</v>
      </c>
      <c r="AB249" s="49">
        <f t="shared" si="26"/>
        <v>0</v>
      </c>
      <c r="AC249" s="60">
        <f t="shared" si="27"/>
        <v>0</v>
      </c>
    </row>
    <row r="250" spans="1:29">
      <c r="A250" s="83" t="str">
        <f t="shared" si="21"/>
        <v/>
      </c>
      <c r="B250" s="83" t="str">
        <f t="shared" si="22"/>
        <v/>
      </c>
      <c r="U250" s="83" t="str">
        <f t="shared" si="23"/>
        <v/>
      </c>
      <c r="V250" s="83" t="str">
        <f t="shared" si="24"/>
        <v/>
      </c>
      <c r="AA250" s="60">
        <f t="shared" si="25"/>
        <v>0</v>
      </c>
      <c r="AB250" s="49">
        <f t="shared" si="26"/>
        <v>0</v>
      </c>
      <c r="AC250" s="60">
        <f t="shared" si="27"/>
        <v>0</v>
      </c>
    </row>
    <row r="251" spans="1:29">
      <c r="A251" s="83" t="str">
        <f t="shared" si="21"/>
        <v/>
      </c>
      <c r="B251" s="83" t="str">
        <f t="shared" si="22"/>
        <v/>
      </c>
      <c r="U251" s="83" t="str">
        <f t="shared" si="23"/>
        <v/>
      </c>
      <c r="V251" s="83" t="str">
        <f t="shared" si="24"/>
        <v/>
      </c>
      <c r="AA251" s="60">
        <f t="shared" si="25"/>
        <v>0</v>
      </c>
      <c r="AB251" s="49">
        <f t="shared" si="26"/>
        <v>0</v>
      </c>
      <c r="AC251" s="60">
        <f t="shared" si="27"/>
        <v>0</v>
      </c>
    </row>
    <row r="252" spans="1:29">
      <c r="A252" s="83" t="str">
        <f t="shared" si="21"/>
        <v/>
      </c>
      <c r="B252" s="83" t="str">
        <f t="shared" si="22"/>
        <v/>
      </c>
      <c r="U252" s="83" t="str">
        <f t="shared" si="23"/>
        <v/>
      </c>
      <c r="V252" s="83" t="str">
        <f t="shared" si="24"/>
        <v/>
      </c>
      <c r="AA252" s="60">
        <f t="shared" si="25"/>
        <v>0</v>
      </c>
      <c r="AB252" s="49">
        <f t="shared" si="26"/>
        <v>0</v>
      </c>
      <c r="AC252" s="60">
        <f t="shared" si="27"/>
        <v>0</v>
      </c>
    </row>
    <row r="253" spans="1:29">
      <c r="A253" s="83" t="str">
        <f t="shared" si="21"/>
        <v/>
      </c>
      <c r="B253" s="83" t="str">
        <f t="shared" si="22"/>
        <v/>
      </c>
      <c r="U253" s="83" t="str">
        <f t="shared" si="23"/>
        <v/>
      </c>
      <c r="V253" s="83" t="str">
        <f t="shared" si="24"/>
        <v/>
      </c>
      <c r="AA253" s="60">
        <f t="shared" si="25"/>
        <v>0</v>
      </c>
      <c r="AB253" s="49">
        <f t="shared" si="26"/>
        <v>0</v>
      </c>
      <c r="AC253" s="60">
        <f t="shared" si="27"/>
        <v>0</v>
      </c>
    </row>
    <row r="254" spans="1:29">
      <c r="A254" s="83" t="str">
        <f t="shared" si="21"/>
        <v/>
      </c>
      <c r="B254" s="83" t="str">
        <f t="shared" si="22"/>
        <v/>
      </c>
      <c r="U254" s="83" t="str">
        <f t="shared" si="23"/>
        <v/>
      </c>
      <c r="V254" s="83" t="str">
        <f t="shared" si="24"/>
        <v/>
      </c>
      <c r="AA254" s="60">
        <f t="shared" si="25"/>
        <v>0</v>
      </c>
      <c r="AB254" s="49">
        <f t="shared" si="26"/>
        <v>0</v>
      </c>
      <c r="AC254" s="60">
        <f t="shared" si="27"/>
        <v>0</v>
      </c>
    </row>
    <row r="255" spans="1:29">
      <c r="A255" s="83" t="str">
        <f t="shared" si="21"/>
        <v/>
      </c>
      <c r="B255" s="83" t="str">
        <f t="shared" si="22"/>
        <v/>
      </c>
      <c r="U255" s="83" t="str">
        <f t="shared" si="23"/>
        <v/>
      </c>
      <c r="V255" s="83" t="str">
        <f t="shared" si="24"/>
        <v/>
      </c>
      <c r="AA255" s="60">
        <f t="shared" si="25"/>
        <v>0</v>
      </c>
      <c r="AB255" s="49">
        <f t="shared" si="26"/>
        <v>0</v>
      </c>
      <c r="AC255" s="60">
        <f t="shared" si="27"/>
        <v>0</v>
      </c>
    </row>
    <row r="256" spans="1:29">
      <c r="A256" s="83" t="str">
        <f t="shared" si="21"/>
        <v/>
      </c>
      <c r="B256" s="83" t="str">
        <f t="shared" si="22"/>
        <v/>
      </c>
      <c r="U256" s="83" t="str">
        <f t="shared" si="23"/>
        <v/>
      </c>
      <c r="V256" s="83" t="str">
        <f t="shared" si="24"/>
        <v/>
      </c>
      <c r="AA256" s="60">
        <f t="shared" si="25"/>
        <v>0</v>
      </c>
      <c r="AB256" s="49">
        <f t="shared" si="26"/>
        <v>0</v>
      </c>
      <c r="AC256" s="60">
        <f t="shared" si="27"/>
        <v>0</v>
      </c>
    </row>
    <row r="257" spans="1:29">
      <c r="A257" s="83" t="str">
        <f t="shared" si="21"/>
        <v/>
      </c>
      <c r="B257" s="83" t="str">
        <f t="shared" si="22"/>
        <v/>
      </c>
      <c r="U257" s="83" t="str">
        <f t="shared" si="23"/>
        <v/>
      </c>
      <c r="V257" s="83" t="str">
        <f t="shared" si="24"/>
        <v/>
      </c>
      <c r="AA257" s="60">
        <f t="shared" si="25"/>
        <v>0</v>
      </c>
      <c r="AB257" s="49">
        <f t="shared" si="26"/>
        <v>0</v>
      </c>
      <c r="AC257" s="60">
        <f t="shared" si="27"/>
        <v>0</v>
      </c>
    </row>
    <row r="258" spans="1:29">
      <c r="A258" s="83" t="str">
        <f t="shared" si="21"/>
        <v/>
      </c>
      <c r="B258" s="83" t="str">
        <f t="shared" si="22"/>
        <v/>
      </c>
      <c r="U258" s="83" t="str">
        <f t="shared" si="23"/>
        <v/>
      </c>
      <c r="V258" s="83" t="str">
        <f t="shared" si="24"/>
        <v/>
      </c>
      <c r="AA258" s="60">
        <f t="shared" si="25"/>
        <v>0</v>
      </c>
      <c r="AB258" s="49">
        <f t="shared" si="26"/>
        <v>0</v>
      </c>
      <c r="AC258" s="60">
        <f t="shared" si="27"/>
        <v>0</v>
      </c>
    </row>
    <row r="259" spans="1:29">
      <c r="A259" s="83" t="str">
        <f t="shared" ref="A259:A322" si="28">IF(G259&amp;Q259&lt;&gt;"",U259&amp;Q259,"")</f>
        <v/>
      </c>
      <c r="B259" s="83" t="str">
        <f t="shared" ref="B259:B322" si="29">IF(C259&lt;&gt;"",LEFT(C259,9),"")</f>
        <v/>
      </c>
      <c r="U259" s="83" t="str">
        <f t="shared" ref="U259:U322" si="30">IF(G259&lt;&gt;"",IF(StyleSpaceSplit,IFERROR(IF(FIND(" ",G259)&gt;=1,MID(G259,1,FIND(" ",G259)-1),G259),G259),G259),"")</f>
        <v/>
      </c>
      <c r="V259" s="83" t="str">
        <f t="shared" ref="V259:V322" si="31">IF(A259&lt;&gt;"",IFERROR(IF(FIND(" ",G259)&gt;=1,MID(G259,FIND(" ",G259)+1,LEN(G259)),""),G259),"")</f>
        <v/>
      </c>
      <c r="AA259" s="60">
        <f t="shared" ref="AA259:AA322" si="32">IFERROR(VALUE(MID($C259,1,2)),0)</f>
        <v>0</v>
      </c>
      <c r="AB259" s="49">
        <f t="shared" ref="AB259:AB322" si="33">IFERROR(VALUE(MID($C259,4,3)),0)</f>
        <v>0</v>
      </c>
      <c r="AC259" s="60">
        <f t="shared" ref="AC259:AC322" si="34">VALUE(RIGHT("00"&amp;AA259,2)&amp;RIGHT("000"&amp;AB259,3))</f>
        <v>0</v>
      </c>
    </row>
    <row r="260" spans="1:29">
      <c r="A260" s="83" t="str">
        <f t="shared" si="28"/>
        <v/>
      </c>
      <c r="B260" s="83" t="str">
        <f t="shared" si="29"/>
        <v/>
      </c>
      <c r="U260" s="83" t="str">
        <f t="shared" si="30"/>
        <v/>
      </c>
      <c r="V260" s="83" t="str">
        <f t="shared" si="31"/>
        <v/>
      </c>
      <c r="AA260" s="60">
        <f t="shared" si="32"/>
        <v>0</v>
      </c>
      <c r="AB260" s="49">
        <f t="shared" si="33"/>
        <v>0</v>
      </c>
      <c r="AC260" s="60">
        <f t="shared" si="34"/>
        <v>0</v>
      </c>
    </row>
    <row r="261" spans="1:29">
      <c r="A261" s="83" t="str">
        <f t="shared" si="28"/>
        <v/>
      </c>
      <c r="B261" s="83" t="str">
        <f t="shared" si="29"/>
        <v/>
      </c>
      <c r="U261" s="83" t="str">
        <f t="shared" si="30"/>
        <v/>
      </c>
      <c r="V261" s="83" t="str">
        <f t="shared" si="31"/>
        <v/>
      </c>
      <c r="AA261" s="60">
        <f t="shared" si="32"/>
        <v>0</v>
      </c>
      <c r="AB261" s="49">
        <f t="shared" si="33"/>
        <v>0</v>
      </c>
      <c r="AC261" s="60">
        <f t="shared" si="34"/>
        <v>0</v>
      </c>
    </row>
    <row r="262" spans="1:29">
      <c r="A262" s="83" t="str">
        <f t="shared" si="28"/>
        <v/>
      </c>
      <c r="B262" s="83" t="str">
        <f t="shared" si="29"/>
        <v/>
      </c>
      <c r="U262" s="83" t="str">
        <f t="shared" si="30"/>
        <v/>
      </c>
      <c r="V262" s="83" t="str">
        <f t="shared" si="31"/>
        <v/>
      </c>
      <c r="AA262" s="60">
        <f t="shared" si="32"/>
        <v>0</v>
      </c>
      <c r="AB262" s="49">
        <f t="shared" si="33"/>
        <v>0</v>
      </c>
      <c r="AC262" s="60">
        <f t="shared" si="34"/>
        <v>0</v>
      </c>
    </row>
    <row r="263" spans="1:29">
      <c r="A263" s="83" t="str">
        <f t="shared" si="28"/>
        <v/>
      </c>
      <c r="B263" s="83" t="str">
        <f t="shared" si="29"/>
        <v/>
      </c>
      <c r="U263" s="83" t="str">
        <f t="shared" si="30"/>
        <v/>
      </c>
      <c r="V263" s="83" t="str">
        <f t="shared" si="31"/>
        <v/>
      </c>
      <c r="AA263" s="60">
        <f t="shared" si="32"/>
        <v>0</v>
      </c>
      <c r="AB263" s="49">
        <f t="shared" si="33"/>
        <v>0</v>
      </c>
      <c r="AC263" s="60">
        <f t="shared" si="34"/>
        <v>0</v>
      </c>
    </row>
    <row r="264" spans="1:29">
      <c r="A264" s="83" t="str">
        <f t="shared" si="28"/>
        <v/>
      </c>
      <c r="B264" s="83" t="str">
        <f t="shared" si="29"/>
        <v/>
      </c>
      <c r="U264" s="83" t="str">
        <f t="shared" si="30"/>
        <v/>
      </c>
      <c r="V264" s="83" t="str">
        <f t="shared" si="31"/>
        <v/>
      </c>
      <c r="AA264" s="60">
        <f t="shared" si="32"/>
        <v>0</v>
      </c>
      <c r="AB264" s="49">
        <f t="shared" si="33"/>
        <v>0</v>
      </c>
      <c r="AC264" s="60">
        <f t="shared" si="34"/>
        <v>0</v>
      </c>
    </row>
    <row r="265" spans="1:29">
      <c r="A265" s="83" t="str">
        <f t="shared" si="28"/>
        <v/>
      </c>
      <c r="B265" s="83" t="str">
        <f t="shared" si="29"/>
        <v/>
      </c>
      <c r="U265" s="83" t="str">
        <f t="shared" si="30"/>
        <v/>
      </c>
      <c r="V265" s="83" t="str">
        <f t="shared" si="31"/>
        <v/>
      </c>
      <c r="AA265" s="60">
        <f t="shared" si="32"/>
        <v>0</v>
      </c>
      <c r="AB265" s="49">
        <f t="shared" si="33"/>
        <v>0</v>
      </c>
      <c r="AC265" s="60">
        <f t="shared" si="34"/>
        <v>0</v>
      </c>
    </row>
    <row r="266" spans="1:29">
      <c r="A266" s="83" t="str">
        <f t="shared" si="28"/>
        <v/>
      </c>
      <c r="B266" s="83" t="str">
        <f t="shared" si="29"/>
        <v/>
      </c>
      <c r="U266" s="83" t="str">
        <f t="shared" si="30"/>
        <v/>
      </c>
      <c r="V266" s="83" t="str">
        <f t="shared" si="31"/>
        <v/>
      </c>
      <c r="AA266" s="60">
        <f t="shared" si="32"/>
        <v>0</v>
      </c>
      <c r="AB266" s="49">
        <f t="shared" si="33"/>
        <v>0</v>
      </c>
      <c r="AC266" s="60">
        <f t="shared" si="34"/>
        <v>0</v>
      </c>
    </row>
    <row r="267" spans="1:29">
      <c r="A267" s="83" t="str">
        <f t="shared" si="28"/>
        <v/>
      </c>
      <c r="B267" s="83" t="str">
        <f t="shared" si="29"/>
        <v/>
      </c>
      <c r="U267" s="83" t="str">
        <f t="shared" si="30"/>
        <v/>
      </c>
      <c r="V267" s="83" t="str">
        <f t="shared" si="31"/>
        <v/>
      </c>
      <c r="AA267" s="60">
        <f t="shared" si="32"/>
        <v>0</v>
      </c>
      <c r="AB267" s="49">
        <f t="shared" si="33"/>
        <v>0</v>
      </c>
      <c r="AC267" s="60">
        <f t="shared" si="34"/>
        <v>0</v>
      </c>
    </row>
    <row r="268" spans="1:29">
      <c r="A268" s="83" t="str">
        <f t="shared" si="28"/>
        <v/>
      </c>
      <c r="B268" s="83" t="str">
        <f t="shared" si="29"/>
        <v/>
      </c>
      <c r="U268" s="83" t="str">
        <f t="shared" si="30"/>
        <v/>
      </c>
      <c r="V268" s="83" t="str">
        <f t="shared" si="31"/>
        <v/>
      </c>
      <c r="AA268" s="60">
        <f t="shared" si="32"/>
        <v>0</v>
      </c>
      <c r="AB268" s="49">
        <f t="shared" si="33"/>
        <v>0</v>
      </c>
      <c r="AC268" s="60">
        <f t="shared" si="34"/>
        <v>0</v>
      </c>
    </row>
    <row r="269" spans="1:29">
      <c r="A269" s="83" t="str">
        <f t="shared" si="28"/>
        <v/>
      </c>
      <c r="B269" s="83" t="str">
        <f t="shared" si="29"/>
        <v/>
      </c>
      <c r="U269" s="83" t="str">
        <f t="shared" si="30"/>
        <v/>
      </c>
      <c r="V269" s="83" t="str">
        <f t="shared" si="31"/>
        <v/>
      </c>
      <c r="AA269" s="60">
        <f t="shared" si="32"/>
        <v>0</v>
      </c>
      <c r="AB269" s="49">
        <f t="shared" si="33"/>
        <v>0</v>
      </c>
      <c r="AC269" s="60">
        <f t="shared" si="34"/>
        <v>0</v>
      </c>
    </row>
    <row r="270" spans="1:29">
      <c r="A270" s="83" t="str">
        <f t="shared" si="28"/>
        <v/>
      </c>
      <c r="B270" s="83" t="str">
        <f t="shared" si="29"/>
        <v/>
      </c>
      <c r="U270" s="83" t="str">
        <f t="shared" si="30"/>
        <v/>
      </c>
      <c r="V270" s="83" t="str">
        <f t="shared" si="31"/>
        <v/>
      </c>
      <c r="AA270" s="60">
        <f t="shared" si="32"/>
        <v>0</v>
      </c>
      <c r="AB270" s="49">
        <f t="shared" si="33"/>
        <v>0</v>
      </c>
      <c r="AC270" s="60">
        <f t="shared" si="34"/>
        <v>0</v>
      </c>
    </row>
    <row r="271" spans="1:29">
      <c r="A271" s="83" t="str">
        <f t="shared" si="28"/>
        <v/>
      </c>
      <c r="B271" s="83" t="str">
        <f t="shared" si="29"/>
        <v/>
      </c>
      <c r="U271" s="83" t="str">
        <f t="shared" si="30"/>
        <v/>
      </c>
      <c r="V271" s="83" t="str">
        <f t="shared" si="31"/>
        <v/>
      </c>
      <c r="AA271" s="60">
        <f t="shared" si="32"/>
        <v>0</v>
      </c>
      <c r="AB271" s="49">
        <f t="shared" si="33"/>
        <v>0</v>
      </c>
      <c r="AC271" s="60">
        <f t="shared" si="34"/>
        <v>0</v>
      </c>
    </row>
    <row r="272" spans="1:29">
      <c r="A272" s="83" t="str">
        <f t="shared" si="28"/>
        <v/>
      </c>
      <c r="B272" s="83" t="str">
        <f t="shared" si="29"/>
        <v/>
      </c>
      <c r="U272" s="83" t="str">
        <f t="shared" si="30"/>
        <v/>
      </c>
      <c r="V272" s="83" t="str">
        <f t="shared" si="31"/>
        <v/>
      </c>
      <c r="AA272" s="60">
        <f t="shared" si="32"/>
        <v>0</v>
      </c>
      <c r="AB272" s="49">
        <f t="shared" si="33"/>
        <v>0</v>
      </c>
      <c r="AC272" s="60">
        <f t="shared" si="34"/>
        <v>0</v>
      </c>
    </row>
    <row r="273" spans="1:29">
      <c r="A273" s="83" t="str">
        <f t="shared" si="28"/>
        <v/>
      </c>
      <c r="B273" s="83" t="str">
        <f t="shared" si="29"/>
        <v/>
      </c>
      <c r="U273" s="83" t="str">
        <f t="shared" si="30"/>
        <v/>
      </c>
      <c r="V273" s="83" t="str">
        <f t="shared" si="31"/>
        <v/>
      </c>
      <c r="AA273" s="60">
        <f t="shared" si="32"/>
        <v>0</v>
      </c>
      <c r="AB273" s="49">
        <f t="shared" si="33"/>
        <v>0</v>
      </c>
      <c r="AC273" s="60">
        <f t="shared" si="34"/>
        <v>0</v>
      </c>
    </row>
    <row r="274" spans="1:29">
      <c r="A274" s="83" t="str">
        <f t="shared" si="28"/>
        <v/>
      </c>
      <c r="B274" s="83" t="str">
        <f t="shared" si="29"/>
        <v/>
      </c>
      <c r="U274" s="83" t="str">
        <f t="shared" si="30"/>
        <v/>
      </c>
      <c r="V274" s="83" t="str">
        <f t="shared" si="31"/>
        <v/>
      </c>
      <c r="AA274" s="60">
        <f t="shared" si="32"/>
        <v>0</v>
      </c>
      <c r="AB274" s="49">
        <f t="shared" si="33"/>
        <v>0</v>
      </c>
      <c r="AC274" s="60">
        <f t="shared" si="34"/>
        <v>0</v>
      </c>
    </row>
    <row r="275" spans="1:29">
      <c r="A275" s="83" t="str">
        <f t="shared" si="28"/>
        <v/>
      </c>
      <c r="B275" s="83" t="str">
        <f t="shared" si="29"/>
        <v/>
      </c>
      <c r="U275" s="83" t="str">
        <f t="shared" si="30"/>
        <v/>
      </c>
      <c r="V275" s="83" t="str">
        <f t="shared" si="31"/>
        <v/>
      </c>
      <c r="AA275" s="60">
        <f t="shared" si="32"/>
        <v>0</v>
      </c>
      <c r="AB275" s="49">
        <f t="shared" si="33"/>
        <v>0</v>
      </c>
      <c r="AC275" s="60">
        <f t="shared" si="34"/>
        <v>0</v>
      </c>
    </row>
    <row r="276" spans="1:29">
      <c r="A276" s="83" t="str">
        <f t="shared" si="28"/>
        <v/>
      </c>
      <c r="B276" s="83" t="str">
        <f t="shared" si="29"/>
        <v/>
      </c>
      <c r="U276" s="83" t="str">
        <f t="shared" si="30"/>
        <v/>
      </c>
      <c r="V276" s="83" t="str">
        <f t="shared" si="31"/>
        <v/>
      </c>
      <c r="AA276" s="60">
        <f t="shared" si="32"/>
        <v>0</v>
      </c>
      <c r="AB276" s="49">
        <f t="shared" si="33"/>
        <v>0</v>
      </c>
      <c r="AC276" s="60">
        <f t="shared" si="34"/>
        <v>0</v>
      </c>
    </row>
    <row r="277" spans="1:29">
      <c r="A277" s="83" t="str">
        <f t="shared" si="28"/>
        <v/>
      </c>
      <c r="B277" s="83" t="str">
        <f t="shared" si="29"/>
        <v/>
      </c>
      <c r="U277" s="83" t="str">
        <f t="shared" si="30"/>
        <v/>
      </c>
      <c r="V277" s="83" t="str">
        <f t="shared" si="31"/>
        <v/>
      </c>
      <c r="AA277" s="60">
        <f t="shared" si="32"/>
        <v>0</v>
      </c>
      <c r="AB277" s="49">
        <f t="shared" si="33"/>
        <v>0</v>
      </c>
      <c r="AC277" s="60">
        <f t="shared" si="34"/>
        <v>0</v>
      </c>
    </row>
    <row r="278" spans="1:29">
      <c r="A278" s="83" t="str">
        <f t="shared" si="28"/>
        <v/>
      </c>
      <c r="B278" s="83" t="str">
        <f t="shared" si="29"/>
        <v/>
      </c>
      <c r="U278" s="83" t="str">
        <f t="shared" si="30"/>
        <v/>
      </c>
      <c r="V278" s="83" t="str">
        <f t="shared" si="31"/>
        <v/>
      </c>
      <c r="AA278" s="60">
        <f t="shared" si="32"/>
        <v>0</v>
      </c>
      <c r="AB278" s="49">
        <f t="shared" si="33"/>
        <v>0</v>
      </c>
      <c r="AC278" s="60">
        <f t="shared" si="34"/>
        <v>0</v>
      </c>
    </row>
    <row r="279" spans="1:29">
      <c r="A279" s="83" t="str">
        <f t="shared" si="28"/>
        <v/>
      </c>
      <c r="B279" s="83" t="str">
        <f t="shared" si="29"/>
        <v/>
      </c>
      <c r="U279" s="83" t="str">
        <f t="shared" si="30"/>
        <v/>
      </c>
      <c r="V279" s="83" t="str">
        <f t="shared" si="31"/>
        <v/>
      </c>
      <c r="AA279" s="60">
        <f t="shared" si="32"/>
        <v>0</v>
      </c>
      <c r="AB279" s="49">
        <f t="shared" si="33"/>
        <v>0</v>
      </c>
      <c r="AC279" s="60">
        <f t="shared" si="34"/>
        <v>0</v>
      </c>
    </row>
    <row r="280" spans="1:29">
      <c r="A280" s="83" t="str">
        <f t="shared" si="28"/>
        <v/>
      </c>
      <c r="B280" s="83" t="str">
        <f t="shared" si="29"/>
        <v/>
      </c>
      <c r="U280" s="83" t="str">
        <f t="shared" si="30"/>
        <v/>
      </c>
      <c r="V280" s="83" t="str">
        <f t="shared" si="31"/>
        <v/>
      </c>
      <c r="AA280" s="60">
        <f t="shared" si="32"/>
        <v>0</v>
      </c>
      <c r="AB280" s="49">
        <f t="shared" si="33"/>
        <v>0</v>
      </c>
      <c r="AC280" s="60">
        <f t="shared" si="34"/>
        <v>0</v>
      </c>
    </row>
    <row r="281" spans="1:29">
      <c r="A281" s="83" t="str">
        <f t="shared" si="28"/>
        <v/>
      </c>
      <c r="B281" s="83" t="str">
        <f t="shared" si="29"/>
        <v/>
      </c>
      <c r="U281" s="83" t="str">
        <f t="shared" si="30"/>
        <v/>
      </c>
      <c r="V281" s="83" t="str">
        <f t="shared" si="31"/>
        <v/>
      </c>
      <c r="AA281" s="60">
        <f t="shared" si="32"/>
        <v>0</v>
      </c>
      <c r="AB281" s="49">
        <f t="shared" si="33"/>
        <v>0</v>
      </c>
      <c r="AC281" s="60">
        <f t="shared" si="34"/>
        <v>0</v>
      </c>
    </row>
    <row r="282" spans="1:29">
      <c r="A282" s="83" t="str">
        <f t="shared" si="28"/>
        <v/>
      </c>
      <c r="B282" s="83" t="str">
        <f t="shared" si="29"/>
        <v/>
      </c>
      <c r="U282" s="83" t="str">
        <f t="shared" si="30"/>
        <v/>
      </c>
      <c r="V282" s="83" t="str">
        <f t="shared" si="31"/>
        <v/>
      </c>
      <c r="AA282" s="60">
        <f t="shared" si="32"/>
        <v>0</v>
      </c>
      <c r="AB282" s="49">
        <f t="shared" si="33"/>
        <v>0</v>
      </c>
      <c r="AC282" s="60">
        <f t="shared" si="34"/>
        <v>0</v>
      </c>
    </row>
    <row r="283" spans="1:29">
      <c r="A283" s="83" t="str">
        <f t="shared" si="28"/>
        <v/>
      </c>
      <c r="B283" s="83" t="str">
        <f t="shared" si="29"/>
        <v/>
      </c>
      <c r="U283" s="83" t="str">
        <f t="shared" si="30"/>
        <v/>
      </c>
      <c r="V283" s="83" t="str">
        <f t="shared" si="31"/>
        <v/>
      </c>
      <c r="AA283" s="60">
        <f t="shared" si="32"/>
        <v>0</v>
      </c>
      <c r="AB283" s="49">
        <f t="shared" si="33"/>
        <v>0</v>
      </c>
      <c r="AC283" s="60">
        <f t="shared" si="34"/>
        <v>0</v>
      </c>
    </row>
    <row r="284" spans="1:29">
      <c r="A284" s="83" t="str">
        <f t="shared" si="28"/>
        <v/>
      </c>
      <c r="B284" s="83" t="str">
        <f t="shared" si="29"/>
        <v/>
      </c>
      <c r="U284" s="83" t="str">
        <f t="shared" si="30"/>
        <v/>
      </c>
      <c r="V284" s="83" t="str">
        <f t="shared" si="31"/>
        <v/>
      </c>
      <c r="AA284" s="60">
        <f t="shared" si="32"/>
        <v>0</v>
      </c>
      <c r="AB284" s="49">
        <f t="shared" si="33"/>
        <v>0</v>
      </c>
      <c r="AC284" s="60">
        <f t="shared" si="34"/>
        <v>0</v>
      </c>
    </row>
    <row r="285" spans="1:29">
      <c r="A285" s="83" t="str">
        <f t="shared" si="28"/>
        <v/>
      </c>
      <c r="B285" s="83" t="str">
        <f t="shared" si="29"/>
        <v/>
      </c>
      <c r="U285" s="83" t="str">
        <f t="shared" si="30"/>
        <v/>
      </c>
      <c r="V285" s="83" t="str">
        <f t="shared" si="31"/>
        <v/>
      </c>
      <c r="AA285" s="60">
        <f t="shared" si="32"/>
        <v>0</v>
      </c>
      <c r="AB285" s="49">
        <f t="shared" si="33"/>
        <v>0</v>
      </c>
      <c r="AC285" s="60">
        <f t="shared" si="34"/>
        <v>0</v>
      </c>
    </row>
    <row r="286" spans="1:29">
      <c r="A286" s="83" t="str">
        <f t="shared" si="28"/>
        <v/>
      </c>
      <c r="B286" s="83" t="str">
        <f t="shared" si="29"/>
        <v/>
      </c>
      <c r="U286" s="83" t="str">
        <f t="shared" si="30"/>
        <v/>
      </c>
      <c r="V286" s="83" t="str">
        <f t="shared" si="31"/>
        <v/>
      </c>
      <c r="AA286" s="60">
        <f t="shared" si="32"/>
        <v>0</v>
      </c>
      <c r="AB286" s="49">
        <f t="shared" si="33"/>
        <v>0</v>
      </c>
      <c r="AC286" s="60">
        <f t="shared" si="34"/>
        <v>0</v>
      </c>
    </row>
    <row r="287" spans="1:29">
      <c r="A287" s="83" t="str">
        <f t="shared" si="28"/>
        <v/>
      </c>
      <c r="B287" s="83" t="str">
        <f t="shared" si="29"/>
        <v/>
      </c>
      <c r="U287" s="83" t="str">
        <f t="shared" si="30"/>
        <v/>
      </c>
      <c r="V287" s="83" t="str">
        <f t="shared" si="31"/>
        <v/>
      </c>
      <c r="AA287" s="60">
        <f t="shared" si="32"/>
        <v>0</v>
      </c>
      <c r="AB287" s="49">
        <f t="shared" si="33"/>
        <v>0</v>
      </c>
      <c r="AC287" s="60">
        <f t="shared" si="34"/>
        <v>0</v>
      </c>
    </row>
    <row r="288" spans="1:29">
      <c r="A288" s="83" t="str">
        <f t="shared" si="28"/>
        <v/>
      </c>
      <c r="B288" s="83" t="str">
        <f t="shared" si="29"/>
        <v/>
      </c>
      <c r="U288" s="83" t="str">
        <f t="shared" si="30"/>
        <v/>
      </c>
      <c r="V288" s="83" t="str">
        <f t="shared" si="31"/>
        <v/>
      </c>
      <c r="AA288" s="60">
        <f t="shared" si="32"/>
        <v>0</v>
      </c>
      <c r="AB288" s="49">
        <f t="shared" si="33"/>
        <v>0</v>
      </c>
      <c r="AC288" s="60">
        <f t="shared" si="34"/>
        <v>0</v>
      </c>
    </row>
    <row r="289" spans="1:29">
      <c r="A289" s="83" t="str">
        <f t="shared" si="28"/>
        <v/>
      </c>
      <c r="B289" s="83" t="str">
        <f t="shared" si="29"/>
        <v/>
      </c>
      <c r="U289" s="83" t="str">
        <f t="shared" si="30"/>
        <v/>
      </c>
      <c r="V289" s="83" t="str">
        <f t="shared" si="31"/>
        <v/>
      </c>
      <c r="AA289" s="60">
        <f t="shared" si="32"/>
        <v>0</v>
      </c>
      <c r="AB289" s="49">
        <f t="shared" si="33"/>
        <v>0</v>
      </c>
      <c r="AC289" s="60">
        <f t="shared" si="34"/>
        <v>0</v>
      </c>
    </row>
    <row r="290" spans="1:29">
      <c r="A290" s="83" t="str">
        <f t="shared" si="28"/>
        <v/>
      </c>
      <c r="B290" s="83" t="str">
        <f t="shared" si="29"/>
        <v/>
      </c>
      <c r="U290" s="83" t="str">
        <f t="shared" si="30"/>
        <v/>
      </c>
      <c r="V290" s="83" t="str">
        <f t="shared" si="31"/>
        <v/>
      </c>
      <c r="AA290" s="60">
        <f t="shared" si="32"/>
        <v>0</v>
      </c>
      <c r="AB290" s="49">
        <f t="shared" si="33"/>
        <v>0</v>
      </c>
      <c r="AC290" s="60">
        <f t="shared" si="34"/>
        <v>0</v>
      </c>
    </row>
    <row r="291" spans="1:29">
      <c r="A291" s="83" t="str">
        <f t="shared" si="28"/>
        <v/>
      </c>
      <c r="B291" s="83" t="str">
        <f t="shared" si="29"/>
        <v/>
      </c>
      <c r="U291" s="83" t="str">
        <f t="shared" si="30"/>
        <v/>
      </c>
      <c r="V291" s="83" t="str">
        <f t="shared" si="31"/>
        <v/>
      </c>
      <c r="AA291" s="60">
        <f t="shared" si="32"/>
        <v>0</v>
      </c>
      <c r="AB291" s="49">
        <f t="shared" si="33"/>
        <v>0</v>
      </c>
      <c r="AC291" s="60">
        <f t="shared" si="34"/>
        <v>0</v>
      </c>
    </row>
    <row r="292" spans="1:29">
      <c r="A292" s="83" t="str">
        <f t="shared" si="28"/>
        <v/>
      </c>
      <c r="B292" s="83" t="str">
        <f t="shared" si="29"/>
        <v/>
      </c>
      <c r="U292" s="83" t="str">
        <f t="shared" si="30"/>
        <v/>
      </c>
      <c r="V292" s="83" t="str">
        <f t="shared" si="31"/>
        <v/>
      </c>
      <c r="AA292" s="60">
        <f t="shared" si="32"/>
        <v>0</v>
      </c>
      <c r="AB292" s="49">
        <f t="shared" si="33"/>
        <v>0</v>
      </c>
      <c r="AC292" s="60">
        <f t="shared" si="34"/>
        <v>0</v>
      </c>
    </row>
    <row r="293" spans="1:29">
      <c r="A293" s="83" t="str">
        <f t="shared" si="28"/>
        <v/>
      </c>
      <c r="B293" s="83" t="str">
        <f t="shared" si="29"/>
        <v/>
      </c>
      <c r="U293" s="83" t="str">
        <f t="shared" si="30"/>
        <v/>
      </c>
      <c r="V293" s="83" t="str">
        <f t="shared" si="31"/>
        <v/>
      </c>
      <c r="AA293" s="60">
        <f t="shared" si="32"/>
        <v>0</v>
      </c>
      <c r="AB293" s="49">
        <f t="shared" si="33"/>
        <v>0</v>
      </c>
      <c r="AC293" s="60">
        <f t="shared" si="34"/>
        <v>0</v>
      </c>
    </row>
    <row r="294" spans="1:29">
      <c r="A294" s="83" t="str">
        <f t="shared" si="28"/>
        <v/>
      </c>
      <c r="B294" s="83" t="str">
        <f t="shared" si="29"/>
        <v/>
      </c>
      <c r="U294" s="83" t="str">
        <f t="shared" si="30"/>
        <v/>
      </c>
      <c r="V294" s="83" t="str">
        <f t="shared" si="31"/>
        <v/>
      </c>
      <c r="AA294" s="60">
        <f t="shared" si="32"/>
        <v>0</v>
      </c>
      <c r="AB294" s="49">
        <f t="shared" si="33"/>
        <v>0</v>
      </c>
      <c r="AC294" s="60">
        <f t="shared" si="34"/>
        <v>0</v>
      </c>
    </row>
    <row r="295" spans="1:29">
      <c r="A295" s="83" t="str">
        <f t="shared" si="28"/>
        <v/>
      </c>
      <c r="B295" s="83" t="str">
        <f t="shared" si="29"/>
        <v/>
      </c>
      <c r="U295" s="83" t="str">
        <f t="shared" si="30"/>
        <v/>
      </c>
      <c r="V295" s="83" t="str">
        <f t="shared" si="31"/>
        <v/>
      </c>
      <c r="AA295" s="60">
        <f t="shared" si="32"/>
        <v>0</v>
      </c>
      <c r="AB295" s="49">
        <f t="shared" si="33"/>
        <v>0</v>
      </c>
      <c r="AC295" s="60">
        <f t="shared" si="34"/>
        <v>0</v>
      </c>
    </row>
    <row r="296" spans="1:29">
      <c r="A296" s="83" t="str">
        <f t="shared" si="28"/>
        <v/>
      </c>
      <c r="B296" s="83" t="str">
        <f t="shared" si="29"/>
        <v/>
      </c>
      <c r="U296" s="83" t="str">
        <f t="shared" si="30"/>
        <v/>
      </c>
      <c r="V296" s="83" t="str">
        <f t="shared" si="31"/>
        <v/>
      </c>
      <c r="AA296" s="60">
        <f t="shared" si="32"/>
        <v>0</v>
      </c>
      <c r="AB296" s="49">
        <f t="shared" si="33"/>
        <v>0</v>
      </c>
      <c r="AC296" s="60">
        <f t="shared" si="34"/>
        <v>0</v>
      </c>
    </row>
    <row r="297" spans="1:29">
      <c r="A297" s="83" t="str">
        <f t="shared" si="28"/>
        <v/>
      </c>
      <c r="B297" s="83" t="str">
        <f t="shared" si="29"/>
        <v/>
      </c>
      <c r="U297" s="83" t="str">
        <f t="shared" si="30"/>
        <v/>
      </c>
      <c r="V297" s="83" t="str">
        <f t="shared" si="31"/>
        <v/>
      </c>
      <c r="AA297" s="60">
        <f t="shared" si="32"/>
        <v>0</v>
      </c>
      <c r="AB297" s="49">
        <f t="shared" si="33"/>
        <v>0</v>
      </c>
      <c r="AC297" s="60">
        <f t="shared" si="34"/>
        <v>0</v>
      </c>
    </row>
    <row r="298" spans="1:29">
      <c r="A298" s="83" t="str">
        <f t="shared" si="28"/>
        <v/>
      </c>
      <c r="B298" s="83" t="str">
        <f t="shared" si="29"/>
        <v/>
      </c>
      <c r="U298" s="83" t="str">
        <f t="shared" si="30"/>
        <v/>
      </c>
      <c r="V298" s="83" t="str">
        <f t="shared" si="31"/>
        <v/>
      </c>
      <c r="AA298" s="60">
        <f t="shared" si="32"/>
        <v>0</v>
      </c>
      <c r="AB298" s="49">
        <f t="shared" si="33"/>
        <v>0</v>
      </c>
      <c r="AC298" s="60">
        <f t="shared" si="34"/>
        <v>0</v>
      </c>
    </row>
    <row r="299" spans="1:29">
      <c r="A299" s="83" t="str">
        <f t="shared" si="28"/>
        <v/>
      </c>
      <c r="B299" s="83" t="str">
        <f t="shared" si="29"/>
        <v/>
      </c>
      <c r="U299" s="83" t="str">
        <f t="shared" si="30"/>
        <v/>
      </c>
      <c r="V299" s="83" t="str">
        <f t="shared" si="31"/>
        <v/>
      </c>
      <c r="AA299" s="60">
        <f t="shared" si="32"/>
        <v>0</v>
      </c>
      <c r="AB299" s="49">
        <f t="shared" si="33"/>
        <v>0</v>
      </c>
      <c r="AC299" s="60">
        <f t="shared" si="34"/>
        <v>0</v>
      </c>
    </row>
    <row r="300" spans="1:29">
      <c r="A300" s="83" t="str">
        <f t="shared" si="28"/>
        <v/>
      </c>
      <c r="B300" s="83" t="str">
        <f t="shared" si="29"/>
        <v/>
      </c>
      <c r="U300" s="83" t="str">
        <f t="shared" si="30"/>
        <v/>
      </c>
      <c r="V300" s="83" t="str">
        <f t="shared" si="31"/>
        <v/>
      </c>
      <c r="AA300" s="60">
        <f t="shared" si="32"/>
        <v>0</v>
      </c>
      <c r="AB300" s="49">
        <f t="shared" si="33"/>
        <v>0</v>
      </c>
      <c r="AC300" s="60">
        <f t="shared" si="34"/>
        <v>0</v>
      </c>
    </row>
    <row r="301" spans="1:29">
      <c r="A301" s="83" t="str">
        <f t="shared" si="28"/>
        <v/>
      </c>
      <c r="B301" s="83" t="str">
        <f t="shared" si="29"/>
        <v/>
      </c>
      <c r="U301" s="83" t="str">
        <f t="shared" si="30"/>
        <v/>
      </c>
      <c r="V301" s="83" t="str">
        <f t="shared" si="31"/>
        <v/>
      </c>
      <c r="AA301" s="60">
        <f t="shared" si="32"/>
        <v>0</v>
      </c>
      <c r="AB301" s="49">
        <f t="shared" si="33"/>
        <v>0</v>
      </c>
      <c r="AC301" s="60">
        <f t="shared" si="34"/>
        <v>0</v>
      </c>
    </row>
    <row r="302" spans="1:29">
      <c r="A302" s="83" t="str">
        <f t="shared" si="28"/>
        <v/>
      </c>
      <c r="B302" s="83" t="str">
        <f t="shared" si="29"/>
        <v/>
      </c>
      <c r="U302" s="83" t="str">
        <f t="shared" si="30"/>
        <v/>
      </c>
      <c r="V302" s="83" t="str">
        <f t="shared" si="31"/>
        <v/>
      </c>
      <c r="AA302" s="60">
        <f t="shared" si="32"/>
        <v>0</v>
      </c>
      <c r="AB302" s="49">
        <f t="shared" si="33"/>
        <v>0</v>
      </c>
      <c r="AC302" s="60">
        <f t="shared" si="34"/>
        <v>0</v>
      </c>
    </row>
    <row r="303" spans="1:29">
      <c r="A303" s="83" t="str">
        <f t="shared" si="28"/>
        <v/>
      </c>
      <c r="B303" s="83" t="str">
        <f t="shared" si="29"/>
        <v/>
      </c>
      <c r="U303" s="83" t="str">
        <f t="shared" si="30"/>
        <v/>
      </c>
      <c r="V303" s="83" t="str">
        <f t="shared" si="31"/>
        <v/>
      </c>
      <c r="AA303" s="60">
        <f t="shared" si="32"/>
        <v>0</v>
      </c>
      <c r="AB303" s="49">
        <f t="shared" si="33"/>
        <v>0</v>
      </c>
      <c r="AC303" s="60">
        <f t="shared" si="34"/>
        <v>0</v>
      </c>
    </row>
    <row r="304" spans="1:29">
      <c r="A304" s="83" t="str">
        <f t="shared" si="28"/>
        <v/>
      </c>
      <c r="B304" s="83" t="str">
        <f t="shared" si="29"/>
        <v/>
      </c>
      <c r="U304" s="83" t="str">
        <f t="shared" si="30"/>
        <v/>
      </c>
      <c r="V304" s="83" t="str">
        <f t="shared" si="31"/>
        <v/>
      </c>
      <c r="AA304" s="60">
        <f t="shared" si="32"/>
        <v>0</v>
      </c>
      <c r="AB304" s="49">
        <f t="shared" si="33"/>
        <v>0</v>
      </c>
      <c r="AC304" s="60">
        <f t="shared" si="34"/>
        <v>0</v>
      </c>
    </row>
    <row r="305" spans="1:29">
      <c r="A305" s="83" t="str">
        <f t="shared" si="28"/>
        <v/>
      </c>
      <c r="B305" s="83" t="str">
        <f t="shared" si="29"/>
        <v/>
      </c>
      <c r="U305" s="83" t="str">
        <f t="shared" si="30"/>
        <v/>
      </c>
      <c r="V305" s="83" t="str">
        <f t="shared" si="31"/>
        <v/>
      </c>
      <c r="AA305" s="60">
        <f t="shared" si="32"/>
        <v>0</v>
      </c>
      <c r="AB305" s="49">
        <f t="shared" si="33"/>
        <v>0</v>
      </c>
      <c r="AC305" s="60">
        <f t="shared" si="34"/>
        <v>0</v>
      </c>
    </row>
    <row r="306" spans="1:29">
      <c r="A306" s="83" t="str">
        <f t="shared" si="28"/>
        <v/>
      </c>
      <c r="B306" s="83" t="str">
        <f t="shared" si="29"/>
        <v/>
      </c>
      <c r="U306" s="83" t="str">
        <f t="shared" si="30"/>
        <v/>
      </c>
      <c r="V306" s="83" t="str">
        <f t="shared" si="31"/>
        <v/>
      </c>
      <c r="AA306" s="60">
        <f t="shared" si="32"/>
        <v>0</v>
      </c>
      <c r="AB306" s="49">
        <f t="shared" si="33"/>
        <v>0</v>
      </c>
      <c r="AC306" s="60">
        <f t="shared" si="34"/>
        <v>0</v>
      </c>
    </row>
    <row r="307" spans="1:29">
      <c r="A307" s="83" t="str">
        <f t="shared" si="28"/>
        <v/>
      </c>
      <c r="B307" s="83" t="str">
        <f t="shared" si="29"/>
        <v/>
      </c>
      <c r="U307" s="83" t="str">
        <f t="shared" si="30"/>
        <v/>
      </c>
      <c r="V307" s="83" t="str">
        <f t="shared" si="31"/>
        <v/>
      </c>
      <c r="AA307" s="60">
        <f t="shared" si="32"/>
        <v>0</v>
      </c>
      <c r="AB307" s="49">
        <f t="shared" si="33"/>
        <v>0</v>
      </c>
      <c r="AC307" s="60">
        <f t="shared" si="34"/>
        <v>0</v>
      </c>
    </row>
    <row r="308" spans="1:29">
      <c r="A308" s="83" t="str">
        <f t="shared" si="28"/>
        <v/>
      </c>
      <c r="B308" s="83" t="str">
        <f t="shared" si="29"/>
        <v/>
      </c>
      <c r="U308" s="83" t="str">
        <f t="shared" si="30"/>
        <v/>
      </c>
      <c r="V308" s="83" t="str">
        <f t="shared" si="31"/>
        <v/>
      </c>
      <c r="AA308" s="60">
        <f t="shared" si="32"/>
        <v>0</v>
      </c>
      <c r="AB308" s="49">
        <f t="shared" si="33"/>
        <v>0</v>
      </c>
      <c r="AC308" s="60">
        <f t="shared" si="34"/>
        <v>0</v>
      </c>
    </row>
    <row r="309" spans="1:29">
      <c r="A309" s="83" t="str">
        <f t="shared" si="28"/>
        <v/>
      </c>
      <c r="B309" s="83" t="str">
        <f t="shared" si="29"/>
        <v/>
      </c>
      <c r="U309" s="83" t="str">
        <f t="shared" si="30"/>
        <v/>
      </c>
      <c r="V309" s="83" t="str">
        <f t="shared" si="31"/>
        <v/>
      </c>
      <c r="AA309" s="60">
        <f t="shared" si="32"/>
        <v>0</v>
      </c>
      <c r="AB309" s="49">
        <f t="shared" si="33"/>
        <v>0</v>
      </c>
      <c r="AC309" s="60">
        <f t="shared" si="34"/>
        <v>0</v>
      </c>
    </row>
    <row r="310" spans="1:29">
      <c r="A310" s="83" t="str">
        <f t="shared" si="28"/>
        <v/>
      </c>
      <c r="B310" s="83" t="str">
        <f t="shared" si="29"/>
        <v/>
      </c>
      <c r="U310" s="83" t="str">
        <f t="shared" si="30"/>
        <v/>
      </c>
      <c r="V310" s="83" t="str">
        <f t="shared" si="31"/>
        <v/>
      </c>
      <c r="AA310" s="60">
        <f t="shared" si="32"/>
        <v>0</v>
      </c>
      <c r="AB310" s="49">
        <f t="shared" si="33"/>
        <v>0</v>
      </c>
      <c r="AC310" s="60">
        <f t="shared" si="34"/>
        <v>0</v>
      </c>
    </row>
    <row r="311" spans="1:29">
      <c r="A311" s="83" t="str">
        <f t="shared" si="28"/>
        <v/>
      </c>
      <c r="B311" s="83" t="str">
        <f t="shared" si="29"/>
        <v/>
      </c>
      <c r="U311" s="83" t="str">
        <f t="shared" si="30"/>
        <v/>
      </c>
      <c r="V311" s="83" t="str">
        <f t="shared" si="31"/>
        <v/>
      </c>
      <c r="AA311" s="60">
        <f t="shared" si="32"/>
        <v>0</v>
      </c>
      <c r="AB311" s="49">
        <f t="shared" si="33"/>
        <v>0</v>
      </c>
      <c r="AC311" s="60">
        <f t="shared" si="34"/>
        <v>0</v>
      </c>
    </row>
    <row r="312" spans="1:29">
      <c r="A312" s="83" t="str">
        <f t="shared" si="28"/>
        <v/>
      </c>
      <c r="B312" s="83" t="str">
        <f t="shared" si="29"/>
        <v/>
      </c>
      <c r="U312" s="83" t="str">
        <f t="shared" si="30"/>
        <v/>
      </c>
      <c r="V312" s="83" t="str">
        <f t="shared" si="31"/>
        <v/>
      </c>
      <c r="AA312" s="60">
        <f t="shared" si="32"/>
        <v>0</v>
      </c>
      <c r="AB312" s="49">
        <f t="shared" si="33"/>
        <v>0</v>
      </c>
      <c r="AC312" s="60">
        <f t="shared" si="34"/>
        <v>0</v>
      </c>
    </row>
    <row r="313" spans="1:29">
      <c r="A313" s="83" t="str">
        <f t="shared" si="28"/>
        <v/>
      </c>
      <c r="B313" s="83" t="str">
        <f t="shared" si="29"/>
        <v/>
      </c>
      <c r="U313" s="83" t="str">
        <f t="shared" si="30"/>
        <v/>
      </c>
      <c r="V313" s="83" t="str">
        <f t="shared" si="31"/>
        <v/>
      </c>
      <c r="AA313" s="60">
        <f t="shared" si="32"/>
        <v>0</v>
      </c>
      <c r="AB313" s="49">
        <f t="shared" si="33"/>
        <v>0</v>
      </c>
      <c r="AC313" s="60">
        <f t="shared" si="34"/>
        <v>0</v>
      </c>
    </row>
    <row r="314" spans="1:29">
      <c r="A314" s="83" t="str">
        <f t="shared" si="28"/>
        <v/>
      </c>
      <c r="B314" s="83" t="str">
        <f t="shared" si="29"/>
        <v/>
      </c>
      <c r="U314" s="83" t="str">
        <f t="shared" si="30"/>
        <v/>
      </c>
      <c r="V314" s="83" t="str">
        <f t="shared" si="31"/>
        <v/>
      </c>
      <c r="AA314" s="60">
        <f t="shared" si="32"/>
        <v>0</v>
      </c>
      <c r="AB314" s="49">
        <f t="shared" si="33"/>
        <v>0</v>
      </c>
      <c r="AC314" s="60">
        <f t="shared" si="34"/>
        <v>0</v>
      </c>
    </row>
    <row r="315" spans="1:29">
      <c r="A315" s="83" t="str">
        <f t="shared" si="28"/>
        <v/>
      </c>
      <c r="B315" s="83" t="str">
        <f t="shared" si="29"/>
        <v/>
      </c>
      <c r="U315" s="83" t="str">
        <f t="shared" si="30"/>
        <v/>
      </c>
      <c r="V315" s="83" t="str">
        <f t="shared" si="31"/>
        <v/>
      </c>
      <c r="AA315" s="60">
        <f t="shared" si="32"/>
        <v>0</v>
      </c>
      <c r="AB315" s="49">
        <f t="shared" si="33"/>
        <v>0</v>
      </c>
      <c r="AC315" s="60">
        <f t="shared" si="34"/>
        <v>0</v>
      </c>
    </row>
    <row r="316" spans="1:29">
      <c r="A316" s="83" t="str">
        <f t="shared" si="28"/>
        <v/>
      </c>
      <c r="B316" s="83" t="str">
        <f t="shared" si="29"/>
        <v/>
      </c>
      <c r="U316" s="83" t="str">
        <f t="shared" si="30"/>
        <v/>
      </c>
      <c r="V316" s="83" t="str">
        <f t="shared" si="31"/>
        <v/>
      </c>
      <c r="AA316" s="60">
        <f t="shared" si="32"/>
        <v>0</v>
      </c>
      <c r="AB316" s="49">
        <f t="shared" si="33"/>
        <v>0</v>
      </c>
      <c r="AC316" s="60">
        <f t="shared" si="34"/>
        <v>0</v>
      </c>
    </row>
    <row r="317" spans="1:29">
      <c r="A317" s="83" t="str">
        <f t="shared" si="28"/>
        <v/>
      </c>
      <c r="B317" s="83" t="str">
        <f t="shared" si="29"/>
        <v/>
      </c>
      <c r="U317" s="83" t="str">
        <f t="shared" si="30"/>
        <v/>
      </c>
      <c r="V317" s="83" t="str">
        <f t="shared" si="31"/>
        <v/>
      </c>
      <c r="AA317" s="60">
        <f t="shared" si="32"/>
        <v>0</v>
      </c>
      <c r="AB317" s="49">
        <f t="shared" si="33"/>
        <v>0</v>
      </c>
      <c r="AC317" s="60">
        <f t="shared" si="34"/>
        <v>0</v>
      </c>
    </row>
    <row r="318" spans="1:29">
      <c r="A318" s="83" t="str">
        <f t="shared" si="28"/>
        <v/>
      </c>
      <c r="B318" s="83" t="str">
        <f t="shared" si="29"/>
        <v/>
      </c>
      <c r="U318" s="83" t="str">
        <f t="shared" si="30"/>
        <v/>
      </c>
      <c r="V318" s="83" t="str">
        <f t="shared" si="31"/>
        <v/>
      </c>
      <c r="AA318" s="60">
        <f t="shared" si="32"/>
        <v>0</v>
      </c>
      <c r="AB318" s="49">
        <f t="shared" si="33"/>
        <v>0</v>
      </c>
      <c r="AC318" s="60">
        <f t="shared" si="34"/>
        <v>0</v>
      </c>
    </row>
    <row r="319" spans="1:29">
      <c r="A319" s="83" t="str">
        <f t="shared" si="28"/>
        <v/>
      </c>
      <c r="B319" s="83" t="str">
        <f t="shared" si="29"/>
        <v/>
      </c>
      <c r="U319" s="83" t="str">
        <f t="shared" si="30"/>
        <v/>
      </c>
      <c r="V319" s="83" t="str">
        <f t="shared" si="31"/>
        <v/>
      </c>
      <c r="AA319" s="60">
        <f t="shared" si="32"/>
        <v>0</v>
      </c>
      <c r="AB319" s="49">
        <f t="shared" si="33"/>
        <v>0</v>
      </c>
      <c r="AC319" s="60">
        <f t="shared" si="34"/>
        <v>0</v>
      </c>
    </row>
    <row r="320" spans="1:29">
      <c r="A320" s="83" t="str">
        <f t="shared" si="28"/>
        <v/>
      </c>
      <c r="B320" s="83" t="str">
        <f t="shared" si="29"/>
        <v/>
      </c>
      <c r="U320" s="83" t="str">
        <f t="shared" si="30"/>
        <v/>
      </c>
      <c r="V320" s="83" t="str">
        <f t="shared" si="31"/>
        <v/>
      </c>
      <c r="AA320" s="60">
        <f t="shared" si="32"/>
        <v>0</v>
      </c>
      <c r="AB320" s="49">
        <f t="shared" si="33"/>
        <v>0</v>
      </c>
      <c r="AC320" s="60">
        <f t="shared" si="34"/>
        <v>0</v>
      </c>
    </row>
    <row r="321" spans="1:29">
      <c r="A321" s="83" t="str">
        <f t="shared" si="28"/>
        <v/>
      </c>
      <c r="B321" s="83" t="str">
        <f t="shared" si="29"/>
        <v/>
      </c>
      <c r="U321" s="83" t="str">
        <f t="shared" si="30"/>
        <v/>
      </c>
      <c r="V321" s="83" t="str">
        <f t="shared" si="31"/>
        <v/>
      </c>
      <c r="AA321" s="60">
        <f t="shared" si="32"/>
        <v>0</v>
      </c>
      <c r="AB321" s="49">
        <f t="shared" si="33"/>
        <v>0</v>
      </c>
      <c r="AC321" s="60">
        <f t="shared" si="34"/>
        <v>0</v>
      </c>
    </row>
    <row r="322" spans="1:29">
      <c r="A322" s="83" t="str">
        <f t="shared" si="28"/>
        <v/>
      </c>
      <c r="B322" s="83" t="str">
        <f t="shared" si="29"/>
        <v/>
      </c>
      <c r="U322" s="83" t="str">
        <f t="shared" si="30"/>
        <v/>
      </c>
      <c r="V322" s="83" t="str">
        <f t="shared" si="31"/>
        <v/>
      </c>
      <c r="AA322" s="60">
        <f t="shared" si="32"/>
        <v>0</v>
      </c>
      <c r="AB322" s="49">
        <f t="shared" si="33"/>
        <v>0</v>
      </c>
      <c r="AC322" s="60">
        <f t="shared" si="34"/>
        <v>0</v>
      </c>
    </row>
    <row r="323" spans="1:29">
      <c r="A323" s="83" t="str">
        <f t="shared" ref="A323:A386" si="35">IF(G323&amp;Q323&lt;&gt;"",U323&amp;Q323,"")</f>
        <v/>
      </c>
      <c r="B323" s="83" t="str">
        <f t="shared" ref="B323:B386" si="36">IF(C323&lt;&gt;"",LEFT(C323,9),"")</f>
        <v/>
      </c>
      <c r="U323" s="83" t="str">
        <f t="shared" ref="U323:U386" si="37">IF(G323&lt;&gt;"",IF(StyleSpaceSplit,IFERROR(IF(FIND(" ",G323)&gt;=1,MID(G323,1,FIND(" ",G323)-1),G323),G323),G323),"")</f>
        <v/>
      </c>
      <c r="V323" s="83" t="str">
        <f t="shared" ref="V323:V386" si="38">IF(A323&lt;&gt;"",IFERROR(IF(FIND(" ",G323)&gt;=1,MID(G323,FIND(" ",G323)+1,LEN(G323)),""),G323),"")</f>
        <v/>
      </c>
      <c r="AA323" s="60">
        <f t="shared" ref="AA323:AA386" si="39">IFERROR(VALUE(MID($C323,1,2)),0)</f>
        <v>0</v>
      </c>
      <c r="AB323" s="49">
        <f t="shared" ref="AB323:AB386" si="40">IFERROR(VALUE(MID($C323,4,3)),0)</f>
        <v>0</v>
      </c>
      <c r="AC323" s="60">
        <f t="shared" ref="AC323:AC386" si="41">VALUE(RIGHT("00"&amp;AA323,2)&amp;RIGHT("000"&amp;AB323,3))</f>
        <v>0</v>
      </c>
    </row>
    <row r="324" spans="1:29">
      <c r="A324" s="83" t="str">
        <f t="shared" si="35"/>
        <v/>
      </c>
      <c r="B324" s="83" t="str">
        <f t="shared" si="36"/>
        <v/>
      </c>
      <c r="U324" s="83" t="str">
        <f t="shared" si="37"/>
        <v/>
      </c>
      <c r="V324" s="83" t="str">
        <f t="shared" si="38"/>
        <v/>
      </c>
      <c r="AA324" s="60">
        <f t="shared" si="39"/>
        <v>0</v>
      </c>
      <c r="AB324" s="49">
        <f t="shared" si="40"/>
        <v>0</v>
      </c>
      <c r="AC324" s="60">
        <f t="shared" si="41"/>
        <v>0</v>
      </c>
    </row>
    <row r="325" spans="1:29">
      <c r="A325" s="83" t="str">
        <f t="shared" si="35"/>
        <v/>
      </c>
      <c r="B325" s="83" t="str">
        <f t="shared" si="36"/>
        <v/>
      </c>
      <c r="U325" s="83" t="str">
        <f t="shared" si="37"/>
        <v/>
      </c>
      <c r="V325" s="83" t="str">
        <f t="shared" si="38"/>
        <v/>
      </c>
      <c r="AA325" s="60">
        <f t="shared" si="39"/>
        <v>0</v>
      </c>
      <c r="AB325" s="49">
        <f t="shared" si="40"/>
        <v>0</v>
      </c>
      <c r="AC325" s="60">
        <f t="shared" si="41"/>
        <v>0</v>
      </c>
    </row>
    <row r="326" spans="1:29">
      <c r="A326" s="83" t="str">
        <f t="shared" si="35"/>
        <v/>
      </c>
      <c r="B326" s="83" t="str">
        <f t="shared" si="36"/>
        <v/>
      </c>
      <c r="U326" s="83" t="str">
        <f t="shared" si="37"/>
        <v/>
      </c>
      <c r="V326" s="83" t="str">
        <f t="shared" si="38"/>
        <v/>
      </c>
      <c r="AA326" s="60">
        <f t="shared" si="39"/>
        <v>0</v>
      </c>
      <c r="AB326" s="49">
        <f t="shared" si="40"/>
        <v>0</v>
      </c>
      <c r="AC326" s="60">
        <f t="shared" si="41"/>
        <v>0</v>
      </c>
    </row>
    <row r="327" spans="1:29">
      <c r="A327" s="83" t="str">
        <f t="shared" si="35"/>
        <v/>
      </c>
      <c r="B327" s="83" t="str">
        <f t="shared" si="36"/>
        <v/>
      </c>
      <c r="U327" s="83" t="str">
        <f t="shared" si="37"/>
        <v/>
      </c>
      <c r="V327" s="83" t="str">
        <f t="shared" si="38"/>
        <v/>
      </c>
      <c r="AA327" s="60">
        <f t="shared" si="39"/>
        <v>0</v>
      </c>
      <c r="AB327" s="49">
        <f t="shared" si="40"/>
        <v>0</v>
      </c>
      <c r="AC327" s="60">
        <f t="shared" si="41"/>
        <v>0</v>
      </c>
    </row>
    <row r="328" spans="1:29">
      <c r="A328" s="83" t="str">
        <f t="shared" si="35"/>
        <v/>
      </c>
      <c r="B328" s="83" t="str">
        <f t="shared" si="36"/>
        <v/>
      </c>
      <c r="U328" s="83" t="str">
        <f t="shared" si="37"/>
        <v/>
      </c>
      <c r="V328" s="83" t="str">
        <f t="shared" si="38"/>
        <v/>
      </c>
      <c r="AA328" s="60">
        <f t="shared" si="39"/>
        <v>0</v>
      </c>
      <c r="AB328" s="49">
        <f t="shared" si="40"/>
        <v>0</v>
      </c>
      <c r="AC328" s="60">
        <f t="shared" si="41"/>
        <v>0</v>
      </c>
    </row>
    <row r="329" spans="1:29">
      <c r="A329" s="83" t="str">
        <f t="shared" si="35"/>
        <v/>
      </c>
      <c r="B329" s="83" t="str">
        <f t="shared" si="36"/>
        <v/>
      </c>
      <c r="U329" s="83" t="str">
        <f t="shared" si="37"/>
        <v/>
      </c>
      <c r="V329" s="83" t="str">
        <f t="shared" si="38"/>
        <v/>
      </c>
      <c r="AA329" s="60">
        <f t="shared" si="39"/>
        <v>0</v>
      </c>
      <c r="AB329" s="49">
        <f t="shared" si="40"/>
        <v>0</v>
      </c>
      <c r="AC329" s="60">
        <f t="shared" si="41"/>
        <v>0</v>
      </c>
    </row>
    <row r="330" spans="1:29">
      <c r="A330" s="83" t="str">
        <f t="shared" si="35"/>
        <v/>
      </c>
      <c r="B330" s="83" t="str">
        <f t="shared" si="36"/>
        <v/>
      </c>
      <c r="U330" s="83" t="str">
        <f t="shared" si="37"/>
        <v/>
      </c>
      <c r="V330" s="83" t="str">
        <f t="shared" si="38"/>
        <v/>
      </c>
      <c r="AA330" s="60">
        <f t="shared" si="39"/>
        <v>0</v>
      </c>
      <c r="AB330" s="49">
        <f t="shared" si="40"/>
        <v>0</v>
      </c>
      <c r="AC330" s="60">
        <f t="shared" si="41"/>
        <v>0</v>
      </c>
    </row>
    <row r="331" spans="1:29">
      <c r="A331" s="83" t="str">
        <f t="shared" si="35"/>
        <v/>
      </c>
      <c r="B331" s="83" t="str">
        <f t="shared" si="36"/>
        <v/>
      </c>
      <c r="U331" s="83" t="str">
        <f t="shared" si="37"/>
        <v/>
      </c>
      <c r="V331" s="83" t="str">
        <f t="shared" si="38"/>
        <v/>
      </c>
      <c r="AA331" s="60">
        <f t="shared" si="39"/>
        <v>0</v>
      </c>
      <c r="AB331" s="49">
        <f t="shared" si="40"/>
        <v>0</v>
      </c>
      <c r="AC331" s="60">
        <f t="shared" si="41"/>
        <v>0</v>
      </c>
    </row>
    <row r="332" spans="1:29">
      <c r="A332" s="83" t="str">
        <f t="shared" si="35"/>
        <v/>
      </c>
      <c r="B332" s="83" t="str">
        <f t="shared" si="36"/>
        <v/>
      </c>
      <c r="U332" s="83" t="str">
        <f t="shared" si="37"/>
        <v/>
      </c>
      <c r="V332" s="83" t="str">
        <f t="shared" si="38"/>
        <v/>
      </c>
      <c r="AA332" s="60">
        <f t="shared" si="39"/>
        <v>0</v>
      </c>
      <c r="AB332" s="49">
        <f t="shared" si="40"/>
        <v>0</v>
      </c>
      <c r="AC332" s="60">
        <f t="shared" si="41"/>
        <v>0</v>
      </c>
    </row>
    <row r="333" spans="1:29">
      <c r="A333" s="83" t="str">
        <f t="shared" si="35"/>
        <v/>
      </c>
      <c r="B333" s="83" t="str">
        <f t="shared" si="36"/>
        <v/>
      </c>
      <c r="U333" s="83" t="str">
        <f t="shared" si="37"/>
        <v/>
      </c>
      <c r="V333" s="83" t="str">
        <f t="shared" si="38"/>
        <v/>
      </c>
      <c r="AA333" s="60">
        <f t="shared" si="39"/>
        <v>0</v>
      </c>
      <c r="AB333" s="49">
        <f t="shared" si="40"/>
        <v>0</v>
      </c>
      <c r="AC333" s="60">
        <f t="shared" si="41"/>
        <v>0</v>
      </c>
    </row>
    <row r="334" spans="1:29">
      <c r="A334" s="83" t="str">
        <f t="shared" si="35"/>
        <v/>
      </c>
      <c r="B334" s="83" t="str">
        <f t="shared" si="36"/>
        <v/>
      </c>
      <c r="U334" s="83" t="str">
        <f t="shared" si="37"/>
        <v/>
      </c>
      <c r="V334" s="83" t="str">
        <f t="shared" si="38"/>
        <v/>
      </c>
      <c r="AA334" s="60">
        <f t="shared" si="39"/>
        <v>0</v>
      </c>
      <c r="AB334" s="49">
        <f t="shared" si="40"/>
        <v>0</v>
      </c>
      <c r="AC334" s="60">
        <f t="shared" si="41"/>
        <v>0</v>
      </c>
    </row>
    <row r="335" spans="1:29">
      <c r="A335" s="83" t="str">
        <f t="shared" si="35"/>
        <v/>
      </c>
      <c r="B335" s="83" t="str">
        <f t="shared" si="36"/>
        <v/>
      </c>
      <c r="U335" s="83" t="str">
        <f t="shared" si="37"/>
        <v/>
      </c>
      <c r="V335" s="83" t="str">
        <f t="shared" si="38"/>
        <v/>
      </c>
      <c r="AA335" s="60">
        <f t="shared" si="39"/>
        <v>0</v>
      </c>
      <c r="AB335" s="49">
        <f t="shared" si="40"/>
        <v>0</v>
      </c>
      <c r="AC335" s="60">
        <f t="shared" si="41"/>
        <v>0</v>
      </c>
    </row>
    <row r="336" spans="1:29">
      <c r="A336" s="83" t="str">
        <f t="shared" si="35"/>
        <v/>
      </c>
      <c r="B336" s="83" t="str">
        <f t="shared" si="36"/>
        <v/>
      </c>
      <c r="U336" s="83" t="str">
        <f t="shared" si="37"/>
        <v/>
      </c>
      <c r="V336" s="83" t="str">
        <f t="shared" si="38"/>
        <v/>
      </c>
      <c r="AA336" s="60">
        <f t="shared" si="39"/>
        <v>0</v>
      </c>
      <c r="AB336" s="49">
        <f t="shared" si="40"/>
        <v>0</v>
      </c>
      <c r="AC336" s="60">
        <f t="shared" si="41"/>
        <v>0</v>
      </c>
    </row>
    <row r="337" spans="1:29">
      <c r="A337" s="83" t="str">
        <f t="shared" si="35"/>
        <v/>
      </c>
      <c r="B337" s="83" t="str">
        <f t="shared" si="36"/>
        <v/>
      </c>
      <c r="U337" s="83" t="str">
        <f t="shared" si="37"/>
        <v/>
      </c>
      <c r="V337" s="83" t="str">
        <f t="shared" si="38"/>
        <v/>
      </c>
      <c r="AA337" s="60">
        <f t="shared" si="39"/>
        <v>0</v>
      </c>
      <c r="AB337" s="49">
        <f t="shared" si="40"/>
        <v>0</v>
      </c>
      <c r="AC337" s="60">
        <f t="shared" si="41"/>
        <v>0</v>
      </c>
    </row>
    <row r="338" spans="1:29">
      <c r="A338" s="83" t="str">
        <f t="shared" si="35"/>
        <v/>
      </c>
      <c r="B338" s="83" t="str">
        <f t="shared" si="36"/>
        <v/>
      </c>
      <c r="U338" s="83" t="str">
        <f t="shared" si="37"/>
        <v/>
      </c>
      <c r="V338" s="83" t="str">
        <f t="shared" si="38"/>
        <v/>
      </c>
      <c r="AA338" s="60">
        <f t="shared" si="39"/>
        <v>0</v>
      </c>
      <c r="AB338" s="49">
        <f t="shared" si="40"/>
        <v>0</v>
      </c>
      <c r="AC338" s="60">
        <f t="shared" si="41"/>
        <v>0</v>
      </c>
    </row>
    <row r="339" spans="1:29">
      <c r="A339" s="83" t="str">
        <f t="shared" si="35"/>
        <v/>
      </c>
      <c r="B339" s="83" t="str">
        <f t="shared" si="36"/>
        <v/>
      </c>
      <c r="U339" s="83" t="str">
        <f t="shared" si="37"/>
        <v/>
      </c>
      <c r="V339" s="83" t="str">
        <f t="shared" si="38"/>
        <v/>
      </c>
      <c r="AA339" s="60">
        <f t="shared" si="39"/>
        <v>0</v>
      </c>
      <c r="AB339" s="49">
        <f t="shared" si="40"/>
        <v>0</v>
      </c>
      <c r="AC339" s="60">
        <f t="shared" si="41"/>
        <v>0</v>
      </c>
    </row>
    <row r="340" spans="1:29">
      <c r="A340" s="83" t="str">
        <f t="shared" si="35"/>
        <v/>
      </c>
      <c r="B340" s="83" t="str">
        <f t="shared" si="36"/>
        <v/>
      </c>
      <c r="U340" s="83" t="str">
        <f t="shared" si="37"/>
        <v/>
      </c>
      <c r="V340" s="83" t="str">
        <f t="shared" si="38"/>
        <v/>
      </c>
      <c r="AA340" s="60">
        <f t="shared" si="39"/>
        <v>0</v>
      </c>
      <c r="AB340" s="49">
        <f t="shared" si="40"/>
        <v>0</v>
      </c>
      <c r="AC340" s="60">
        <f t="shared" si="41"/>
        <v>0</v>
      </c>
    </row>
    <row r="341" spans="1:29">
      <c r="A341" s="83" t="str">
        <f t="shared" si="35"/>
        <v/>
      </c>
      <c r="B341" s="83" t="str">
        <f t="shared" si="36"/>
        <v/>
      </c>
      <c r="U341" s="83" t="str">
        <f t="shared" si="37"/>
        <v/>
      </c>
      <c r="V341" s="83" t="str">
        <f t="shared" si="38"/>
        <v/>
      </c>
      <c r="AA341" s="60">
        <f t="shared" si="39"/>
        <v>0</v>
      </c>
      <c r="AB341" s="49">
        <f t="shared" si="40"/>
        <v>0</v>
      </c>
      <c r="AC341" s="60">
        <f t="shared" si="41"/>
        <v>0</v>
      </c>
    </row>
    <row r="342" spans="1:29">
      <c r="A342" s="83" t="str">
        <f t="shared" si="35"/>
        <v/>
      </c>
      <c r="B342" s="83" t="str">
        <f t="shared" si="36"/>
        <v/>
      </c>
      <c r="U342" s="83" t="str">
        <f t="shared" si="37"/>
        <v/>
      </c>
      <c r="V342" s="83" t="str">
        <f t="shared" si="38"/>
        <v/>
      </c>
      <c r="AA342" s="60">
        <f t="shared" si="39"/>
        <v>0</v>
      </c>
      <c r="AB342" s="49">
        <f t="shared" si="40"/>
        <v>0</v>
      </c>
      <c r="AC342" s="60">
        <f t="shared" si="41"/>
        <v>0</v>
      </c>
    </row>
    <row r="343" spans="1:29">
      <c r="A343" s="83" t="str">
        <f t="shared" si="35"/>
        <v/>
      </c>
      <c r="B343" s="83" t="str">
        <f t="shared" si="36"/>
        <v/>
      </c>
      <c r="U343" s="83" t="str">
        <f t="shared" si="37"/>
        <v/>
      </c>
      <c r="V343" s="83" t="str">
        <f t="shared" si="38"/>
        <v/>
      </c>
      <c r="AA343" s="60">
        <f t="shared" si="39"/>
        <v>0</v>
      </c>
      <c r="AB343" s="49">
        <f t="shared" si="40"/>
        <v>0</v>
      </c>
      <c r="AC343" s="60">
        <f t="shared" si="41"/>
        <v>0</v>
      </c>
    </row>
    <row r="344" spans="1:29">
      <c r="A344" s="83" t="str">
        <f t="shared" si="35"/>
        <v/>
      </c>
      <c r="B344" s="83" t="str">
        <f t="shared" si="36"/>
        <v/>
      </c>
      <c r="U344" s="83" t="str">
        <f t="shared" si="37"/>
        <v/>
      </c>
      <c r="V344" s="83" t="str">
        <f t="shared" si="38"/>
        <v/>
      </c>
      <c r="AA344" s="60">
        <f t="shared" si="39"/>
        <v>0</v>
      </c>
      <c r="AB344" s="49">
        <f t="shared" si="40"/>
        <v>0</v>
      </c>
      <c r="AC344" s="60">
        <f t="shared" si="41"/>
        <v>0</v>
      </c>
    </row>
    <row r="345" spans="1:29">
      <c r="A345" s="83" t="str">
        <f t="shared" si="35"/>
        <v/>
      </c>
      <c r="B345" s="83" t="str">
        <f t="shared" si="36"/>
        <v/>
      </c>
      <c r="U345" s="83" t="str">
        <f t="shared" si="37"/>
        <v/>
      </c>
      <c r="V345" s="83" t="str">
        <f t="shared" si="38"/>
        <v/>
      </c>
      <c r="AA345" s="60">
        <f t="shared" si="39"/>
        <v>0</v>
      </c>
      <c r="AB345" s="49">
        <f t="shared" si="40"/>
        <v>0</v>
      </c>
      <c r="AC345" s="60">
        <f t="shared" si="41"/>
        <v>0</v>
      </c>
    </row>
    <row r="346" spans="1:29">
      <c r="A346" s="83" t="str">
        <f t="shared" si="35"/>
        <v/>
      </c>
      <c r="B346" s="83" t="str">
        <f t="shared" si="36"/>
        <v/>
      </c>
      <c r="U346" s="83" t="str">
        <f t="shared" si="37"/>
        <v/>
      </c>
      <c r="V346" s="83" t="str">
        <f t="shared" si="38"/>
        <v/>
      </c>
      <c r="AA346" s="60">
        <f t="shared" si="39"/>
        <v>0</v>
      </c>
      <c r="AB346" s="49">
        <f t="shared" si="40"/>
        <v>0</v>
      </c>
      <c r="AC346" s="60">
        <f t="shared" si="41"/>
        <v>0</v>
      </c>
    </row>
    <row r="347" spans="1:29">
      <c r="A347" s="83" t="str">
        <f t="shared" si="35"/>
        <v/>
      </c>
      <c r="B347" s="83" t="str">
        <f t="shared" si="36"/>
        <v/>
      </c>
      <c r="U347" s="83" t="str">
        <f t="shared" si="37"/>
        <v/>
      </c>
      <c r="V347" s="83" t="str">
        <f t="shared" si="38"/>
        <v/>
      </c>
      <c r="AA347" s="60">
        <f t="shared" si="39"/>
        <v>0</v>
      </c>
      <c r="AB347" s="49">
        <f t="shared" si="40"/>
        <v>0</v>
      </c>
      <c r="AC347" s="60">
        <f t="shared" si="41"/>
        <v>0</v>
      </c>
    </row>
    <row r="348" spans="1:29">
      <c r="A348" s="83" t="str">
        <f t="shared" si="35"/>
        <v/>
      </c>
      <c r="B348" s="83" t="str">
        <f t="shared" si="36"/>
        <v/>
      </c>
      <c r="U348" s="83" t="str">
        <f t="shared" si="37"/>
        <v/>
      </c>
      <c r="V348" s="83" t="str">
        <f t="shared" si="38"/>
        <v/>
      </c>
      <c r="AA348" s="60">
        <f t="shared" si="39"/>
        <v>0</v>
      </c>
      <c r="AB348" s="49">
        <f t="shared" si="40"/>
        <v>0</v>
      </c>
      <c r="AC348" s="60">
        <f t="shared" si="41"/>
        <v>0</v>
      </c>
    </row>
    <row r="349" spans="1:29">
      <c r="A349" s="83" t="str">
        <f t="shared" si="35"/>
        <v/>
      </c>
      <c r="B349" s="83" t="str">
        <f t="shared" si="36"/>
        <v/>
      </c>
      <c r="U349" s="83" t="str">
        <f t="shared" si="37"/>
        <v/>
      </c>
      <c r="V349" s="83" t="str">
        <f t="shared" si="38"/>
        <v/>
      </c>
      <c r="AA349" s="60">
        <f t="shared" si="39"/>
        <v>0</v>
      </c>
      <c r="AB349" s="49">
        <f t="shared" si="40"/>
        <v>0</v>
      </c>
      <c r="AC349" s="60">
        <f t="shared" si="41"/>
        <v>0</v>
      </c>
    </row>
    <row r="350" spans="1:29">
      <c r="A350" s="83" t="str">
        <f t="shared" si="35"/>
        <v/>
      </c>
      <c r="B350" s="83" t="str">
        <f t="shared" si="36"/>
        <v/>
      </c>
      <c r="U350" s="83" t="str">
        <f t="shared" si="37"/>
        <v/>
      </c>
      <c r="V350" s="83" t="str">
        <f t="shared" si="38"/>
        <v/>
      </c>
      <c r="AA350" s="60">
        <f t="shared" si="39"/>
        <v>0</v>
      </c>
      <c r="AB350" s="49">
        <f t="shared" si="40"/>
        <v>0</v>
      </c>
      <c r="AC350" s="60">
        <f t="shared" si="41"/>
        <v>0</v>
      </c>
    </row>
    <row r="351" spans="1:29">
      <c r="A351" s="83" t="str">
        <f t="shared" si="35"/>
        <v/>
      </c>
      <c r="B351" s="83" t="str">
        <f t="shared" si="36"/>
        <v/>
      </c>
      <c r="U351" s="83" t="str">
        <f t="shared" si="37"/>
        <v/>
      </c>
      <c r="V351" s="83" t="str">
        <f t="shared" si="38"/>
        <v/>
      </c>
      <c r="AA351" s="60">
        <f t="shared" si="39"/>
        <v>0</v>
      </c>
      <c r="AB351" s="49">
        <f t="shared" si="40"/>
        <v>0</v>
      </c>
      <c r="AC351" s="60">
        <f t="shared" si="41"/>
        <v>0</v>
      </c>
    </row>
    <row r="352" spans="1:29">
      <c r="A352" s="83" t="str">
        <f t="shared" si="35"/>
        <v/>
      </c>
      <c r="B352" s="83" t="str">
        <f t="shared" si="36"/>
        <v/>
      </c>
      <c r="U352" s="83" t="str">
        <f t="shared" si="37"/>
        <v/>
      </c>
      <c r="V352" s="83" t="str">
        <f t="shared" si="38"/>
        <v/>
      </c>
      <c r="AA352" s="60">
        <f t="shared" si="39"/>
        <v>0</v>
      </c>
      <c r="AB352" s="49">
        <f t="shared" si="40"/>
        <v>0</v>
      </c>
      <c r="AC352" s="60">
        <f t="shared" si="41"/>
        <v>0</v>
      </c>
    </row>
    <row r="353" spans="1:29">
      <c r="A353" s="83" t="str">
        <f t="shared" si="35"/>
        <v/>
      </c>
      <c r="B353" s="83" t="str">
        <f t="shared" si="36"/>
        <v/>
      </c>
      <c r="U353" s="83" t="str">
        <f t="shared" si="37"/>
        <v/>
      </c>
      <c r="V353" s="83" t="str">
        <f t="shared" si="38"/>
        <v/>
      </c>
      <c r="AA353" s="60">
        <f t="shared" si="39"/>
        <v>0</v>
      </c>
      <c r="AB353" s="49">
        <f t="shared" si="40"/>
        <v>0</v>
      </c>
      <c r="AC353" s="60">
        <f t="shared" si="41"/>
        <v>0</v>
      </c>
    </row>
    <row r="354" spans="1:29">
      <c r="A354" s="83" t="str">
        <f t="shared" si="35"/>
        <v/>
      </c>
      <c r="B354" s="83" t="str">
        <f t="shared" si="36"/>
        <v/>
      </c>
      <c r="U354" s="83" t="str">
        <f t="shared" si="37"/>
        <v/>
      </c>
      <c r="V354" s="83" t="str">
        <f t="shared" si="38"/>
        <v/>
      </c>
      <c r="AA354" s="60">
        <f t="shared" si="39"/>
        <v>0</v>
      </c>
      <c r="AB354" s="49">
        <f t="shared" si="40"/>
        <v>0</v>
      </c>
      <c r="AC354" s="60">
        <f t="shared" si="41"/>
        <v>0</v>
      </c>
    </row>
    <row r="355" spans="1:29">
      <c r="A355" s="83" t="str">
        <f t="shared" si="35"/>
        <v/>
      </c>
      <c r="B355" s="83" t="str">
        <f t="shared" si="36"/>
        <v/>
      </c>
      <c r="U355" s="83" t="str">
        <f t="shared" si="37"/>
        <v/>
      </c>
      <c r="V355" s="83" t="str">
        <f t="shared" si="38"/>
        <v/>
      </c>
      <c r="AA355" s="60">
        <f t="shared" si="39"/>
        <v>0</v>
      </c>
      <c r="AB355" s="49">
        <f t="shared" si="40"/>
        <v>0</v>
      </c>
      <c r="AC355" s="60">
        <f t="shared" si="41"/>
        <v>0</v>
      </c>
    </row>
    <row r="356" spans="1:29">
      <c r="A356" s="83" t="str">
        <f t="shared" si="35"/>
        <v/>
      </c>
      <c r="B356" s="83" t="str">
        <f t="shared" si="36"/>
        <v/>
      </c>
      <c r="U356" s="83" t="str">
        <f t="shared" si="37"/>
        <v/>
      </c>
      <c r="V356" s="83" t="str">
        <f t="shared" si="38"/>
        <v/>
      </c>
      <c r="AA356" s="60">
        <f t="shared" si="39"/>
        <v>0</v>
      </c>
      <c r="AB356" s="49">
        <f t="shared" si="40"/>
        <v>0</v>
      </c>
      <c r="AC356" s="60">
        <f t="shared" si="41"/>
        <v>0</v>
      </c>
    </row>
    <row r="357" spans="1:29">
      <c r="A357" s="83" t="str">
        <f t="shared" si="35"/>
        <v/>
      </c>
      <c r="B357" s="83" t="str">
        <f t="shared" si="36"/>
        <v/>
      </c>
      <c r="U357" s="83" t="str">
        <f t="shared" si="37"/>
        <v/>
      </c>
      <c r="V357" s="83" t="str">
        <f t="shared" si="38"/>
        <v/>
      </c>
      <c r="AA357" s="60">
        <f t="shared" si="39"/>
        <v>0</v>
      </c>
      <c r="AB357" s="49">
        <f t="shared" si="40"/>
        <v>0</v>
      </c>
      <c r="AC357" s="60">
        <f t="shared" si="41"/>
        <v>0</v>
      </c>
    </row>
    <row r="358" spans="1:29">
      <c r="A358" s="83" t="str">
        <f t="shared" si="35"/>
        <v/>
      </c>
      <c r="B358" s="83" t="str">
        <f t="shared" si="36"/>
        <v/>
      </c>
      <c r="U358" s="83" t="str">
        <f t="shared" si="37"/>
        <v/>
      </c>
      <c r="V358" s="83" t="str">
        <f t="shared" si="38"/>
        <v/>
      </c>
      <c r="AA358" s="60">
        <f t="shared" si="39"/>
        <v>0</v>
      </c>
      <c r="AB358" s="49">
        <f t="shared" si="40"/>
        <v>0</v>
      </c>
      <c r="AC358" s="60">
        <f t="shared" si="41"/>
        <v>0</v>
      </c>
    </row>
    <row r="359" spans="1:29">
      <c r="A359" s="83" t="str">
        <f t="shared" si="35"/>
        <v/>
      </c>
      <c r="B359" s="83" t="str">
        <f t="shared" si="36"/>
        <v/>
      </c>
      <c r="U359" s="83" t="str">
        <f t="shared" si="37"/>
        <v/>
      </c>
      <c r="V359" s="83" t="str">
        <f t="shared" si="38"/>
        <v/>
      </c>
      <c r="AA359" s="60">
        <f t="shared" si="39"/>
        <v>0</v>
      </c>
      <c r="AB359" s="49">
        <f t="shared" si="40"/>
        <v>0</v>
      </c>
      <c r="AC359" s="60">
        <f t="shared" si="41"/>
        <v>0</v>
      </c>
    </row>
    <row r="360" spans="1:29">
      <c r="A360" s="83" t="str">
        <f t="shared" si="35"/>
        <v/>
      </c>
      <c r="B360" s="83" t="str">
        <f t="shared" si="36"/>
        <v/>
      </c>
      <c r="U360" s="83" t="str">
        <f t="shared" si="37"/>
        <v/>
      </c>
      <c r="V360" s="83" t="str">
        <f t="shared" si="38"/>
        <v/>
      </c>
      <c r="AA360" s="60">
        <f t="shared" si="39"/>
        <v>0</v>
      </c>
      <c r="AB360" s="49">
        <f t="shared" si="40"/>
        <v>0</v>
      </c>
      <c r="AC360" s="60">
        <f t="shared" si="41"/>
        <v>0</v>
      </c>
    </row>
    <row r="361" spans="1:29">
      <c r="A361" s="83" t="str">
        <f t="shared" si="35"/>
        <v/>
      </c>
      <c r="B361" s="83" t="str">
        <f t="shared" si="36"/>
        <v/>
      </c>
      <c r="U361" s="83" t="str">
        <f t="shared" si="37"/>
        <v/>
      </c>
      <c r="V361" s="83" t="str">
        <f t="shared" si="38"/>
        <v/>
      </c>
      <c r="AA361" s="60">
        <f t="shared" si="39"/>
        <v>0</v>
      </c>
      <c r="AB361" s="49">
        <f t="shared" si="40"/>
        <v>0</v>
      </c>
      <c r="AC361" s="60">
        <f t="shared" si="41"/>
        <v>0</v>
      </c>
    </row>
    <row r="362" spans="1:29">
      <c r="A362" s="83" t="str">
        <f t="shared" si="35"/>
        <v/>
      </c>
      <c r="B362" s="83" t="str">
        <f t="shared" si="36"/>
        <v/>
      </c>
      <c r="U362" s="83" t="str">
        <f t="shared" si="37"/>
        <v/>
      </c>
      <c r="V362" s="83" t="str">
        <f t="shared" si="38"/>
        <v/>
      </c>
      <c r="AA362" s="60">
        <f t="shared" si="39"/>
        <v>0</v>
      </c>
      <c r="AB362" s="49">
        <f t="shared" si="40"/>
        <v>0</v>
      </c>
      <c r="AC362" s="60">
        <f t="shared" si="41"/>
        <v>0</v>
      </c>
    </row>
    <row r="363" spans="1:29">
      <c r="A363" s="83" t="str">
        <f t="shared" si="35"/>
        <v/>
      </c>
      <c r="B363" s="83" t="str">
        <f t="shared" si="36"/>
        <v/>
      </c>
      <c r="U363" s="83" t="str">
        <f t="shared" si="37"/>
        <v/>
      </c>
      <c r="V363" s="83" t="str">
        <f t="shared" si="38"/>
        <v/>
      </c>
      <c r="AA363" s="60">
        <f t="shared" si="39"/>
        <v>0</v>
      </c>
      <c r="AB363" s="49">
        <f t="shared" si="40"/>
        <v>0</v>
      </c>
      <c r="AC363" s="60">
        <f t="shared" si="41"/>
        <v>0</v>
      </c>
    </row>
    <row r="364" spans="1:29">
      <c r="A364" s="83" t="str">
        <f t="shared" si="35"/>
        <v/>
      </c>
      <c r="B364" s="83" t="str">
        <f t="shared" si="36"/>
        <v/>
      </c>
      <c r="U364" s="83" t="str">
        <f t="shared" si="37"/>
        <v/>
      </c>
      <c r="V364" s="83" t="str">
        <f t="shared" si="38"/>
        <v/>
      </c>
      <c r="AA364" s="60">
        <f t="shared" si="39"/>
        <v>0</v>
      </c>
      <c r="AB364" s="49">
        <f t="shared" si="40"/>
        <v>0</v>
      </c>
      <c r="AC364" s="60">
        <f t="shared" si="41"/>
        <v>0</v>
      </c>
    </row>
    <row r="365" spans="1:29">
      <c r="A365" s="83" t="str">
        <f t="shared" si="35"/>
        <v/>
      </c>
      <c r="B365" s="83" t="str">
        <f t="shared" si="36"/>
        <v/>
      </c>
      <c r="U365" s="83" t="str">
        <f t="shared" si="37"/>
        <v/>
      </c>
      <c r="V365" s="83" t="str">
        <f t="shared" si="38"/>
        <v/>
      </c>
      <c r="AA365" s="60">
        <f t="shared" si="39"/>
        <v>0</v>
      </c>
      <c r="AB365" s="49">
        <f t="shared" si="40"/>
        <v>0</v>
      </c>
      <c r="AC365" s="60">
        <f t="shared" si="41"/>
        <v>0</v>
      </c>
    </row>
    <row r="366" spans="1:29">
      <c r="A366" s="83" t="str">
        <f t="shared" si="35"/>
        <v/>
      </c>
      <c r="B366" s="83" t="str">
        <f t="shared" si="36"/>
        <v/>
      </c>
      <c r="U366" s="83" t="str">
        <f t="shared" si="37"/>
        <v/>
      </c>
      <c r="V366" s="83" t="str">
        <f t="shared" si="38"/>
        <v/>
      </c>
      <c r="AA366" s="60">
        <f t="shared" si="39"/>
        <v>0</v>
      </c>
      <c r="AB366" s="49">
        <f t="shared" si="40"/>
        <v>0</v>
      </c>
      <c r="AC366" s="60">
        <f t="shared" si="41"/>
        <v>0</v>
      </c>
    </row>
    <row r="367" spans="1:29">
      <c r="A367" s="83" t="str">
        <f t="shared" si="35"/>
        <v/>
      </c>
      <c r="B367" s="83" t="str">
        <f t="shared" si="36"/>
        <v/>
      </c>
      <c r="U367" s="83" t="str">
        <f t="shared" si="37"/>
        <v/>
      </c>
      <c r="V367" s="83" t="str">
        <f t="shared" si="38"/>
        <v/>
      </c>
      <c r="AA367" s="60">
        <f t="shared" si="39"/>
        <v>0</v>
      </c>
      <c r="AB367" s="49">
        <f t="shared" si="40"/>
        <v>0</v>
      </c>
      <c r="AC367" s="60">
        <f t="shared" si="41"/>
        <v>0</v>
      </c>
    </row>
    <row r="368" spans="1:29">
      <c r="A368" s="83" t="str">
        <f t="shared" si="35"/>
        <v/>
      </c>
      <c r="B368" s="83" t="str">
        <f t="shared" si="36"/>
        <v/>
      </c>
      <c r="U368" s="83" t="str">
        <f t="shared" si="37"/>
        <v/>
      </c>
      <c r="V368" s="83" t="str">
        <f t="shared" si="38"/>
        <v/>
      </c>
      <c r="AA368" s="60">
        <f t="shared" si="39"/>
        <v>0</v>
      </c>
      <c r="AB368" s="49">
        <f t="shared" si="40"/>
        <v>0</v>
      </c>
      <c r="AC368" s="60">
        <f t="shared" si="41"/>
        <v>0</v>
      </c>
    </row>
    <row r="369" spans="1:29">
      <c r="A369" s="83" t="str">
        <f t="shared" si="35"/>
        <v/>
      </c>
      <c r="B369" s="83" t="str">
        <f t="shared" si="36"/>
        <v/>
      </c>
      <c r="U369" s="83" t="str">
        <f t="shared" si="37"/>
        <v/>
      </c>
      <c r="V369" s="83" t="str">
        <f t="shared" si="38"/>
        <v/>
      </c>
      <c r="AA369" s="60">
        <f t="shared" si="39"/>
        <v>0</v>
      </c>
      <c r="AB369" s="49">
        <f t="shared" si="40"/>
        <v>0</v>
      </c>
      <c r="AC369" s="60">
        <f t="shared" si="41"/>
        <v>0</v>
      </c>
    </row>
    <row r="370" spans="1:29">
      <c r="A370" s="83" t="str">
        <f t="shared" si="35"/>
        <v/>
      </c>
      <c r="B370" s="83" t="str">
        <f t="shared" si="36"/>
        <v/>
      </c>
      <c r="U370" s="83" t="str">
        <f t="shared" si="37"/>
        <v/>
      </c>
      <c r="V370" s="83" t="str">
        <f t="shared" si="38"/>
        <v/>
      </c>
      <c r="AA370" s="60">
        <f t="shared" si="39"/>
        <v>0</v>
      </c>
      <c r="AB370" s="49">
        <f t="shared" si="40"/>
        <v>0</v>
      </c>
      <c r="AC370" s="60">
        <f t="shared" si="41"/>
        <v>0</v>
      </c>
    </row>
    <row r="371" spans="1:29">
      <c r="A371" s="83" t="str">
        <f t="shared" si="35"/>
        <v/>
      </c>
      <c r="B371" s="83" t="str">
        <f t="shared" si="36"/>
        <v/>
      </c>
      <c r="U371" s="83" t="str">
        <f t="shared" si="37"/>
        <v/>
      </c>
      <c r="V371" s="83" t="str">
        <f t="shared" si="38"/>
        <v/>
      </c>
      <c r="AA371" s="60">
        <f t="shared" si="39"/>
        <v>0</v>
      </c>
      <c r="AB371" s="49">
        <f t="shared" si="40"/>
        <v>0</v>
      </c>
      <c r="AC371" s="60">
        <f t="shared" si="41"/>
        <v>0</v>
      </c>
    </row>
    <row r="372" spans="1:29">
      <c r="A372" s="83" t="str">
        <f t="shared" si="35"/>
        <v/>
      </c>
      <c r="B372" s="83" t="str">
        <f t="shared" si="36"/>
        <v/>
      </c>
      <c r="U372" s="83" t="str">
        <f t="shared" si="37"/>
        <v/>
      </c>
      <c r="V372" s="83" t="str">
        <f t="shared" si="38"/>
        <v/>
      </c>
      <c r="AA372" s="60">
        <f t="shared" si="39"/>
        <v>0</v>
      </c>
      <c r="AB372" s="49">
        <f t="shared" si="40"/>
        <v>0</v>
      </c>
      <c r="AC372" s="60">
        <f t="shared" si="41"/>
        <v>0</v>
      </c>
    </row>
    <row r="373" spans="1:29">
      <c r="A373" s="83" t="str">
        <f t="shared" si="35"/>
        <v/>
      </c>
      <c r="B373" s="83" t="str">
        <f t="shared" si="36"/>
        <v/>
      </c>
      <c r="U373" s="83" t="str">
        <f t="shared" si="37"/>
        <v/>
      </c>
      <c r="V373" s="83" t="str">
        <f t="shared" si="38"/>
        <v/>
      </c>
      <c r="AA373" s="60">
        <f t="shared" si="39"/>
        <v>0</v>
      </c>
      <c r="AB373" s="49">
        <f t="shared" si="40"/>
        <v>0</v>
      </c>
      <c r="AC373" s="60">
        <f t="shared" si="41"/>
        <v>0</v>
      </c>
    </row>
    <row r="374" spans="1:29">
      <c r="A374" s="83" t="str">
        <f t="shared" si="35"/>
        <v/>
      </c>
      <c r="B374" s="83" t="str">
        <f t="shared" si="36"/>
        <v/>
      </c>
      <c r="U374" s="83" t="str">
        <f t="shared" si="37"/>
        <v/>
      </c>
      <c r="V374" s="83" t="str">
        <f t="shared" si="38"/>
        <v/>
      </c>
      <c r="AA374" s="60">
        <f t="shared" si="39"/>
        <v>0</v>
      </c>
      <c r="AB374" s="49">
        <f t="shared" si="40"/>
        <v>0</v>
      </c>
      <c r="AC374" s="60">
        <f t="shared" si="41"/>
        <v>0</v>
      </c>
    </row>
    <row r="375" spans="1:29">
      <c r="A375" s="83" t="str">
        <f t="shared" si="35"/>
        <v/>
      </c>
      <c r="B375" s="83" t="str">
        <f t="shared" si="36"/>
        <v/>
      </c>
      <c r="U375" s="83" t="str">
        <f t="shared" si="37"/>
        <v/>
      </c>
      <c r="V375" s="83" t="str">
        <f t="shared" si="38"/>
        <v/>
      </c>
      <c r="AA375" s="60">
        <f t="shared" si="39"/>
        <v>0</v>
      </c>
      <c r="AB375" s="49">
        <f t="shared" si="40"/>
        <v>0</v>
      </c>
      <c r="AC375" s="60">
        <f t="shared" si="41"/>
        <v>0</v>
      </c>
    </row>
    <row r="376" spans="1:29">
      <c r="A376" s="83" t="str">
        <f t="shared" si="35"/>
        <v/>
      </c>
      <c r="B376" s="83" t="str">
        <f t="shared" si="36"/>
        <v/>
      </c>
      <c r="U376" s="83" t="str">
        <f t="shared" si="37"/>
        <v/>
      </c>
      <c r="V376" s="83" t="str">
        <f t="shared" si="38"/>
        <v/>
      </c>
      <c r="AA376" s="60">
        <f t="shared" si="39"/>
        <v>0</v>
      </c>
      <c r="AB376" s="49">
        <f t="shared" si="40"/>
        <v>0</v>
      </c>
      <c r="AC376" s="60">
        <f t="shared" si="41"/>
        <v>0</v>
      </c>
    </row>
    <row r="377" spans="1:29">
      <c r="A377" s="83" t="str">
        <f t="shared" si="35"/>
        <v/>
      </c>
      <c r="B377" s="83" t="str">
        <f t="shared" si="36"/>
        <v/>
      </c>
      <c r="U377" s="83" t="str">
        <f t="shared" si="37"/>
        <v/>
      </c>
      <c r="V377" s="83" t="str">
        <f t="shared" si="38"/>
        <v/>
      </c>
      <c r="AA377" s="60">
        <f t="shared" si="39"/>
        <v>0</v>
      </c>
      <c r="AB377" s="49">
        <f t="shared" si="40"/>
        <v>0</v>
      </c>
      <c r="AC377" s="60">
        <f t="shared" si="41"/>
        <v>0</v>
      </c>
    </row>
    <row r="378" spans="1:29">
      <c r="A378" s="83" t="str">
        <f t="shared" si="35"/>
        <v/>
      </c>
      <c r="B378" s="83" t="str">
        <f t="shared" si="36"/>
        <v/>
      </c>
      <c r="U378" s="83" t="str">
        <f t="shared" si="37"/>
        <v/>
      </c>
      <c r="V378" s="83" t="str">
        <f t="shared" si="38"/>
        <v/>
      </c>
      <c r="AA378" s="60">
        <f t="shared" si="39"/>
        <v>0</v>
      </c>
      <c r="AB378" s="49">
        <f t="shared" si="40"/>
        <v>0</v>
      </c>
      <c r="AC378" s="60">
        <f t="shared" si="41"/>
        <v>0</v>
      </c>
    </row>
    <row r="379" spans="1:29">
      <c r="A379" s="83" t="str">
        <f t="shared" si="35"/>
        <v/>
      </c>
      <c r="B379" s="83" t="str">
        <f t="shared" si="36"/>
        <v/>
      </c>
      <c r="U379" s="83" t="str">
        <f t="shared" si="37"/>
        <v/>
      </c>
      <c r="V379" s="83" t="str">
        <f t="shared" si="38"/>
        <v/>
      </c>
      <c r="AA379" s="60">
        <f t="shared" si="39"/>
        <v>0</v>
      </c>
      <c r="AB379" s="49">
        <f t="shared" si="40"/>
        <v>0</v>
      </c>
      <c r="AC379" s="60">
        <f t="shared" si="41"/>
        <v>0</v>
      </c>
    </row>
    <row r="380" spans="1:29">
      <c r="A380" s="83" t="str">
        <f t="shared" si="35"/>
        <v/>
      </c>
      <c r="B380" s="83" t="str">
        <f t="shared" si="36"/>
        <v/>
      </c>
      <c r="U380" s="83" t="str">
        <f t="shared" si="37"/>
        <v/>
      </c>
      <c r="V380" s="83" t="str">
        <f t="shared" si="38"/>
        <v/>
      </c>
      <c r="AA380" s="60">
        <f t="shared" si="39"/>
        <v>0</v>
      </c>
      <c r="AB380" s="49">
        <f t="shared" si="40"/>
        <v>0</v>
      </c>
      <c r="AC380" s="60">
        <f t="shared" si="41"/>
        <v>0</v>
      </c>
    </row>
    <row r="381" spans="1:29">
      <c r="A381" s="83" t="str">
        <f t="shared" si="35"/>
        <v/>
      </c>
      <c r="B381" s="83" t="str">
        <f t="shared" si="36"/>
        <v/>
      </c>
      <c r="U381" s="83" t="str">
        <f t="shared" si="37"/>
        <v/>
      </c>
      <c r="V381" s="83" t="str">
        <f t="shared" si="38"/>
        <v/>
      </c>
      <c r="AA381" s="60">
        <f t="shared" si="39"/>
        <v>0</v>
      </c>
      <c r="AB381" s="49">
        <f t="shared" si="40"/>
        <v>0</v>
      </c>
      <c r="AC381" s="60">
        <f t="shared" si="41"/>
        <v>0</v>
      </c>
    </row>
    <row r="382" spans="1:29">
      <c r="A382" s="83" t="str">
        <f t="shared" si="35"/>
        <v/>
      </c>
      <c r="B382" s="83" t="str">
        <f t="shared" si="36"/>
        <v/>
      </c>
      <c r="U382" s="83" t="str">
        <f t="shared" si="37"/>
        <v/>
      </c>
      <c r="V382" s="83" t="str">
        <f t="shared" si="38"/>
        <v/>
      </c>
      <c r="AA382" s="60">
        <f t="shared" si="39"/>
        <v>0</v>
      </c>
      <c r="AB382" s="49">
        <f t="shared" si="40"/>
        <v>0</v>
      </c>
      <c r="AC382" s="60">
        <f t="shared" si="41"/>
        <v>0</v>
      </c>
    </row>
    <row r="383" spans="1:29">
      <c r="A383" s="83" t="str">
        <f t="shared" si="35"/>
        <v/>
      </c>
      <c r="B383" s="83" t="str">
        <f t="shared" si="36"/>
        <v/>
      </c>
      <c r="U383" s="83" t="str">
        <f t="shared" si="37"/>
        <v/>
      </c>
      <c r="V383" s="83" t="str">
        <f t="shared" si="38"/>
        <v/>
      </c>
      <c r="AA383" s="60">
        <f t="shared" si="39"/>
        <v>0</v>
      </c>
      <c r="AB383" s="49">
        <f t="shared" si="40"/>
        <v>0</v>
      </c>
      <c r="AC383" s="60">
        <f t="shared" si="41"/>
        <v>0</v>
      </c>
    </row>
    <row r="384" spans="1:29">
      <c r="A384" s="83" t="str">
        <f t="shared" si="35"/>
        <v/>
      </c>
      <c r="B384" s="83" t="str">
        <f t="shared" si="36"/>
        <v/>
      </c>
      <c r="U384" s="83" t="str">
        <f t="shared" si="37"/>
        <v/>
      </c>
      <c r="V384" s="83" t="str">
        <f t="shared" si="38"/>
        <v/>
      </c>
      <c r="AA384" s="60">
        <f t="shared" si="39"/>
        <v>0</v>
      </c>
      <c r="AB384" s="49">
        <f t="shared" si="40"/>
        <v>0</v>
      </c>
      <c r="AC384" s="60">
        <f t="shared" si="41"/>
        <v>0</v>
      </c>
    </row>
    <row r="385" spans="1:29">
      <c r="A385" s="83" t="str">
        <f t="shared" si="35"/>
        <v/>
      </c>
      <c r="B385" s="83" t="str">
        <f t="shared" si="36"/>
        <v/>
      </c>
      <c r="U385" s="83" t="str">
        <f t="shared" si="37"/>
        <v/>
      </c>
      <c r="V385" s="83" t="str">
        <f t="shared" si="38"/>
        <v/>
      </c>
      <c r="AA385" s="60">
        <f t="shared" si="39"/>
        <v>0</v>
      </c>
      <c r="AB385" s="49">
        <f t="shared" si="40"/>
        <v>0</v>
      </c>
      <c r="AC385" s="60">
        <f t="shared" si="41"/>
        <v>0</v>
      </c>
    </row>
    <row r="386" spans="1:29">
      <c r="A386" s="83" t="str">
        <f t="shared" si="35"/>
        <v/>
      </c>
      <c r="B386" s="83" t="str">
        <f t="shared" si="36"/>
        <v/>
      </c>
      <c r="U386" s="83" t="str">
        <f t="shared" si="37"/>
        <v/>
      </c>
      <c r="V386" s="83" t="str">
        <f t="shared" si="38"/>
        <v/>
      </c>
      <c r="AA386" s="60">
        <f t="shared" si="39"/>
        <v>0</v>
      </c>
      <c r="AB386" s="49">
        <f t="shared" si="40"/>
        <v>0</v>
      </c>
      <c r="AC386" s="60">
        <f t="shared" si="41"/>
        <v>0</v>
      </c>
    </row>
    <row r="387" spans="1:29">
      <c r="A387" s="83" t="str">
        <f t="shared" ref="A387:A450" si="42">IF(G387&amp;Q387&lt;&gt;"",U387&amp;Q387,"")</f>
        <v/>
      </c>
      <c r="B387" s="83" t="str">
        <f t="shared" ref="B387:B450" si="43">IF(C387&lt;&gt;"",LEFT(C387,9),"")</f>
        <v/>
      </c>
      <c r="U387" s="83" t="str">
        <f t="shared" ref="U387:U450" si="44">IF(G387&lt;&gt;"",IF(StyleSpaceSplit,IFERROR(IF(FIND(" ",G387)&gt;=1,MID(G387,1,FIND(" ",G387)-1),G387),G387),G387),"")</f>
        <v/>
      </c>
      <c r="V387" s="83" t="str">
        <f t="shared" ref="V387:V450" si="45">IF(A387&lt;&gt;"",IFERROR(IF(FIND(" ",G387)&gt;=1,MID(G387,FIND(" ",G387)+1,LEN(G387)),""),G387),"")</f>
        <v/>
      </c>
      <c r="AA387" s="60">
        <f t="shared" ref="AA387:AA450" si="46">IFERROR(VALUE(MID($C387,1,2)),0)</f>
        <v>0</v>
      </c>
      <c r="AB387" s="49">
        <f t="shared" ref="AB387:AB450" si="47">IFERROR(VALUE(MID($C387,4,3)),0)</f>
        <v>0</v>
      </c>
      <c r="AC387" s="60">
        <f t="shared" ref="AC387:AC450" si="48">VALUE(RIGHT("00"&amp;AA387,2)&amp;RIGHT("000"&amp;AB387,3))</f>
        <v>0</v>
      </c>
    </row>
    <row r="388" spans="1:29">
      <c r="A388" s="83" t="str">
        <f t="shared" si="42"/>
        <v/>
      </c>
      <c r="B388" s="83" t="str">
        <f t="shared" si="43"/>
        <v/>
      </c>
      <c r="U388" s="83" t="str">
        <f t="shared" si="44"/>
        <v/>
      </c>
      <c r="V388" s="83" t="str">
        <f t="shared" si="45"/>
        <v/>
      </c>
      <c r="AA388" s="60">
        <f t="shared" si="46"/>
        <v>0</v>
      </c>
      <c r="AB388" s="49">
        <f t="shared" si="47"/>
        <v>0</v>
      </c>
      <c r="AC388" s="60">
        <f t="shared" si="48"/>
        <v>0</v>
      </c>
    </row>
    <row r="389" spans="1:29">
      <c r="A389" s="83" t="str">
        <f t="shared" si="42"/>
        <v/>
      </c>
      <c r="B389" s="83" t="str">
        <f t="shared" si="43"/>
        <v/>
      </c>
      <c r="U389" s="83" t="str">
        <f t="shared" si="44"/>
        <v/>
      </c>
      <c r="V389" s="83" t="str">
        <f t="shared" si="45"/>
        <v/>
      </c>
      <c r="AA389" s="60">
        <f t="shared" si="46"/>
        <v>0</v>
      </c>
      <c r="AB389" s="49">
        <f t="shared" si="47"/>
        <v>0</v>
      </c>
      <c r="AC389" s="60">
        <f t="shared" si="48"/>
        <v>0</v>
      </c>
    </row>
    <row r="390" spans="1:29">
      <c r="A390" s="83" t="str">
        <f t="shared" si="42"/>
        <v/>
      </c>
      <c r="B390" s="83" t="str">
        <f t="shared" si="43"/>
        <v/>
      </c>
      <c r="U390" s="83" t="str">
        <f t="shared" si="44"/>
        <v/>
      </c>
      <c r="V390" s="83" t="str">
        <f t="shared" si="45"/>
        <v/>
      </c>
      <c r="AA390" s="60">
        <f t="shared" si="46"/>
        <v>0</v>
      </c>
      <c r="AB390" s="49">
        <f t="shared" si="47"/>
        <v>0</v>
      </c>
      <c r="AC390" s="60">
        <f t="shared" si="48"/>
        <v>0</v>
      </c>
    </row>
    <row r="391" spans="1:29">
      <c r="A391" s="83" t="str">
        <f t="shared" si="42"/>
        <v/>
      </c>
      <c r="B391" s="83" t="str">
        <f t="shared" si="43"/>
        <v/>
      </c>
      <c r="U391" s="83" t="str">
        <f t="shared" si="44"/>
        <v/>
      </c>
      <c r="V391" s="83" t="str">
        <f t="shared" si="45"/>
        <v/>
      </c>
      <c r="AA391" s="60">
        <f t="shared" si="46"/>
        <v>0</v>
      </c>
      <c r="AB391" s="49">
        <f t="shared" si="47"/>
        <v>0</v>
      </c>
      <c r="AC391" s="60">
        <f t="shared" si="48"/>
        <v>0</v>
      </c>
    </row>
    <row r="392" spans="1:29">
      <c r="A392" s="83" t="str">
        <f t="shared" si="42"/>
        <v/>
      </c>
      <c r="B392" s="83" t="str">
        <f t="shared" si="43"/>
        <v/>
      </c>
      <c r="U392" s="83" t="str">
        <f t="shared" si="44"/>
        <v/>
      </c>
      <c r="V392" s="83" t="str">
        <f t="shared" si="45"/>
        <v/>
      </c>
      <c r="AA392" s="60">
        <f t="shared" si="46"/>
        <v>0</v>
      </c>
      <c r="AB392" s="49">
        <f t="shared" si="47"/>
        <v>0</v>
      </c>
      <c r="AC392" s="60">
        <f t="shared" si="48"/>
        <v>0</v>
      </c>
    </row>
    <row r="393" spans="1:29">
      <c r="A393" s="83" t="str">
        <f t="shared" si="42"/>
        <v/>
      </c>
      <c r="B393" s="83" t="str">
        <f t="shared" si="43"/>
        <v/>
      </c>
      <c r="U393" s="83" t="str">
        <f t="shared" si="44"/>
        <v/>
      </c>
      <c r="V393" s="83" t="str">
        <f t="shared" si="45"/>
        <v/>
      </c>
      <c r="AA393" s="60">
        <f t="shared" si="46"/>
        <v>0</v>
      </c>
      <c r="AB393" s="49">
        <f t="shared" si="47"/>
        <v>0</v>
      </c>
      <c r="AC393" s="60">
        <f t="shared" si="48"/>
        <v>0</v>
      </c>
    </row>
    <row r="394" spans="1:29">
      <c r="A394" s="83" t="str">
        <f t="shared" si="42"/>
        <v/>
      </c>
      <c r="B394" s="83" t="str">
        <f t="shared" si="43"/>
        <v/>
      </c>
      <c r="U394" s="83" t="str">
        <f t="shared" si="44"/>
        <v/>
      </c>
      <c r="V394" s="83" t="str">
        <f t="shared" si="45"/>
        <v/>
      </c>
      <c r="AA394" s="60">
        <f t="shared" si="46"/>
        <v>0</v>
      </c>
      <c r="AB394" s="49">
        <f t="shared" si="47"/>
        <v>0</v>
      </c>
      <c r="AC394" s="60">
        <f t="shared" si="48"/>
        <v>0</v>
      </c>
    </row>
    <row r="395" spans="1:29">
      <c r="A395" s="83" t="str">
        <f t="shared" si="42"/>
        <v/>
      </c>
      <c r="B395" s="83" t="str">
        <f t="shared" si="43"/>
        <v/>
      </c>
      <c r="U395" s="83" t="str">
        <f t="shared" si="44"/>
        <v/>
      </c>
      <c r="V395" s="83" t="str">
        <f t="shared" si="45"/>
        <v/>
      </c>
      <c r="AA395" s="60">
        <f t="shared" si="46"/>
        <v>0</v>
      </c>
      <c r="AB395" s="49">
        <f t="shared" si="47"/>
        <v>0</v>
      </c>
      <c r="AC395" s="60">
        <f t="shared" si="48"/>
        <v>0</v>
      </c>
    </row>
    <row r="396" spans="1:29">
      <c r="A396" s="83" t="str">
        <f t="shared" si="42"/>
        <v/>
      </c>
      <c r="B396" s="83" t="str">
        <f t="shared" si="43"/>
        <v/>
      </c>
      <c r="U396" s="83" t="str">
        <f t="shared" si="44"/>
        <v/>
      </c>
      <c r="V396" s="83" t="str">
        <f t="shared" si="45"/>
        <v/>
      </c>
      <c r="AA396" s="60">
        <f t="shared" si="46"/>
        <v>0</v>
      </c>
      <c r="AB396" s="49">
        <f t="shared" si="47"/>
        <v>0</v>
      </c>
      <c r="AC396" s="60">
        <f t="shared" si="48"/>
        <v>0</v>
      </c>
    </row>
    <row r="397" spans="1:29">
      <c r="A397" s="83" t="str">
        <f t="shared" si="42"/>
        <v/>
      </c>
      <c r="B397" s="83" t="str">
        <f t="shared" si="43"/>
        <v/>
      </c>
      <c r="U397" s="83" t="str">
        <f t="shared" si="44"/>
        <v/>
      </c>
      <c r="V397" s="83" t="str">
        <f t="shared" si="45"/>
        <v/>
      </c>
      <c r="AA397" s="60">
        <f t="shared" si="46"/>
        <v>0</v>
      </c>
      <c r="AB397" s="49">
        <f t="shared" si="47"/>
        <v>0</v>
      </c>
      <c r="AC397" s="60">
        <f t="shared" si="48"/>
        <v>0</v>
      </c>
    </row>
    <row r="398" spans="1:29">
      <c r="A398" s="83" t="str">
        <f t="shared" si="42"/>
        <v/>
      </c>
      <c r="B398" s="83" t="str">
        <f t="shared" si="43"/>
        <v/>
      </c>
      <c r="U398" s="83" t="str">
        <f t="shared" si="44"/>
        <v/>
      </c>
      <c r="V398" s="83" t="str">
        <f t="shared" si="45"/>
        <v/>
      </c>
      <c r="AA398" s="60">
        <f t="shared" si="46"/>
        <v>0</v>
      </c>
      <c r="AB398" s="49">
        <f t="shared" si="47"/>
        <v>0</v>
      </c>
      <c r="AC398" s="60">
        <f t="shared" si="48"/>
        <v>0</v>
      </c>
    </row>
    <row r="399" spans="1:29">
      <c r="A399" s="83" t="str">
        <f t="shared" si="42"/>
        <v/>
      </c>
      <c r="B399" s="83" t="str">
        <f t="shared" si="43"/>
        <v/>
      </c>
      <c r="U399" s="83" t="str">
        <f t="shared" si="44"/>
        <v/>
      </c>
      <c r="V399" s="83" t="str">
        <f t="shared" si="45"/>
        <v/>
      </c>
      <c r="AA399" s="60">
        <f t="shared" si="46"/>
        <v>0</v>
      </c>
      <c r="AB399" s="49">
        <f t="shared" si="47"/>
        <v>0</v>
      </c>
      <c r="AC399" s="60">
        <f t="shared" si="48"/>
        <v>0</v>
      </c>
    </row>
    <row r="400" spans="1:29">
      <c r="A400" s="83" t="str">
        <f t="shared" si="42"/>
        <v/>
      </c>
      <c r="B400" s="83" t="str">
        <f t="shared" si="43"/>
        <v/>
      </c>
      <c r="U400" s="83" t="str">
        <f t="shared" si="44"/>
        <v/>
      </c>
      <c r="V400" s="83" t="str">
        <f t="shared" si="45"/>
        <v/>
      </c>
      <c r="AA400" s="60">
        <f t="shared" si="46"/>
        <v>0</v>
      </c>
      <c r="AB400" s="49">
        <f t="shared" si="47"/>
        <v>0</v>
      </c>
      <c r="AC400" s="60">
        <f t="shared" si="48"/>
        <v>0</v>
      </c>
    </row>
    <row r="401" spans="1:29">
      <c r="A401" s="83" t="str">
        <f t="shared" si="42"/>
        <v/>
      </c>
      <c r="B401" s="83" t="str">
        <f t="shared" si="43"/>
        <v/>
      </c>
      <c r="U401" s="83" t="str">
        <f t="shared" si="44"/>
        <v/>
      </c>
      <c r="V401" s="83" t="str">
        <f t="shared" si="45"/>
        <v/>
      </c>
      <c r="AA401" s="60">
        <f t="shared" si="46"/>
        <v>0</v>
      </c>
      <c r="AB401" s="49">
        <f t="shared" si="47"/>
        <v>0</v>
      </c>
      <c r="AC401" s="60">
        <f t="shared" si="48"/>
        <v>0</v>
      </c>
    </row>
    <row r="402" spans="1:29">
      <c r="A402" s="83" t="str">
        <f t="shared" si="42"/>
        <v/>
      </c>
      <c r="B402" s="83" t="str">
        <f t="shared" si="43"/>
        <v/>
      </c>
      <c r="U402" s="83" t="str">
        <f t="shared" si="44"/>
        <v/>
      </c>
      <c r="V402" s="83" t="str">
        <f t="shared" si="45"/>
        <v/>
      </c>
      <c r="AA402" s="60">
        <f t="shared" si="46"/>
        <v>0</v>
      </c>
      <c r="AB402" s="49">
        <f t="shared" si="47"/>
        <v>0</v>
      </c>
      <c r="AC402" s="60">
        <f t="shared" si="48"/>
        <v>0</v>
      </c>
    </row>
    <row r="403" spans="1:29">
      <c r="A403" s="83" t="str">
        <f t="shared" si="42"/>
        <v/>
      </c>
      <c r="B403" s="83" t="str">
        <f t="shared" si="43"/>
        <v/>
      </c>
      <c r="U403" s="83" t="str">
        <f t="shared" si="44"/>
        <v/>
      </c>
      <c r="V403" s="83" t="str">
        <f t="shared" si="45"/>
        <v/>
      </c>
      <c r="AA403" s="60">
        <f t="shared" si="46"/>
        <v>0</v>
      </c>
      <c r="AB403" s="49">
        <f t="shared" si="47"/>
        <v>0</v>
      </c>
      <c r="AC403" s="60">
        <f t="shared" si="48"/>
        <v>0</v>
      </c>
    </row>
    <row r="404" spans="1:29">
      <c r="A404" s="83" t="str">
        <f t="shared" si="42"/>
        <v/>
      </c>
      <c r="B404" s="83" t="str">
        <f t="shared" si="43"/>
        <v/>
      </c>
      <c r="U404" s="83" t="str">
        <f t="shared" si="44"/>
        <v/>
      </c>
      <c r="V404" s="83" t="str">
        <f t="shared" si="45"/>
        <v/>
      </c>
      <c r="AA404" s="60">
        <f t="shared" si="46"/>
        <v>0</v>
      </c>
      <c r="AB404" s="49">
        <f t="shared" si="47"/>
        <v>0</v>
      </c>
      <c r="AC404" s="60">
        <f t="shared" si="48"/>
        <v>0</v>
      </c>
    </row>
    <row r="405" spans="1:29">
      <c r="A405" s="83" t="str">
        <f t="shared" si="42"/>
        <v/>
      </c>
      <c r="B405" s="83" t="str">
        <f t="shared" si="43"/>
        <v/>
      </c>
      <c r="U405" s="83" t="str">
        <f t="shared" si="44"/>
        <v/>
      </c>
      <c r="V405" s="83" t="str">
        <f t="shared" si="45"/>
        <v/>
      </c>
      <c r="AA405" s="60">
        <f t="shared" si="46"/>
        <v>0</v>
      </c>
      <c r="AB405" s="49">
        <f t="shared" si="47"/>
        <v>0</v>
      </c>
      <c r="AC405" s="60">
        <f t="shared" si="48"/>
        <v>0</v>
      </c>
    </row>
    <row r="406" spans="1:29">
      <c r="A406" s="83" t="str">
        <f t="shared" si="42"/>
        <v/>
      </c>
      <c r="B406" s="83" t="str">
        <f t="shared" si="43"/>
        <v/>
      </c>
      <c r="U406" s="83" t="str">
        <f t="shared" si="44"/>
        <v/>
      </c>
      <c r="V406" s="83" t="str">
        <f t="shared" si="45"/>
        <v/>
      </c>
      <c r="AA406" s="60">
        <f t="shared" si="46"/>
        <v>0</v>
      </c>
      <c r="AB406" s="49">
        <f t="shared" si="47"/>
        <v>0</v>
      </c>
      <c r="AC406" s="60">
        <f t="shared" si="48"/>
        <v>0</v>
      </c>
    </row>
    <row r="407" spans="1:29">
      <c r="A407" s="83" t="str">
        <f t="shared" si="42"/>
        <v/>
      </c>
      <c r="B407" s="83" t="str">
        <f t="shared" si="43"/>
        <v/>
      </c>
      <c r="U407" s="83" t="str">
        <f t="shared" si="44"/>
        <v/>
      </c>
      <c r="V407" s="83" t="str">
        <f t="shared" si="45"/>
        <v/>
      </c>
      <c r="AA407" s="60">
        <f t="shared" si="46"/>
        <v>0</v>
      </c>
      <c r="AB407" s="49">
        <f t="shared" si="47"/>
        <v>0</v>
      </c>
      <c r="AC407" s="60">
        <f t="shared" si="48"/>
        <v>0</v>
      </c>
    </row>
    <row r="408" spans="1:29">
      <c r="A408" s="83" t="str">
        <f t="shared" si="42"/>
        <v/>
      </c>
      <c r="B408" s="83" t="str">
        <f t="shared" si="43"/>
        <v/>
      </c>
      <c r="U408" s="83" t="str">
        <f t="shared" si="44"/>
        <v/>
      </c>
      <c r="V408" s="83" t="str">
        <f t="shared" si="45"/>
        <v/>
      </c>
      <c r="AA408" s="60">
        <f t="shared" si="46"/>
        <v>0</v>
      </c>
      <c r="AB408" s="49">
        <f t="shared" si="47"/>
        <v>0</v>
      </c>
      <c r="AC408" s="60">
        <f t="shared" si="48"/>
        <v>0</v>
      </c>
    </row>
    <row r="409" spans="1:29">
      <c r="A409" s="83" t="str">
        <f t="shared" si="42"/>
        <v/>
      </c>
      <c r="B409" s="83" t="str">
        <f t="shared" si="43"/>
        <v/>
      </c>
      <c r="U409" s="83" t="str">
        <f t="shared" si="44"/>
        <v/>
      </c>
      <c r="V409" s="83" t="str">
        <f t="shared" si="45"/>
        <v/>
      </c>
      <c r="AA409" s="60">
        <f t="shared" si="46"/>
        <v>0</v>
      </c>
      <c r="AB409" s="49">
        <f t="shared" si="47"/>
        <v>0</v>
      </c>
      <c r="AC409" s="60">
        <f t="shared" si="48"/>
        <v>0</v>
      </c>
    </row>
    <row r="410" spans="1:29">
      <c r="A410" s="83" t="str">
        <f t="shared" si="42"/>
        <v/>
      </c>
      <c r="B410" s="83" t="str">
        <f t="shared" si="43"/>
        <v/>
      </c>
      <c r="U410" s="83" t="str">
        <f t="shared" si="44"/>
        <v/>
      </c>
      <c r="V410" s="83" t="str">
        <f t="shared" si="45"/>
        <v/>
      </c>
      <c r="AA410" s="60">
        <f t="shared" si="46"/>
        <v>0</v>
      </c>
      <c r="AB410" s="49">
        <f t="shared" si="47"/>
        <v>0</v>
      </c>
      <c r="AC410" s="60">
        <f t="shared" si="48"/>
        <v>0</v>
      </c>
    </row>
    <row r="411" spans="1:29">
      <c r="A411" s="83" t="str">
        <f t="shared" si="42"/>
        <v/>
      </c>
      <c r="B411" s="83" t="str">
        <f t="shared" si="43"/>
        <v/>
      </c>
      <c r="U411" s="83" t="str">
        <f t="shared" si="44"/>
        <v/>
      </c>
      <c r="V411" s="83" t="str">
        <f t="shared" si="45"/>
        <v/>
      </c>
      <c r="AA411" s="60">
        <f t="shared" si="46"/>
        <v>0</v>
      </c>
      <c r="AB411" s="49">
        <f t="shared" si="47"/>
        <v>0</v>
      </c>
      <c r="AC411" s="60">
        <f t="shared" si="48"/>
        <v>0</v>
      </c>
    </row>
    <row r="412" spans="1:29">
      <c r="A412" s="83" t="str">
        <f t="shared" si="42"/>
        <v/>
      </c>
      <c r="B412" s="83" t="str">
        <f t="shared" si="43"/>
        <v/>
      </c>
      <c r="U412" s="83" t="str">
        <f t="shared" si="44"/>
        <v/>
      </c>
      <c r="V412" s="83" t="str">
        <f t="shared" si="45"/>
        <v/>
      </c>
      <c r="AA412" s="60">
        <f t="shared" si="46"/>
        <v>0</v>
      </c>
      <c r="AB412" s="49">
        <f t="shared" si="47"/>
        <v>0</v>
      </c>
      <c r="AC412" s="60">
        <f t="shared" si="48"/>
        <v>0</v>
      </c>
    </row>
    <row r="413" spans="1:29">
      <c r="A413" s="83" t="str">
        <f t="shared" si="42"/>
        <v/>
      </c>
      <c r="B413" s="83" t="str">
        <f t="shared" si="43"/>
        <v/>
      </c>
      <c r="U413" s="83" t="str">
        <f t="shared" si="44"/>
        <v/>
      </c>
      <c r="V413" s="83" t="str">
        <f t="shared" si="45"/>
        <v/>
      </c>
      <c r="AA413" s="60">
        <f t="shared" si="46"/>
        <v>0</v>
      </c>
      <c r="AB413" s="49">
        <f t="shared" si="47"/>
        <v>0</v>
      </c>
      <c r="AC413" s="60">
        <f t="shared" si="48"/>
        <v>0</v>
      </c>
    </row>
    <row r="414" spans="1:29">
      <c r="A414" s="83" t="str">
        <f t="shared" si="42"/>
        <v/>
      </c>
      <c r="B414" s="83" t="str">
        <f t="shared" si="43"/>
        <v/>
      </c>
      <c r="U414" s="83" t="str">
        <f t="shared" si="44"/>
        <v/>
      </c>
      <c r="V414" s="83" t="str">
        <f t="shared" si="45"/>
        <v/>
      </c>
      <c r="AA414" s="60">
        <f t="shared" si="46"/>
        <v>0</v>
      </c>
      <c r="AB414" s="49">
        <f t="shared" si="47"/>
        <v>0</v>
      </c>
      <c r="AC414" s="60">
        <f t="shared" si="48"/>
        <v>0</v>
      </c>
    </row>
    <row r="415" spans="1:29">
      <c r="A415" s="83" t="str">
        <f t="shared" si="42"/>
        <v/>
      </c>
      <c r="B415" s="83" t="str">
        <f t="shared" si="43"/>
        <v/>
      </c>
      <c r="U415" s="83" t="str">
        <f t="shared" si="44"/>
        <v/>
      </c>
      <c r="V415" s="83" t="str">
        <f t="shared" si="45"/>
        <v/>
      </c>
      <c r="AA415" s="60">
        <f t="shared" si="46"/>
        <v>0</v>
      </c>
      <c r="AB415" s="49">
        <f t="shared" si="47"/>
        <v>0</v>
      </c>
      <c r="AC415" s="60">
        <f t="shared" si="48"/>
        <v>0</v>
      </c>
    </row>
    <row r="416" spans="1:29">
      <c r="A416" s="83" t="str">
        <f t="shared" si="42"/>
        <v/>
      </c>
      <c r="B416" s="83" t="str">
        <f t="shared" si="43"/>
        <v/>
      </c>
      <c r="U416" s="83" t="str">
        <f t="shared" si="44"/>
        <v/>
      </c>
      <c r="V416" s="83" t="str">
        <f t="shared" si="45"/>
        <v/>
      </c>
      <c r="AA416" s="60">
        <f t="shared" si="46"/>
        <v>0</v>
      </c>
      <c r="AB416" s="49">
        <f t="shared" si="47"/>
        <v>0</v>
      </c>
      <c r="AC416" s="60">
        <f t="shared" si="48"/>
        <v>0</v>
      </c>
    </row>
    <row r="417" spans="1:29">
      <c r="A417" s="83" t="str">
        <f t="shared" si="42"/>
        <v/>
      </c>
      <c r="B417" s="83" t="str">
        <f t="shared" si="43"/>
        <v/>
      </c>
      <c r="U417" s="83" t="str">
        <f t="shared" si="44"/>
        <v/>
      </c>
      <c r="V417" s="83" t="str">
        <f t="shared" si="45"/>
        <v/>
      </c>
      <c r="AA417" s="60">
        <f t="shared" si="46"/>
        <v>0</v>
      </c>
      <c r="AB417" s="49">
        <f t="shared" si="47"/>
        <v>0</v>
      </c>
      <c r="AC417" s="60">
        <f t="shared" si="48"/>
        <v>0</v>
      </c>
    </row>
    <row r="418" spans="1:29">
      <c r="A418" s="83" t="str">
        <f t="shared" si="42"/>
        <v/>
      </c>
      <c r="B418" s="83" t="str">
        <f t="shared" si="43"/>
        <v/>
      </c>
      <c r="U418" s="83" t="str">
        <f t="shared" si="44"/>
        <v/>
      </c>
      <c r="V418" s="83" t="str">
        <f t="shared" si="45"/>
        <v/>
      </c>
      <c r="AA418" s="60">
        <f t="shared" si="46"/>
        <v>0</v>
      </c>
      <c r="AB418" s="49">
        <f t="shared" si="47"/>
        <v>0</v>
      </c>
      <c r="AC418" s="60">
        <f t="shared" si="48"/>
        <v>0</v>
      </c>
    </row>
    <row r="419" spans="1:29">
      <c r="A419" s="83" t="str">
        <f t="shared" si="42"/>
        <v/>
      </c>
      <c r="B419" s="83" t="str">
        <f t="shared" si="43"/>
        <v/>
      </c>
      <c r="U419" s="83" t="str">
        <f t="shared" si="44"/>
        <v/>
      </c>
      <c r="V419" s="83" t="str">
        <f t="shared" si="45"/>
        <v/>
      </c>
      <c r="AA419" s="60">
        <f t="shared" si="46"/>
        <v>0</v>
      </c>
      <c r="AB419" s="49">
        <f t="shared" si="47"/>
        <v>0</v>
      </c>
      <c r="AC419" s="60">
        <f t="shared" si="48"/>
        <v>0</v>
      </c>
    </row>
    <row r="420" spans="1:29">
      <c r="A420" s="83" t="str">
        <f t="shared" si="42"/>
        <v/>
      </c>
      <c r="B420" s="83" t="str">
        <f t="shared" si="43"/>
        <v/>
      </c>
      <c r="U420" s="83" t="str">
        <f t="shared" si="44"/>
        <v/>
      </c>
      <c r="V420" s="83" t="str">
        <f t="shared" si="45"/>
        <v/>
      </c>
      <c r="AA420" s="60">
        <f t="shared" si="46"/>
        <v>0</v>
      </c>
      <c r="AB420" s="49">
        <f t="shared" si="47"/>
        <v>0</v>
      </c>
      <c r="AC420" s="60">
        <f t="shared" si="48"/>
        <v>0</v>
      </c>
    </row>
    <row r="421" spans="1:29">
      <c r="A421" s="83" t="str">
        <f t="shared" si="42"/>
        <v/>
      </c>
      <c r="B421" s="83" t="str">
        <f t="shared" si="43"/>
        <v/>
      </c>
      <c r="U421" s="83" t="str">
        <f t="shared" si="44"/>
        <v/>
      </c>
      <c r="V421" s="83" t="str">
        <f t="shared" si="45"/>
        <v/>
      </c>
      <c r="AA421" s="60">
        <f t="shared" si="46"/>
        <v>0</v>
      </c>
      <c r="AB421" s="49">
        <f t="shared" si="47"/>
        <v>0</v>
      </c>
      <c r="AC421" s="60">
        <f t="shared" si="48"/>
        <v>0</v>
      </c>
    </row>
    <row r="422" spans="1:29">
      <c r="A422" s="83" t="str">
        <f t="shared" si="42"/>
        <v/>
      </c>
      <c r="B422" s="83" t="str">
        <f t="shared" si="43"/>
        <v/>
      </c>
      <c r="U422" s="83" t="str">
        <f t="shared" si="44"/>
        <v/>
      </c>
      <c r="V422" s="83" t="str">
        <f t="shared" si="45"/>
        <v/>
      </c>
      <c r="AA422" s="60">
        <f t="shared" si="46"/>
        <v>0</v>
      </c>
      <c r="AB422" s="49">
        <f t="shared" si="47"/>
        <v>0</v>
      </c>
      <c r="AC422" s="60">
        <f t="shared" si="48"/>
        <v>0</v>
      </c>
    </row>
    <row r="423" spans="1:29">
      <c r="A423" s="83" t="str">
        <f t="shared" si="42"/>
        <v/>
      </c>
      <c r="B423" s="83" t="str">
        <f t="shared" si="43"/>
        <v/>
      </c>
      <c r="U423" s="83" t="str">
        <f t="shared" si="44"/>
        <v/>
      </c>
      <c r="V423" s="83" t="str">
        <f t="shared" si="45"/>
        <v/>
      </c>
      <c r="AA423" s="60">
        <f t="shared" si="46"/>
        <v>0</v>
      </c>
      <c r="AB423" s="49">
        <f t="shared" si="47"/>
        <v>0</v>
      </c>
      <c r="AC423" s="60">
        <f t="shared" si="48"/>
        <v>0</v>
      </c>
    </row>
    <row r="424" spans="1:29">
      <c r="A424" s="83" t="str">
        <f t="shared" si="42"/>
        <v/>
      </c>
      <c r="B424" s="83" t="str">
        <f t="shared" si="43"/>
        <v/>
      </c>
      <c r="U424" s="83" t="str">
        <f t="shared" si="44"/>
        <v/>
      </c>
      <c r="V424" s="83" t="str">
        <f t="shared" si="45"/>
        <v/>
      </c>
      <c r="AA424" s="60">
        <f t="shared" si="46"/>
        <v>0</v>
      </c>
      <c r="AB424" s="49">
        <f t="shared" si="47"/>
        <v>0</v>
      </c>
      <c r="AC424" s="60">
        <f t="shared" si="48"/>
        <v>0</v>
      </c>
    </row>
    <row r="425" spans="1:29">
      <c r="A425" s="83" t="str">
        <f t="shared" si="42"/>
        <v/>
      </c>
      <c r="B425" s="83" t="str">
        <f t="shared" si="43"/>
        <v/>
      </c>
      <c r="U425" s="83" t="str">
        <f t="shared" si="44"/>
        <v/>
      </c>
      <c r="V425" s="83" t="str">
        <f t="shared" si="45"/>
        <v/>
      </c>
      <c r="AA425" s="60">
        <f t="shared" si="46"/>
        <v>0</v>
      </c>
      <c r="AB425" s="49">
        <f t="shared" si="47"/>
        <v>0</v>
      </c>
      <c r="AC425" s="60">
        <f t="shared" si="48"/>
        <v>0</v>
      </c>
    </row>
    <row r="426" spans="1:29">
      <c r="A426" s="83" t="str">
        <f t="shared" si="42"/>
        <v/>
      </c>
      <c r="B426" s="83" t="str">
        <f t="shared" si="43"/>
        <v/>
      </c>
      <c r="U426" s="83" t="str">
        <f t="shared" si="44"/>
        <v/>
      </c>
      <c r="V426" s="83" t="str">
        <f t="shared" si="45"/>
        <v/>
      </c>
      <c r="AA426" s="60">
        <f t="shared" si="46"/>
        <v>0</v>
      </c>
      <c r="AB426" s="49">
        <f t="shared" si="47"/>
        <v>0</v>
      </c>
      <c r="AC426" s="60">
        <f t="shared" si="48"/>
        <v>0</v>
      </c>
    </row>
    <row r="427" spans="1:29">
      <c r="A427" s="83" t="str">
        <f t="shared" si="42"/>
        <v/>
      </c>
      <c r="B427" s="83" t="str">
        <f t="shared" si="43"/>
        <v/>
      </c>
      <c r="U427" s="83" t="str">
        <f t="shared" si="44"/>
        <v/>
      </c>
      <c r="V427" s="83" t="str">
        <f t="shared" si="45"/>
        <v/>
      </c>
      <c r="AA427" s="60">
        <f t="shared" si="46"/>
        <v>0</v>
      </c>
      <c r="AB427" s="49">
        <f t="shared" si="47"/>
        <v>0</v>
      </c>
      <c r="AC427" s="60">
        <f t="shared" si="48"/>
        <v>0</v>
      </c>
    </row>
    <row r="428" spans="1:29">
      <c r="A428" s="83" t="str">
        <f t="shared" si="42"/>
        <v/>
      </c>
      <c r="B428" s="83" t="str">
        <f t="shared" si="43"/>
        <v/>
      </c>
      <c r="U428" s="83" t="str">
        <f t="shared" si="44"/>
        <v/>
      </c>
      <c r="V428" s="83" t="str">
        <f t="shared" si="45"/>
        <v/>
      </c>
      <c r="AA428" s="60">
        <f t="shared" si="46"/>
        <v>0</v>
      </c>
      <c r="AB428" s="49">
        <f t="shared" si="47"/>
        <v>0</v>
      </c>
      <c r="AC428" s="60">
        <f t="shared" si="48"/>
        <v>0</v>
      </c>
    </row>
    <row r="429" spans="1:29">
      <c r="A429" s="83" t="str">
        <f t="shared" si="42"/>
        <v/>
      </c>
      <c r="B429" s="83" t="str">
        <f t="shared" si="43"/>
        <v/>
      </c>
      <c r="U429" s="83" t="str">
        <f t="shared" si="44"/>
        <v/>
      </c>
      <c r="V429" s="83" t="str">
        <f t="shared" si="45"/>
        <v/>
      </c>
      <c r="AA429" s="60">
        <f t="shared" si="46"/>
        <v>0</v>
      </c>
      <c r="AB429" s="49">
        <f t="shared" si="47"/>
        <v>0</v>
      </c>
      <c r="AC429" s="60">
        <f t="shared" si="48"/>
        <v>0</v>
      </c>
    </row>
    <row r="430" spans="1:29">
      <c r="A430" s="83" t="str">
        <f t="shared" si="42"/>
        <v/>
      </c>
      <c r="B430" s="83" t="str">
        <f t="shared" si="43"/>
        <v/>
      </c>
      <c r="U430" s="83" t="str">
        <f t="shared" si="44"/>
        <v/>
      </c>
      <c r="V430" s="83" t="str">
        <f t="shared" si="45"/>
        <v/>
      </c>
      <c r="AA430" s="60">
        <f t="shared" si="46"/>
        <v>0</v>
      </c>
      <c r="AB430" s="49">
        <f t="shared" si="47"/>
        <v>0</v>
      </c>
      <c r="AC430" s="60">
        <f t="shared" si="48"/>
        <v>0</v>
      </c>
    </row>
    <row r="431" spans="1:29">
      <c r="A431" s="83" t="str">
        <f t="shared" si="42"/>
        <v/>
      </c>
      <c r="B431" s="83" t="str">
        <f t="shared" si="43"/>
        <v/>
      </c>
      <c r="U431" s="83" t="str">
        <f t="shared" si="44"/>
        <v/>
      </c>
      <c r="V431" s="83" t="str">
        <f t="shared" si="45"/>
        <v/>
      </c>
      <c r="AA431" s="60">
        <f t="shared" si="46"/>
        <v>0</v>
      </c>
      <c r="AB431" s="49">
        <f t="shared" si="47"/>
        <v>0</v>
      </c>
      <c r="AC431" s="60">
        <f t="shared" si="48"/>
        <v>0</v>
      </c>
    </row>
    <row r="432" spans="1:29">
      <c r="A432" s="83" t="str">
        <f t="shared" si="42"/>
        <v/>
      </c>
      <c r="B432" s="83" t="str">
        <f t="shared" si="43"/>
        <v/>
      </c>
      <c r="U432" s="83" t="str">
        <f t="shared" si="44"/>
        <v/>
      </c>
      <c r="V432" s="83" t="str">
        <f t="shared" si="45"/>
        <v/>
      </c>
      <c r="AA432" s="60">
        <f t="shared" si="46"/>
        <v>0</v>
      </c>
      <c r="AB432" s="49">
        <f t="shared" si="47"/>
        <v>0</v>
      </c>
      <c r="AC432" s="60">
        <f t="shared" si="48"/>
        <v>0</v>
      </c>
    </row>
    <row r="433" spans="1:29">
      <c r="A433" s="83" t="str">
        <f t="shared" si="42"/>
        <v/>
      </c>
      <c r="B433" s="83" t="str">
        <f t="shared" si="43"/>
        <v/>
      </c>
      <c r="U433" s="83" t="str">
        <f t="shared" si="44"/>
        <v/>
      </c>
      <c r="V433" s="83" t="str">
        <f t="shared" si="45"/>
        <v/>
      </c>
      <c r="AA433" s="60">
        <f t="shared" si="46"/>
        <v>0</v>
      </c>
      <c r="AB433" s="49">
        <f t="shared" si="47"/>
        <v>0</v>
      </c>
      <c r="AC433" s="60">
        <f t="shared" si="48"/>
        <v>0</v>
      </c>
    </row>
    <row r="434" spans="1:29">
      <c r="A434" s="83" t="str">
        <f t="shared" si="42"/>
        <v/>
      </c>
      <c r="B434" s="83" t="str">
        <f t="shared" si="43"/>
        <v/>
      </c>
      <c r="U434" s="83" t="str">
        <f t="shared" si="44"/>
        <v/>
      </c>
      <c r="V434" s="83" t="str">
        <f t="shared" si="45"/>
        <v/>
      </c>
      <c r="AA434" s="60">
        <f t="shared" si="46"/>
        <v>0</v>
      </c>
      <c r="AB434" s="49">
        <f t="shared" si="47"/>
        <v>0</v>
      </c>
      <c r="AC434" s="60">
        <f t="shared" si="48"/>
        <v>0</v>
      </c>
    </row>
    <row r="435" spans="1:29">
      <c r="A435" s="83" t="str">
        <f t="shared" si="42"/>
        <v/>
      </c>
      <c r="B435" s="83" t="str">
        <f t="shared" si="43"/>
        <v/>
      </c>
      <c r="U435" s="83" t="str">
        <f t="shared" si="44"/>
        <v/>
      </c>
      <c r="V435" s="83" t="str">
        <f t="shared" si="45"/>
        <v/>
      </c>
      <c r="AA435" s="60">
        <f t="shared" si="46"/>
        <v>0</v>
      </c>
      <c r="AB435" s="49">
        <f t="shared" si="47"/>
        <v>0</v>
      </c>
      <c r="AC435" s="60">
        <f t="shared" si="48"/>
        <v>0</v>
      </c>
    </row>
    <row r="436" spans="1:29">
      <c r="A436" s="83" t="str">
        <f t="shared" si="42"/>
        <v/>
      </c>
      <c r="B436" s="83" t="str">
        <f t="shared" si="43"/>
        <v/>
      </c>
      <c r="U436" s="83" t="str">
        <f t="shared" si="44"/>
        <v/>
      </c>
      <c r="V436" s="83" t="str">
        <f t="shared" si="45"/>
        <v/>
      </c>
      <c r="AA436" s="60">
        <f t="shared" si="46"/>
        <v>0</v>
      </c>
      <c r="AB436" s="49">
        <f t="shared" si="47"/>
        <v>0</v>
      </c>
      <c r="AC436" s="60">
        <f t="shared" si="48"/>
        <v>0</v>
      </c>
    </row>
    <row r="437" spans="1:29">
      <c r="A437" s="83" t="str">
        <f t="shared" si="42"/>
        <v/>
      </c>
      <c r="B437" s="83" t="str">
        <f t="shared" si="43"/>
        <v/>
      </c>
      <c r="U437" s="83" t="str">
        <f t="shared" si="44"/>
        <v/>
      </c>
      <c r="V437" s="83" t="str">
        <f t="shared" si="45"/>
        <v/>
      </c>
      <c r="AA437" s="60">
        <f t="shared" si="46"/>
        <v>0</v>
      </c>
      <c r="AB437" s="49">
        <f t="shared" si="47"/>
        <v>0</v>
      </c>
      <c r="AC437" s="60">
        <f t="shared" si="48"/>
        <v>0</v>
      </c>
    </row>
    <row r="438" spans="1:29">
      <c r="A438" s="83" t="str">
        <f t="shared" si="42"/>
        <v/>
      </c>
      <c r="B438" s="83" t="str">
        <f t="shared" si="43"/>
        <v/>
      </c>
      <c r="U438" s="83" t="str">
        <f t="shared" si="44"/>
        <v/>
      </c>
      <c r="V438" s="83" t="str">
        <f t="shared" si="45"/>
        <v/>
      </c>
      <c r="AA438" s="60">
        <f t="shared" si="46"/>
        <v>0</v>
      </c>
      <c r="AB438" s="49">
        <f t="shared" si="47"/>
        <v>0</v>
      </c>
      <c r="AC438" s="60">
        <f t="shared" si="48"/>
        <v>0</v>
      </c>
    </row>
    <row r="439" spans="1:29">
      <c r="A439" s="83" t="str">
        <f t="shared" si="42"/>
        <v/>
      </c>
      <c r="B439" s="83" t="str">
        <f t="shared" si="43"/>
        <v/>
      </c>
      <c r="U439" s="83" t="str">
        <f t="shared" si="44"/>
        <v/>
      </c>
      <c r="V439" s="83" t="str">
        <f t="shared" si="45"/>
        <v/>
      </c>
      <c r="AA439" s="60">
        <f t="shared" si="46"/>
        <v>0</v>
      </c>
      <c r="AB439" s="49">
        <f t="shared" si="47"/>
        <v>0</v>
      </c>
      <c r="AC439" s="60">
        <f t="shared" si="48"/>
        <v>0</v>
      </c>
    </row>
    <row r="440" spans="1:29">
      <c r="A440" s="83" t="str">
        <f t="shared" si="42"/>
        <v/>
      </c>
      <c r="B440" s="83" t="str">
        <f t="shared" si="43"/>
        <v/>
      </c>
      <c r="U440" s="83" t="str">
        <f t="shared" si="44"/>
        <v/>
      </c>
      <c r="V440" s="83" t="str">
        <f t="shared" si="45"/>
        <v/>
      </c>
      <c r="AA440" s="60">
        <f t="shared" si="46"/>
        <v>0</v>
      </c>
      <c r="AB440" s="49">
        <f t="shared" si="47"/>
        <v>0</v>
      </c>
      <c r="AC440" s="60">
        <f t="shared" si="48"/>
        <v>0</v>
      </c>
    </row>
    <row r="441" spans="1:29">
      <c r="A441" s="83" t="str">
        <f t="shared" si="42"/>
        <v/>
      </c>
      <c r="B441" s="83" t="str">
        <f t="shared" si="43"/>
        <v/>
      </c>
      <c r="U441" s="83" t="str">
        <f t="shared" si="44"/>
        <v/>
      </c>
      <c r="V441" s="83" t="str">
        <f t="shared" si="45"/>
        <v/>
      </c>
      <c r="AA441" s="60">
        <f t="shared" si="46"/>
        <v>0</v>
      </c>
      <c r="AB441" s="49">
        <f t="shared" si="47"/>
        <v>0</v>
      </c>
      <c r="AC441" s="60">
        <f t="shared" si="48"/>
        <v>0</v>
      </c>
    </row>
    <row r="442" spans="1:29">
      <c r="A442" s="83" t="str">
        <f t="shared" si="42"/>
        <v/>
      </c>
      <c r="B442" s="83" t="str">
        <f t="shared" si="43"/>
        <v/>
      </c>
      <c r="U442" s="83" t="str">
        <f t="shared" si="44"/>
        <v/>
      </c>
      <c r="V442" s="83" t="str">
        <f t="shared" si="45"/>
        <v/>
      </c>
      <c r="AA442" s="60">
        <f t="shared" si="46"/>
        <v>0</v>
      </c>
      <c r="AB442" s="49">
        <f t="shared" si="47"/>
        <v>0</v>
      </c>
      <c r="AC442" s="60">
        <f t="shared" si="48"/>
        <v>0</v>
      </c>
    </row>
    <row r="443" spans="1:29">
      <c r="A443" s="83" t="str">
        <f t="shared" si="42"/>
        <v/>
      </c>
      <c r="B443" s="83" t="str">
        <f t="shared" si="43"/>
        <v/>
      </c>
      <c r="U443" s="83" t="str">
        <f t="shared" si="44"/>
        <v/>
      </c>
      <c r="V443" s="83" t="str">
        <f t="shared" si="45"/>
        <v/>
      </c>
      <c r="AA443" s="60">
        <f t="shared" si="46"/>
        <v>0</v>
      </c>
      <c r="AB443" s="49">
        <f t="shared" si="47"/>
        <v>0</v>
      </c>
      <c r="AC443" s="60">
        <f t="shared" si="48"/>
        <v>0</v>
      </c>
    </row>
    <row r="444" spans="1:29">
      <c r="A444" s="83" t="str">
        <f t="shared" si="42"/>
        <v/>
      </c>
      <c r="B444" s="83" t="str">
        <f t="shared" si="43"/>
        <v/>
      </c>
      <c r="U444" s="83" t="str">
        <f t="shared" si="44"/>
        <v/>
      </c>
      <c r="V444" s="83" t="str">
        <f t="shared" si="45"/>
        <v/>
      </c>
      <c r="AA444" s="60">
        <f t="shared" si="46"/>
        <v>0</v>
      </c>
      <c r="AB444" s="49">
        <f t="shared" si="47"/>
        <v>0</v>
      </c>
      <c r="AC444" s="60">
        <f t="shared" si="48"/>
        <v>0</v>
      </c>
    </row>
    <row r="445" spans="1:29">
      <c r="A445" s="83" t="str">
        <f t="shared" si="42"/>
        <v/>
      </c>
      <c r="B445" s="83" t="str">
        <f t="shared" si="43"/>
        <v/>
      </c>
      <c r="U445" s="83" t="str">
        <f t="shared" si="44"/>
        <v/>
      </c>
      <c r="V445" s="83" t="str">
        <f t="shared" si="45"/>
        <v/>
      </c>
      <c r="AA445" s="60">
        <f t="shared" si="46"/>
        <v>0</v>
      </c>
      <c r="AB445" s="49">
        <f t="shared" si="47"/>
        <v>0</v>
      </c>
      <c r="AC445" s="60">
        <f t="shared" si="48"/>
        <v>0</v>
      </c>
    </row>
    <row r="446" spans="1:29">
      <c r="A446" s="83" t="str">
        <f t="shared" si="42"/>
        <v/>
      </c>
      <c r="B446" s="83" t="str">
        <f t="shared" si="43"/>
        <v/>
      </c>
      <c r="U446" s="83" t="str">
        <f t="shared" si="44"/>
        <v/>
      </c>
      <c r="V446" s="83" t="str">
        <f t="shared" si="45"/>
        <v/>
      </c>
      <c r="AA446" s="60">
        <f t="shared" si="46"/>
        <v>0</v>
      </c>
      <c r="AB446" s="49">
        <f t="shared" si="47"/>
        <v>0</v>
      </c>
      <c r="AC446" s="60">
        <f t="shared" si="48"/>
        <v>0</v>
      </c>
    </row>
    <row r="447" spans="1:29">
      <c r="A447" s="83" t="str">
        <f t="shared" si="42"/>
        <v/>
      </c>
      <c r="B447" s="83" t="str">
        <f t="shared" si="43"/>
        <v/>
      </c>
      <c r="U447" s="83" t="str">
        <f t="shared" si="44"/>
        <v/>
      </c>
      <c r="V447" s="83" t="str">
        <f t="shared" si="45"/>
        <v/>
      </c>
      <c r="AA447" s="60">
        <f t="shared" si="46"/>
        <v>0</v>
      </c>
      <c r="AB447" s="49">
        <f t="shared" si="47"/>
        <v>0</v>
      </c>
      <c r="AC447" s="60">
        <f t="shared" si="48"/>
        <v>0</v>
      </c>
    </row>
    <row r="448" spans="1:29">
      <c r="A448" s="83" t="str">
        <f t="shared" si="42"/>
        <v/>
      </c>
      <c r="B448" s="83" t="str">
        <f t="shared" si="43"/>
        <v/>
      </c>
      <c r="U448" s="83" t="str">
        <f t="shared" si="44"/>
        <v/>
      </c>
      <c r="V448" s="83" t="str">
        <f t="shared" si="45"/>
        <v/>
      </c>
      <c r="AA448" s="60">
        <f t="shared" si="46"/>
        <v>0</v>
      </c>
      <c r="AB448" s="49">
        <f t="shared" si="47"/>
        <v>0</v>
      </c>
      <c r="AC448" s="60">
        <f t="shared" si="48"/>
        <v>0</v>
      </c>
    </row>
    <row r="449" spans="1:29">
      <c r="A449" s="83" t="str">
        <f t="shared" si="42"/>
        <v/>
      </c>
      <c r="B449" s="83" t="str">
        <f t="shared" si="43"/>
        <v/>
      </c>
      <c r="U449" s="83" t="str">
        <f t="shared" si="44"/>
        <v/>
      </c>
      <c r="V449" s="83" t="str">
        <f t="shared" si="45"/>
        <v/>
      </c>
      <c r="AA449" s="60">
        <f t="shared" si="46"/>
        <v>0</v>
      </c>
      <c r="AB449" s="49">
        <f t="shared" si="47"/>
        <v>0</v>
      </c>
      <c r="AC449" s="60">
        <f t="shared" si="48"/>
        <v>0</v>
      </c>
    </row>
    <row r="450" spans="1:29">
      <c r="A450" s="83" t="str">
        <f t="shared" si="42"/>
        <v/>
      </c>
      <c r="B450" s="83" t="str">
        <f t="shared" si="43"/>
        <v/>
      </c>
      <c r="U450" s="83" t="str">
        <f t="shared" si="44"/>
        <v/>
      </c>
      <c r="V450" s="83" t="str">
        <f t="shared" si="45"/>
        <v/>
      </c>
      <c r="AA450" s="60">
        <f t="shared" si="46"/>
        <v>0</v>
      </c>
      <c r="AB450" s="49">
        <f t="shared" si="47"/>
        <v>0</v>
      </c>
      <c r="AC450" s="60">
        <f t="shared" si="48"/>
        <v>0</v>
      </c>
    </row>
    <row r="451" spans="1:29">
      <c r="A451" s="83" t="str">
        <f t="shared" ref="A451:A514" si="49">IF(G451&amp;Q451&lt;&gt;"",U451&amp;Q451,"")</f>
        <v/>
      </c>
      <c r="B451" s="83" t="str">
        <f t="shared" ref="B451:B514" si="50">IF(C451&lt;&gt;"",LEFT(C451,9),"")</f>
        <v/>
      </c>
      <c r="U451" s="83" t="str">
        <f t="shared" ref="U451:U514" si="51">IF(G451&lt;&gt;"",IF(StyleSpaceSplit,IFERROR(IF(FIND(" ",G451)&gt;=1,MID(G451,1,FIND(" ",G451)-1),G451),G451),G451),"")</f>
        <v/>
      </c>
      <c r="V451" s="83" t="str">
        <f t="shared" ref="V451:V514" si="52">IF(A451&lt;&gt;"",IFERROR(IF(FIND(" ",G451)&gt;=1,MID(G451,FIND(" ",G451)+1,LEN(G451)),""),G451),"")</f>
        <v/>
      </c>
      <c r="AA451" s="60">
        <f t="shared" ref="AA451:AA514" si="53">IFERROR(VALUE(MID($C451,1,2)),0)</f>
        <v>0</v>
      </c>
      <c r="AB451" s="49">
        <f t="shared" ref="AB451:AB514" si="54">IFERROR(VALUE(MID($C451,4,3)),0)</f>
        <v>0</v>
      </c>
      <c r="AC451" s="60">
        <f t="shared" ref="AC451:AC514" si="55">VALUE(RIGHT("00"&amp;AA451,2)&amp;RIGHT("000"&amp;AB451,3))</f>
        <v>0</v>
      </c>
    </row>
    <row r="452" spans="1:29">
      <c r="A452" s="83" t="str">
        <f t="shared" si="49"/>
        <v/>
      </c>
      <c r="B452" s="83" t="str">
        <f t="shared" si="50"/>
        <v/>
      </c>
      <c r="U452" s="83" t="str">
        <f t="shared" si="51"/>
        <v/>
      </c>
      <c r="V452" s="83" t="str">
        <f t="shared" si="52"/>
        <v/>
      </c>
      <c r="AA452" s="60">
        <f t="shared" si="53"/>
        <v>0</v>
      </c>
      <c r="AB452" s="49">
        <f t="shared" si="54"/>
        <v>0</v>
      </c>
      <c r="AC452" s="60">
        <f t="shared" si="55"/>
        <v>0</v>
      </c>
    </row>
    <row r="453" spans="1:29">
      <c r="A453" s="83" t="str">
        <f t="shared" si="49"/>
        <v/>
      </c>
      <c r="B453" s="83" t="str">
        <f t="shared" si="50"/>
        <v/>
      </c>
      <c r="U453" s="83" t="str">
        <f t="shared" si="51"/>
        <v/>
      </c>
      <c r="V453" s="83" t="str">
        <f t="shared" si="52"/>
        <v/>
      </c>
      <c r="AA453" s="60">
        <f t="shared" si="53"/>
        <v>0</v>
      </c>
      <c r="AB453" s="49">
        <f t="shared" si="54"/>
        <v>0</v>
      </c>
      <c r="AC453" s="60">
        <f t="shared" si="55"/>
        <v>0</v>
      </c>
    </row>
    <row r="454" spans="1:29">
      <c r="A454" s="83" t="str">
        <f t="shared" si="49"/>
        <v/>
      </c>
      <c r="B454" s="83" t="str">
        <f t="shared" si="50"/>
        <v/>
      </c>
      <c r="U454" s="83" t="str">
        <f t="shared" si="51"/>
        <v/>
      </c>
      <c r="V454" s="83" t="str">
        <f t="shared" si="52"/>
        <v/>
      </c>
      <c r="AA454" s="60">
        <f t="shared" si="53"/>
        <v>0</v>
      </c>
      <c r="AB454" s="49">
        <f t="shared" si="54"/>
        <v>0</v>
      </c>
      <c r="AC454" s="60">
        <f t="shared" si="55"/>
        <v>0</v>
      </c>
    </row>
    <row r="455" spans="1:29">
      <c r="A455" s="83" t="str">
        <f t="shared" si="49"/>
        <v/>
      </c>
      <c r="B455" s="83" t="str">
        <f t="shared" si="50"/>
        <v/>
      </c>
      <c r="U455" s="83" t="str">
        <f t="shared" si="51"/>
        <v/>
      </c>
      <c r="V455" s="83" t="str">
        <f t="shared" si="52"/>
        <v/>
      </c>
      <c r="AA455" s="60">
        <f t="shared" si="53"/>
        <v>0</v>
      </c>
      <c r="AB455" s="49">
        <f t="shared" si="54"/>
        <v>0</v>
      </c>
      <c r="AC455" s="60">
        <f t="shared" si="55"/>
        <v>0</v>
      </c>
    </row>
    <row r="456" spans="1:29">
      <c r="A456" s="83" t="str">
        <f t="shared" si="49"/>
        <v/>
      </c>
      <c r="B456" s="83" t="str">
        <f t="shared" si="50"/>
        <v/>
      </c>
      <c r="U456" s="83" t="str">
        <f t="shared" si="51"/>
        <v/>
      </c>
      <c r="V456" s="83" t="str">
        <f t="shared" si="52"/>
        <v/>
      </c>
      <c r="AA456" s="60">
        <f t="shared" si="53"/>
        <v>0</v>
      </c>
      <c r="AB456" s="49">
        <f t="shared" si="54"/>
        <v>0</v>
      </c>
      <c r="AC456" s="60">
        <f t="shared" si="55"/>
        <v>0</v>
      </c>
    </row>
    <row r="457" spans="1:29">
      <c r="A457" s="83" t="str">
        <f t="shared" si="49"/>
        <v/>
      </c>
      <c r="B457" s="83" t="str">
        <f t="shared" si="50"/>
        <v/>
      </c>
      <c r="U457" s="83" t="str">
        <f t="shared" si="51"/>
        <v/>
      </c>
      <c r="V457" s="83" t="str">
        <f t="shared" si="52"/>
        <v/>
      </c>
      <c r="AA457" s="60">
        <f t="shared" si="53"/>
        <v>0</v>
      </c>
      <c r="AB457" s="49">
        <f t="shared" si="54"/>
        <v>0</v>
      </c>
      <c r="AC457" s="60">
        <f t="shared" si="55"/>
        <v>0</v>
      </c>
    </row>
    <row r="458" spans="1:29">
      <c r="A458" s="83" t="str">
        <f t="shared" si="49"/>
        <v/>
      </c>
      <c r="B458" s="83" t="str">
        <f t="shared" si="50"/>
        <v/>
      </c>
      <c r="U458" s="83" t="str">
        <f t="shared" si="51"/>
        <v/>
      </c>
      <c r="V458" s="83" t="str">
        <f t="shared" si="52"/>
        <v/>
      </c>
      <c r="AA458" s="60">
        <f t="shared" si="53"/>
        <v>0</v>
      </c>
      <c r="AB458" s="49">
        <f t="shared" si="54"/>
        <v>0</v>
      </c>
      <c r="AC458" s="60">
        <f t="shared" si="55"/>
        <v>0</v>
      </c>
    </row>
    <row r="459" spans="1:29">
      <c r="A459" s="83" t="str">
        <f t="shared" si="49"/>
        <v/>
      </c>
      <c r="B459" s="83" t="str">
        <f t="shared" si="50"/>
        <v/>
      </c>
      <c r="U459" s="83" t="str">
        <f t="shared" si="51"/>
        <v/>
      </c>
      <c r="V459" s="83" t="str">
        <f t="shared" si="52"/>
        <v/>
      </c>
      <c r="AA459" s="60">
        <f t="shared" si="53"/>
        <v>0</v>
      </c>
      <c r="AB459" s="49">
        <f t="shared" si="54"/>
        <v>0</v>
      </c>
      <c r="AC459" s="60">
        <f t="shared" si="55"/>
        <v>0</v>
      </c>
    </row>
    <row r="460" spans="1:29">
      <c r="A460" s="83" t="str">
        <f t="shared" si="49"/>
        <v/>
      </c>
      <c r="B460" s="83" t="str">
        <f t="shared" si="50"/>
        <v/>
      </c>
      <c r="U460" s="83" t="str">
        <f t="shared" si="51"/>
        <v/>
      </c>
      <c r="V460" s="83" t="str">
        <f t="shared" si="52"/>
        <v/>
      </c>
      <c r="AA460" s="60">
        <f t="shared" si="53"/>
        <v>0</v>
      </c>
      <c r="AB460" s="49">
        <f t="shared" si="54"/>
        <v>0</v>
      </c>
      <c r="AC460" s="60">
        <f t="shared" si="55"/>
        <v>0</v>
      </c>
    </row>
    <row r="461" spans="1:29">
      <c r="A461" s="83" t="str">
        <f t="shared" si="49"/>
        <v/>
      </c>
      <c r="B461" s="83" t="str">
        <f t="shared" si="50"/>
        <v/>
      </c>
      <c r="U461" s="83" t="str">
        <f t="shared" si="51"/>
        <v/>
      </c>
      <c r="V461" s="83" t="str">
        <f t="shared" si="52"/>
        <v/>
      </c>
      <c r="AA461" s="60">
        <f t="shared" si="53"/>
        <v>0</v>
      </c>
      <c r="AB461" s="49">
        <f t="shared" si="54"/>
        <v>0</v>
      </c>
      <c r="AC461" s="60">
        <f t="shared" si="55"/>
        <v>0</v>
      </c>
    </row>
    <row r="462" spans="1:29">
      <c r="A462" s="83" t="str">
        <f t="shared" si="49"/>
        <v/>
      </c>
      <c r="B462" s="83" t="str">
        <f t="shared" si="50"/>
        <v/>
      </c>
      <c r="U462" s="83" t="str">
        <f t="shared" si="51"/>
        <v/>
      </c>
      <c r="V462" s="83" t="str">
        <f t="shared" si="52"/>
        <v/>
      </c>
      <c r="AA462" s="60">
        <f t="shared" si="53"/>
        <v>0</v>
      </c>
      <c r="AB462" s="49">
        <f t="shared" si="54"/>
        <v>0</v>
      </c>
      <c r="AC462" s="60">
        <f t="shared" si="55"/>
        <v>0</v>
      </c>
    </row>
    <row r="463" spans="1:29">
      <c r="A463" s="83" t="str">
        <f t="shared" si="49"/>
        <v/>
      </c>
      <c r="B463" s="83" t="str">
        <f t="shared" si="50"/>
        <v/>
      </c>
      <c r="U463" s="83" t="str">
        <f t="shared" si="51"/>
        <v/>
      </c>
      <c r="V463" s="83" t="str">
        <f t="shared" si="52"/>
        <v/>
      </c>
      <c r="AA463" s="60">
        <f t="shared" si="53"/>
        <v>0</v>
      </c>
      <c r="AB463" s="49">
        <f t="shared" si="54"/>
        <v>0</v>
      </c>
      <c r="AC463" s="60">
        <f t="shared" si="55"/>
        <v>0</v>
      </c>
    </row>
    <row r="464" spans="1:29">
      <c r="A464" s="83" t="str">
        <f t="shared" si="49"/>
        <v/>
      </c>
      <c r="B464" s="83" t="str">
        <f t="shared" si="50"/>
        <v/>
      </c>
      <c r="U464" s="83" t="str">
        <f t="shared" si="51"/>
        <v/>
      </c>
      <c r="V464" s="83" t="str">
        <f t="shared" si="52"/>
        <v/>
      </c>
      <c r="AA464" s="60">
        <f t="shared" si="53"/>
        <v>0</v>
      </c>
      <c r="AB464" s="49">
        <f t="shared" si="54"/>
        <v>0</v>
      </c>
      <c r="AC464" s="60">
        <f t="shared" si="55"/>
        <v>0</v>
      </c>
    </row>
    <row r="465" spans="1:29">
      <c r="A465" s="83" t="str">
        <f t="shared" si="49"/>
        <v/>
      </c>
      <c r="B465" s="83" t="str">
        <f t="shared" si="50"/>
        <v/>
      </c>
      <c r="U465" s="83" t="str">
        <f t="shared" si="51"/>
        <v/>
      </c>
      <c r="V465" s="83" t="str">
        <f t="shared" si="52"/>
        <v/>
      </c>
      <c r="AA465" s="60">
        <f t="shared" si="53"/>
        <v>0</v>
      </c>
      <c r="AB465" s="49">
        <f t="shared" si="54"/>
        <v>0</v>
      </c>
      <c r="AC465" s="60">
        <f t="shared" si="55"/>
        <v>0</v>
      </c>
    </row>
    <row r="466" spans="1:29">
      <c r="A466" s="83" t="str">
        <f t="shared" si="49"/>
        <v/>
      </c>
      <c r="B466" s="83" t="str">
        <f t="shared" si="50"/>
        <v/>
      </c>
      <c r="U466" s="83" t="str">
        <f t="shared" si="51"/>
        <v/>
      </c>
      <c r="V466" s="83" t="str">
        <f t="shared" si="52"/>
        <v/>
      </c>
      <c r="AA466" s="60">
        <f t="shared" si="53"/>
        <v>0</v>
      </c>
      <c r="AB466" s="49">
        <f t="shared" si="54"/>
        <v>0</v>
      </c>
      <c r="AC466" s="60">
        <f t="shared" si="55"/>
        <v>0</v>
      </c>
    </row>
    <row r="467" spans="1:29">
      <c r="A467" s="83" t="str">
        <f t="shared" si="49"/>
        <v/>
      </c>
      <c r="B467" s="83" t="str">
        <f t="shared" si="50"/>
        <v/>
      </c>
      <c r="U467" s="83" t="str">
        <f t="shared" si="51"/>
        <v/>
      </c>
      <c r="V467" s="83" t="str">
        <f t="shared" si="52"/>
        <v/>
      </c>
      <c r="AA467" s="60">
        <f t="shared" si="53"/>
        <v>0</v>
      </c>
      <c r="AB467" s="49">
        <f t="shared" si="54"/>
        <v>0</v>
      </c>
      <c r="AC467" s="60">
        <f t="shared" si="55"/>
        <v>0</v>
      </c>
    </row>
    <row r="468" spans="1:29">
      <c r="A468" s="83" t="str">
        <f t="shared" si="49"/>
        <v/>
      </c>
      <c r="B468" s="83" t="str">
        <f t="shared" si="50"/>
        <v/>
      </c>
      <c r="U468" s="83" t="str">
        <f t="shared" si="51"/>
        <v/>
      </c>
      <c r="V468" s="83" t="str">
        <f t="shared" si="52"/>
        <v/>
      </c>
      <c r="AA468" s="60">
        <f t="shared" si="53"/>
        <v>0</v>
      </c>
      <c r="AB468" s="49">
        <f t="shared" si="54"/>
        <v>0</v>
      </c>
      <c r="AC468" s="60">
        <f t="shared" si="55"/>
        <v>0</v>
      </c>
    </row>
    <row r="469" spans="1:29">
      <c r="A469" s="83" t="str">
        <f t="shared" si="49"/>
        <v/>
      </c>
      <c r="B469" s="83" t="str">
        <f t="shared" si="50"/>
        <v/>
      </c>
      <c r="U469" s="83" t="str">
        <f t="shared" si="51"/>
        <v/>
      </c>
      <c r="V469" s="83" t="str">
        <f t="shared" si="52"/>
        <v/>
      </c>
      <c r="AA469" s="60">
        <f t="shared" si="53"/>
        <v>0</v>
      </c>
      <c r="AB469" s="49">
        <f t="shared" si="54"/>
        <v>0</v>
      </c>
      <c r="AC469" s="60">
        <f t="shared" si="55"/>
        <v>0</v>
      </c>
    </row>
    <row r="470" spans="1:29">
      <c r="A470" s="83" t="str">
        <f t="shared" si="49"/>
        <v/>
      </c>
      <c r="B470" s="83" t="str">
        <f t="shared" si="50"/>
        <v/>
      </c>
      <c r="U470" s="83" t="str">
        <f t="shared" si="51"/>
        <v/>
      </c>
      <c r="V470" s="83" t="str">
        <f t="shared" si="52"/>
        <v/>
      </c>
      <c r="AA470" s="60">
        <f t="shared" si="53"/>
        <v>0</v>
      </c>
      <c r="AB470" s="49">
        <f t="shared" si="54"/>
        <v>0</v>
      </c>
      <c r="AC470" s="60">
        <f t="shared" si="55"/>
        <v>0</v>
      </c>
    </row>
    <row r="471" spans="1:29">
      <c r="A471" s="83" t="str">
        <f t="shared" si="49"/>
        <v/>
      </c>
      <c r="B471" s="83" t="str">
        <f t="shared" si="50"/>
        <v/>
      </c>
      <c r="U471" s="83" t="str">
        <f t="shared" si="51"/>
        <v/>
      </c>
      <c r="V471" s="83" t="str">
        <f t="shared" si="52"/>
        <v/>
      </c>
      <c r="AA471" s="60">
        <f t="shared" si="53"/>
        <v>0</v>
      </c>
      <c r="AB471" s="49">
        <f t="shared" si="54"/>
        <v>0</v>
      </c>
      <c r="AC471" s="60">
        <f t="shared" si="55"/>
        <v>0</v>
      </c>
    </row>
    <row r="472" spans="1:29">
      <c r="A472" s="83" t="str">
        <f t="shared" si="49"/>
        <v/>
      </c>
      <c r="B472" s="83" t="str">
        <f t="shared" si="50"/>
        <v/>
      </c>
      <c r="U472" s="83" t="str">
        <f t="shared" si="51"/>
        <v/>
      </c>
      <c r="V472" s="83" t="str">
        <f t="shared" si="52"/>
        <v/>
      </c>
      <c r="AA472" s="60">
        <f t="shared" si="53"/>
        <v>0</v>
      </c>
      <c r="AB472" s="49">
        <f t="shared" si="54"/>
        <v>0</v>
      </c>
      <c r="AC472" s="60">
        <f t="shared" si="55"/>
        <v>0</v>
      </c>
    </row>
    <row r="473" spans="1:29">
      <c r="A473" s="83" t="str">
        <f t="shared" si="49"/>
        <v/>
      </c>
      <c r="B473" s="83" t="str">
        <f t="shared" si="50"/>
        <v/>
      </c>
      <c r="U473" s="83" t="str">
        <f t="shared" si="51"/>
        <v/>
      </c>
      <c r="V473" s="83" t="str">
        <f t="shared" si="52"/>
        <v/>
      </c>
      <c r="AA473" s="60">
        <f t="shared" si="53"/>
        <v>0</v>
      </c>
      <c r="AB473" s="49">
        <f t="shared" si="54"/>
        <v>0</v>
      </c>
      <c r="AC473" s="60">
        <f t="shared" si="55"/>
        <v>0</v>
      </c>
    </row>
    <row r="474" spans="1:29">
      <c r="A474" s="83" t="str">
        <f t="shared" si="49"/>
        <v/>
      </c>
      <c r="B474" s="83" t="str">
        <f t="shared" si="50"/>
        <v/>
      </c>
      <c r="U474" s="83" t="str">
        <f t="shared" si="51"/>
        <v/>
      </c>
      <c r="V474" s="83" t="str">
        <f t="shared" si="52"/>
        <v/>
      </c>
      <c r="AA474" s="60">
        <f t="shared" si="53"/>
        <v>0</v>
      </c>
      <c r="AB474" s="49">
        <f t="shared" si="54"/>
        <v>0</v>
      </c>
      <c r="AC474" s="60">
        <f t="shared" si="55"/>
        <v>0</v>
      </c>
    </row>
    <row r="475" spans="1:29">
      <c r="A475" s="83" t="str">
        <f t="shared" si="49"/>
        <v/>
      </c>
      <c r="B475" s="83" t="str">
        <f t="shared" si="50"/>
        <v/>
      </c>
      <c r="U475" s="83" t="str">
        <f t="shared" si="51"/>
        <v/>
      </c>
      <c r="V475" s="83" t="str">
        <f t="shared" si="52"/>
        <v/>
      </c>
      <c r="AA475" s="60">
        <f t="shared" si="53"/>
        <v>0</v>
      </c>
      <c r="AB475" s="49">
        <f t="shared" si="54"/>
        <v>0</v>
      </c>
      <c r="AC475" s="60">
        <f t="shared" si="55"/>
        <v>0</v>
      </c>
    </row>
    <row r="476" spans="1:29">
      <c r="A476" s="83" t="str">
        <f t="shared" si="49"/>
        <v/>
      </c>
      <c r="B476" s="83" t="str">
        <f t="shared" si="50"/>
        <v/>
      </c>
      <c r="U476" s="83" t="str">
        <f t="shared" si="51"/>
        <v/>
      </c>
      <c r="V476" s="83" t="str">
        <f t="shared" si="52"/>
        <v/>
      </c>
      <c r="AA476" s="60">
        <f t="shared" si="53"/>
        <v>0</v>
      </c>
      <c r="AB476" s="49">
        <f t="shared" si="54"/>
        <v>0</v>
      </c>
      <c r="AC476" s="60">
        <f t="shared" si="55"/>
        <v>0</v>
      </c>
    </row>
    <row r="477" spans="1:29">
      <c r="A477" s="83" t="str">
        <f t="shared" si="49"/>
        <v/>
      </c>
      <c r="B477" s="83" t="str">
        <f t="shared" si="50"/>
        <v/>
      </c>
      <c r="U477" s="83" t="str">
        <f t="shared" si="51"/>
        <v/>
      </c>
      <c r="V477" s="83" t="str">
        <f t="shared" si="52"/>
        <v/>
      </c>
      <c r="AA477" s="60">
        <f t="shared" si="53"/>
        <v>0</v>
      </c>
      <c r="AB477" s="49">
        <f t="shared" si="54"/>
        <v>0</v>
      </c>
      <c r="AC477" s="60">
        <f t="shared" si="55"/>
        <v>0</v>
      </c>
    </row>
    <row r="478" spans="1:29">
      <c r="A478" s="83" t="str">
        <f t="shared" si="49"/>
        <v/>
      </c>
      <c r="B478" s="83" t="str">
        <f t="shared" si="50"/>
        <v/>
      </c>
      <c r="U478" s="83" t="str">
        <f t="shared" si="51"/>
        <v/>
      </c>
      <c r="V478" s="83" t="str">
        <f t="shared" si="52"/>
        <v/>
      </c>
      <c r="AA478" s="60">
        <f t="shared" si="53"/>
        <v>0</v>
      </c>
      <c r="AB478" s="49">
        <f t="shared" si="54"/>
        <v>0</v>
      </c>
      <c r="AC478" s="60">
        <f t="shared" si="55"/>
        <v>0</v>
      </c>
    </row>
    <row r="479" spans="1:29">
      <c r="A479" s="83" t="str">
        <f t="shared" si="49"/>
        <v/>
      </c>
      <c r="B479" s="83" t="str">
        <f t="shared" si="50"/>
        <v/>
      </c>
      <c r="U479" s="83" t="str">
        <f t="shared" si="51"/>
        <v/>
      </c>
      <c r="V479" s="83" t="str">
        <f t="shared" si="52"/>
        <v/>
      </c>
      <c r="AA479" s="60">
        <f t="shared" si="53"/>
        <v>0</v>
      </c>
      <c r="AB479" s="49">
        <f t="shared" si="54"/>
        <v>0</v>
      </c>
      <c r="AC479" s="60">
        <f t="shared" si="55"/>
        <v>0</v>
      </c>
    </row>
    <row r="480" spans="1:29">
      <c r="A480" s="83" t="str">
        <f t="shared" si="49"/>
        <v/>
      </c>
      <c r="B480" s="83" t="str">
        <f t="shared" si="50"/>
        <v/>
      </c>
      <c r="U480" s="83" t="str">
        <f t="shared" si="51"/>
        <v/>
      </c>
      <c r="V480" s="83" t="str">
        <f t="shared" si="52"/>
        <v/>
      </c>
      <c r="AA480" s="60">
        <f t="shared" si="53"/>
        <v>0</v>
      </c>
      <c r="AB480" s="49">
        <f t="shared" si="54"/>
        <v>0</v>
      </c>
      <c r="AC480" s="60">
        <f t="shared" si="55"/>
        <v>0</v>
      </c>
    </row>
    <row r="481" spans="1:29">
      <c r="A481" s="83" t="str">
        <f t="shared" si="49"/>
        <v/>
      </c>
      <c r="B481" s="83" t="str">
        <f t="shared" si="50"/>
        <v/>
      </c>
      <c r="U481" s="83" t="str">
        <f t="shared" si="51"/>
        <v/>
      </c>
      <c r="V481" s="83" t="str">
        <f t="shared" si="52"/>
        <v/>
      </c>
      <c r="AA481" s="60">
        <f t="shared" si="53"/>
        <v>0</v>
      </c>
      <c r="AB481" s="49">
        <f t="shared" si="54"/>
        <v>0</v>
      </c>
      <c r="AC481" s="60">
        <f t="shared" si="55"/>
        <v>0</v>
      </c>
    </row>
    <row r="482" spans="1:29">
      <c r="A482" s="83" t="str">
        <f t="shared" si="49"/>
        <v/>
      </c>
      <c r="B482" s="83" t="str">
        <f t="shared" si="50"/>
        <v/>
      </c>
      <c r="U482" s="83" t="str">
        <f t="shared" si="51"/>
        <v/>
      </c>
      <c r="V482" s="83" t="str">
        <f t="shared" si="52"/>
        <v/>
      </c>
      <c r="AA482" s="60">
        <f t="shared" si="53"/>
        <v>0</v>
      </c>
      <c r="AB482" s="49">
        <f t="shared" si="54"/>
        <v>0</v>
      </c>
      <c r="AC482" s="60">
        <f t="shared" si="55"/>
        <v>0</v>
      </c>
    </row>
    <row r="483" spans="1:29">
      <c r="A483" s="83" t="str">
        <f t="shared" si="49"/>
        <v/>
      </c>
      <c r="B483" s="83" t="str">
        <f t="shared" si="50"/>
        <v/>
      </c>
      <c r="U483" s="83" t="str">
        <f t="shared" si="51"/>
        <v/>
      </c>
      <c r="V483" s="83" t="str">
        <f t="shared" si="52"/>
        <v/>
      </c>
      <c r="AA483" s="60">
        <f t="shared" si="53"/>
        <v>0</v>
      </c>
      <c r="AB483" s="49">
        <f t="shared" si="54"/>
        <v>0</v>
      </c>
      <c r="AC483" s="60">
        <f t="shared" si="55"/>
        <v>0</v>
      </c>
    </row>
    <row r="484" spans="1:29">
      <c r="A484" s="83" t="str">
        <f t="shared" si="49"/>
        <v/>
      </c>
      <c r="B484" s="83" t="str">
        <f t="shared" si="50"/>
        <v/>
      </c>
      <c r="U484" s="83" t="str">
        <f t="shared" si="51"/>
        <v/>
      </c>
      <c r="V484" s="83" t="str">
        <f t="shared" si="52"/>
        <v/>
      </c>
      <c r="AA484" s="60">
        <f t="shared" si="53"/>
        <v>0</v>
      </c>
      <c r="AB484" s="49">
        <f t="shared" si="54"/>
        <v>0</v>
      </c>
      <c r="AC484" s="60">
        <f t="shared" si="55"/>
        <v>0</v>
      </c>
    </row>
    <row r="485" spans="1:29">
      <c r="A485" s="83" t="str">
        <f t="shared" si="49"/>
        <v/>
      </c>
      <c r="B485" s="83" t="str">
        <f t="shared" si="50"/>
        <v/>
      </c>
      <c r="U485" s="83" t="str">
        <f t="shared" si="51"/>
        <v/>
      </c>
      <c r="V485" s="83" t="str">
        <f t="shared" si="52"/>
        <v/>
      </c>
      <c r="AA485" s="60">
        <f t="shared" si="53"/>
        <v>0</v>
      </c>
      <c r="AB485" s="49">
        <f t="shared" si="54"/>
        <v>0</v>
      </c>
      <c r="AC485" s="60">
        <f t="shared" si="55"/>
        <v>0</v>
      </c>
    </row>
    <row r="486" spans="1:29">
      <c r="A486" s="83" t="str">
        <f t="shared" si="49"/>
        <v/>
      </c>
      <c r="B486" s="83" t="str">
        <f t="shared" si="50"/>
        <v/>
      </c>
      <c r="U486" s="83" t="str">
        <f t="shared" si="51"/>
        <v/>
      </c>
      <c r="V486" s="83" t="str">
        <f t="shared" si="52"/>
        <v/>
      </c>
      <c r="AA486" s="60">
        <f t="shared" si="53"/>
        <v>0</v>
      </c>
      <c r="AB486" s="49">
        <f t="shared" si="54"/>
        <v>0</v>
      </c>
      <c r="AC486" s="60">
        <f t="shared" si="55"/>
        <v>0</v>
      </c>
    </row>
    <row r="487" spans="1:29">
      <c r="A487" s="83" t="str">
        <f t="shared" si="49"/>
        <v/>
      </c>
      <c r="B487" s="83" t="str">
        <f t="shared" si="50"/>
        <v/>
      </c>
      <c r="U487" s="83" t="str">
        <f t="shared" si="51"/>
        <v/>
      </c>
      <c r="V487" s="83" t="str">
        <f t="shared" si="52"/>
        <v/>
      </c>
      <c r="AA487" s="60">
        <f t="shared" si="53"/>
        <v>0</v>
      </c>
      <c r="AB487" s="49">
        <f t="shared" si="54"/>
        <v>0</v>
      </c>
      <c r="AC487" s="60">
        <f t="shared" si="55"/>
        <v>0</v>
      </c>
    </row>
    <row r="488" spans="1:29">
      <c r="A488" s="83" t="str">
        <f t="shared" si="49"/>
        <v/>
      </c>
      <c r="B488" s="83" t="str">
        <f t="shared" si="50"/>
        <v/>
      </c>
      <c r="U488" s="83" t="str">
        <f t="shared" si="51"/>
        <v/>
      </c>
      <c r="V488" s="83" t="str">
        <f t="shared" si="52"/>
        <v/>
      </c>
      <c r="AA488" s="60">
        <f t="shared" si="53"/>
        <v>0</v>
      </c>
      <c r="AB488" s="49">
        <f t="shared" si="54"/>
        <v>0</v>
      </c>
      <c r="AC488" s="60">
        <f t="shared" si="55"/>
        <v>0</v>
      </c>
    </row>
    <row r="489" spans="1:29">
      <c r="A489" s="83" t="str">
        <f t="shared" si="49"/>
        <v/>
      </c>
      <c r="B489" s="83" t="str">
        <f t="shared" si="50"/>
        <v/>
      </c>
      <c r="U489" s="83" t="str">
        <f t="shared" si="51"/>
        <v/>
      </c>
      <c r="V489" s="83" t="str">
        <f t="shared" si="52"/>
        <v/>
      </c>
      <c r="AA489" s="60">
        <f t="shared" si="53"/>
        <v>0</v>
      </c>
      <c r="AB489" s="49">
        <f t="shared" si="54"/>
        <v>0</v>
      </c>
      <c r="AC489" s="60">
        <f t="shared" si="55"/>
        <v>0</v>
      </c>
    </row>
    <row r="490" spans="1:29">
      <c r="A490" s="83" t="str">
        <f t="shared" si="49"/>
        <v/>
      </c>
      <c r="B490" s="83" t="str">
        <f t="shared" si="50"/>
        <v/>
      </c>
      <c r="U490" s="83" t="str">
        <f t="shared" si="51"/>
        <v/>
      </c>
      <c r="V490" s="83" t="str">
        <f t="shared" si="52"/>
        <v/>
      </c>
      <c r="AA490" s="60">
        <f t="shared" si="53"/>
        <v>0</v>
      </c>
      <c r="AB490" s="49">
        <f t="shared" si="54"/>
        <v>0</v>
      </c>
      <c r="AC490" s="60">
        <f t="shared" si="55"/>
        <v>0</v>
      </c>
    </row>
    <row r="491" spans="1:29">
      <c r="A491" s="83" t="str">
        <f t="shared" si="49"/>
        <v/>
      </c>
      <c r="B491" s="83" t="str">
        <f t="shared" si="50"/>
        <v/>
      </c>
      <c r="U491" s="83" t="str">
        <f t="shared" si="51"/>
        <v/>
      </c>
      <c r="V491" s="83" t="str">
        <f t="shared" si="52"/>
        <v/>
      </c>
      <c r="AA491" s="60">
        <f t="shared" si="53"/>
        <v>0</v>
      </c>
      <c r="AB491" s="49">
        <f t="shared" si="54"/>
        <v>0</v>
      </c>
      <c r="AC491" s="60">
        <f t="shared" si="55"/>
        <v>0</v>
      </c>
    </row>
    <row r="492" spans="1:29">
      <c r="A492" s="83" t="str">
        <f t="shared" si="49"/>
        <v/>
      </c>
      <c r="B492" s="83" t="str">
        <f t="shared" si="50"/>
        <v/>
      </c>
      <c r="U492" s="83" t="str">
        <f t="shared" si="51"/>
        <v/>
      </c>
      <c r="V492" s="83" t="str">
        <f t="shared" si="52"/>
        <v/>
      </c>
      <c r="AA492" s="60">
        <f t="shared" si="53"/>
        <v>0</v>
      </c>
      <c r="AB492" s="49">
        <f t="shared" si="54"/>
        <v>0</v>
      </c>
      <c r="AC492" s="60">
        <f t="shared" si="55"/>
        <v>0</v>
      </c>
    </row>
    <row r="493" spans="1:29">
      <c r="A493" s="83" t="str">
        <f t="shared" si="49"/>
        <v/>
      </c>
      <c r="B493" s="83" t="str">
        <f t="shared" si="50"/>
        <v/>
      </c>
      <c r="U493" s="83" t="str">
        <f t="shared" si="51"/>
        <v/>
      </c>
      <c r="V493" s="83" t="str">
        <f t="shared" si="52"/>
        <v/>
      </c>
      <c r="AA493" s="60">
        <f t="shared" si="53"/>
        <v>0</v>
      </c>
      <c r="AB493" s="49">
        <f t="shared" si="54"/>
        <v>0</v>
      </c>
      <c r="AC493" s="60">
        <f t="shared" si="55"/>
        <v>0</v>
      </c>
    </row>
    <row r="494" spans="1:29">
      <c r="A494" s="83" t="str">
        <f t="shared" si="49"/>
        <v/>
      </c>
      <c r="B494" s="83" t="str">
        <f t="shared" si="50"/>
        <v/>
      </c>
      <c r="U494" s="83" t="str">
        <f t="shared" si="51"/>
        <v/>
      </c>
      <c r="V494" s="83" t="str">
        <f t="shared" si="52"/>
        <v/>
      </c>
      <c r="AA494" s="60">
        <f t="shared" si="53"/>
        <v>0</v>
      </c>
      <c r="AB494" s="49">
        <f t="shared" si="54"/>
        <v>0</v>
      </c>
      <c r="AC494" s="60">
        <f t="shared" si="55"/>
        <v>0</v>
      </c>
    </row>
    <row r="495" spans="1:29">
      <c r="A495" s="83" t="str">
        <f t="shared" si="49"/>
        <v/>
      </c>
      <c r="B495" s="83" t="str">
        <f t="shared" si="50"/>
        <v/>
      </c>
      <c r="U495" s="83" t="str">
        <f t="shared" si="51"/>
        <v/>
      </c>
      <c r="V495" s="83" t="str">
        <f t="shared" si="52"/>
        <v/>
      </c>
      <c r="AA495" s="60">
        <f t="shared" si="53"/>
        <v>0</v>
      </c>
      <c r="AB495" s="49">
        <f t="shared" si="54"/>
        <v>0</v>
      </c>
      <c r="AC495" s="60">
        <f t="shared" si="55"/>
        <v>0</v>
      </c>
    </row>
    <row r="496" spans="1:29">
      <c r="A496" s="83" t="str">
        <f t="shared" si="49"/>
        <v/>
      </c>
      <c r="B496" s="83" t="str">
        <f t="shared" si="50"/>
        <v/>
      </c>
      <c r="U496" s="83" t="str">
        <f t="shared" si="51"/>
        <v/>
      </c>
      <c r="V496" s="83" t="str">
        <f t="shared" si="52"/>
        <v/>
      </c>
      <c r="AA496" s="60">
        <f t="shared" si="53"/>
        <v>0</v>
      </c>
      <c r="AB496" s="49">
        <f t="shared" si="54"/>
        <v>0</v>
      </c>
      <c r="AC496" s="60">
        <f t="shared" si="55"/>
        <v>0</v>
      </c>
    </row>
    <row r="497" spans="1:29">
      <c r="A497" s="83" t="str">
        <f t="shared" si="49"/>
        <v/>
      </c>
      <c r="B497" s="83" t="str">
        <f t="shared" si="50"/>
        <v/>
      </c>
      <c r="U497" s="83" t="str">
        <f t="shared" si="51"/>
        <v/>
      </c>
      <c r="V497" s="83" t="str">
        <f t="shared" si="52"/>
        <v/>
      </c>
      <c r="AA497" s="60">
        <f t="shared" si="53"/>
        <v>0</v>
      </c>
      <c r="AB497" s="49">
        <f t="shared" si="54"/>
        <v>0</v>
      </c>
      <c r="AC497" s="60">
        <f t="shared" si="55"/>
        <v>0</v>
      </c>
    </row>
    <row r="498" spans="1:29">
      <c r="A498" s="83" t="str">
        <f t="shared" si="49"/>
        <v/>
      </c>
      <c r="B498" s="83" t="str">
        <f t="shared" si="50"/>
        <v/>
      </c>
      <c r="U498" s="83" t="str">
        <f t="shared" si="51"/>
        <v/>
      </c>
      <c r="V498" s="83" t="str">
        <f t="shared" si="52"/>
        <v/>
      </c>
      <c r="AA498" s="60">
        <f t="shared" si="53"/>
        <v>0</v>
      </c>
      <c r="AB498" s="49">
        <f t="shared" si="54"/>
        <v>0</v>
      </c>
      <c r="AC498" s="60">
        <f t="shared" si="55"/>
        <v>0</v>
      </c>
    </row>
    <row r="499" spans="1:29">
      <c r="A499" s="83" t="str">
        <f t="shared" si="49"/>
        <v/>
      </c>
      <c r="B499" s="83" t="str">
        <f t="shared" si="50"/>
        <v/>
      </c>
      <c r="U499" s="83" t="str">
        <f t="shared" si="51"/>
        <v/>
      </c>
      <c r="V499" s="83" t="str">
        <f t="shared" si="52"/>
        <v/>
      </c>
      <c r="AA499" s="60">
        <f t="shared" si="53"/>
        <v>0</v>
      </c>
      <c r="AB499" s="49">
        <f t="shared" si="54"/>
        <v>0</v>
      </c>
      <c r="AC499" s="60">
        <f t="shared" si="55"/>
        <v>0</v>
      </c>
    </row>
    <row r="500" spans="1:29">
      <c r="A500" s="83" t="str">
        <f t="shared" si="49"/>
        <v/>
      </c>
      <c r="B500" s="83" t="str">
        <f t="shared" si="50"/>
        <v/>
      </c>
      <c r="U500" s="83" t="str">
        <f t="shared" si="51"/>
        <v/>
      </c>
      <c r="V500" s="83" t="str">
        <f t="shared" si="52"/>
        <v/>
      </c>
      <c r="AA500" s="60">
        <f t="shared" si="53"/>
        <v>0</v>
      </c>
      <c r="AB500" s="49">
        <f t="shared" si="54"/>
        <v>0</v>
      </c>
      <c r="AC500" s="60">
        <f t="shared" si="55"/>
        <v>0</v>
      </c>
    </row>
    <row r="501" spans="1:29">
      <c r="A501" s="83" t="str">
        <f t="shared" si="49"/>
        <v/>
      </c>
      <c r="B501" s="83" t="str">
        <f t="shared" si="50"/>
        <v/>
      </c>
      <c r="U501" s="83" t="str">
        <f t="shared" si="51"/>
        <v/>
      </c>
      <c r="V501" s="83" t="str">
        <f t="shared" si="52"/>
        <v/>
      </c>
      <c r="AA501" s="60">
        <f t="shared" si="53"/>
        <v>0</v>
      </c>
      <c r="AB501" s="49">
        <f t="shared" si="54"/>
        <v>0</v>
      </c>
      <c r="AC501" s="60">
        <f t="shared" si="55"/>
        <v>0</v>
      </c>
    </row>
    <row r="502" spans="1:29">
      <c r="A502" s="83" t="str">
        <f t="shared" si="49"/>
        <v/>
      </c>
      <c r="B502" s="83" t="str">
        <f t="shared" si="50"/>
        <v/>
      </c>
      <c r="U502" s="83" t="str">
        <f t="shared" si="51"/>
        <v/>
      </c>
      <c r="V502" s="83" t="str">
        <f t="shared" si="52"/>
        <v/>
      </c>
      <c r="AA502" s="60">
        <f t="shared" si="53"/>
        <v>0</v>
      </c>
      <c r="AB502" s="49">
        <f t="shared" si="54"/>
        <v>0</v>
      </c>
      <c r="AC502" s="60">
        <f t="shared" si="55"/>
        <v>0</v>
      </c>
    </row>
    <row r="503" spans="1:29">
      <c r="A503" s="83" t="str">
        <f t="shared" si="49"/>
        <v/>
      </c>
      <c r="B503" s="83" t="str">
        <f t="shared" si="50"/>
        <v/>
      </c>
      <c r="U503" s="83" t="str">
        <f t="shared" si="51"/>
        <v/>
      </c>
      <c r="V503" s="83" t="str">
        <f t="shared" si="52"/>
        <v/>
      </c>
      <c r="AA503" s="60">
        <f t="shared" si="53"/>
        <v>0</v>
      </c>
      <c r="AB503" s="49">
        <f t="shared" si="54"/>
        <v>0</v>
      </c>
      <c r="AC503" s="60">
        <f t="shared" si="55"/>
        <v>0</v>
      </c>
    </row>
    <row r="504" spans="1:29">
      <c r="A504" s="83" t="str">
        <f t="shared" si="49"/>
        <v/>
      </c>
      <c r="B504" s="83" t="str">
        <f t="shared" si="50"/>
        <v/>
      </c>
      <c r="U504" s="83" t="str">
        <f t="shared" si="51"/>
        <v/>
      </c>
      <c r="V504" s="83" t="str">
        <f t="shared" si="52"/>
        <v/>
      </c>
      <c r="AA504" s="60">
        <f t="shared" si="53"/>
        <v>0</v>
      </c>
      <c r="AB504" s="49">
        <f t="shared" si="54"/>
        <v>0</v>
      </c>
      <c r="AC504" s="60">
        <f t="shared" si="55"/>
        <v>0</v>
      </c>
    </row>
    <row r="505" spans="1:29">
      <c r="A505" s="83" t="str">
        <f t="shared" si="49"/>
        <v/>
      </c>
      <c r="B505" s="83" t="str">
        <f t="shared" si="50"/>
        <v/>
      </c>
      <c r="U505" s="83" t="str">
        <f t="shared" si="51"/>
        <v/>
      </c>
      <c r="V505" s="83" t="str">
        <f t="shared" si="52"/>
        <v/>
      </c>
      <c r="AA505" s="60">
        <f t="shared" si="53"/>
        <v>0</v>
      </c>
      <c r="AB505" s="49">
        <f t="shared" si="54"/>
        <v>0</v>
      </c>
      <c r="AC505" s="60">
        <f t="shared" si="55"/>
        <v>0</v>
      </c>
    </row>
    <row r="506" spans="1:29">
      <c r="A506" s="83" t="str">
        <f t="shared" si="49"/>
        <v/>
      </c>
      <c r="B506" s="83" t="str">
        <f t="shared" si="50"/>
        <v/>
      </c>
      <c r="U506" s="83" t="str">
        <f t="shared" si="51"/>
        <v/>
      </c>
      <c r="V506" s="83" t="str">
        <f t="shared" si="52"/>
        <v/>
      </c>
      <c r="AA506" s="60">
        <f t="shared" si="53"/>
        <v>0</v>
      </c>
      <c r="AB506" s="49">
        <f t="shared" si="54"/>
        <v>0</v>
      </c>
      <c r="AC506" s="60">
        <f t="shared" si="55"/>
        <v>0</v>
      </c>
    </row>
    <row r="507" spans="1:29">
      <c r="A507" s="83" t="str">
        <f t="shared" si="49"/>
        <v/>
      </c>
      <c r="B507" s="83" t="str">
        <f t="shared" si="50"/>
        <v/>
      </c>
      <c r="U507" s="83" t="str">
        <f t="shared" si="51"/>
        <v/>
      </c>
      <c r="V507" s="83" t="str">
        <f t="shared" si="52"/>
        <v/>
      </c>
      <c r="AA507" s="60">
        <f t="shared" si="53"/>
        <v>0</v>
      </c>
      <c r="AB507" s="49">
        <f t="shared" si="54"/>
        <v>0</v>
      </c>
      <c r="AC507" s="60">
        <f t="shared" si="55"/>
        <v>0</v>
      </c>
    </row>
    <row r="508" spans="1:29">
      <c r="A508" s="83" t="str">
        <f t="shared" si="49"/>
        <v/>
      </c>
      <c r="B508" s="83" t="str">
        <f t="shared" si="50"/>
        <v/>
      </c>
      <c r="U508" s="83" t="str">
        <f t="shared" si="51"/>
        <v/>
      </c>
      <c r="V508" s="83" t="str">
        <f t="shared" si="52"/>
        <v/>
      </c>
      <c r="AA508" s="60">
        <f t="shared" si="53"/>
        <v>0</v>
      </c>
      <c r="AB508" s="49">
        <f t="shared" si="54"/>
        <v>0</v>
      </c>
      <c r="AC508" s="60">
        <f t="shared" si="55"/>
        <v>0</v>
      </c>
    </row>
    <row r="509" spans="1:29">
      <c r="A509" s="83" t="str">
        <f t="shared" si="49"/>
        <v/>
      </c>
      <c r="B509" s="83" t="str">
        <f t="shared" si="50"/>
        <v/>
      </c>
      <c r="U509" s="83" t="str">
        <f t="shared" si="51"/>
        <v/>
      </c>
      <c r="V509" s="83" t="str">
        <f t="shared" si="52"/>
        <v/>
      </c>
      <c r="AA509" s="60">
        <f t="shared" si="53"/>
        <v>0</v>
      </c>
      <c r="AB509" s="49">
        <f t="shared" si="54"/>
        <v>0</v>
      </c>
      <c r="AC509" s="60">
        <f t="shared" si="55"/>
        <v>0</v>
      </c>
    </row>
    <row r="510" spans="1:29">
      <c r="A510" s="83" t="str">
        <f t="shared" si="49"/>
        <v/>
      </c>
      <c r="B510" s="83" t="str">
        <f t="shared" si="50"/>
        <v/>
      </c>
      <c r="U510" s="83" t="str">
        <f t="shared" si="51"/>
        <v/>
      </c>
      <c r="V510" s="83" t="str">
        <f t="shared" si="52"/>
        <v/>
      </c>
      <c r="AA510" s="60">
        <f t="shared" si="53"/>
        <v>0</v>
      </c>
      <c r="AB510" s="49">
        <f t="shared" si="54"/>
        <v>0</v>
      </c>
      <c r="AC510" s="60">
        <f t="shared" si="55"/>
        <v>0</v>
      </c>
    </row>
    <row r="511" spans="1:29">
      <c r="A511" s="83" t="str">
        <f t="shared" si="49"/>
        <v/>
      </c>
      <c r="B511" s="83" t="str">
        <f t="shared" si="50"/>
        <v/>
      </c>
      <c r="U511" s="83" t="str">
        <f t="shared" si="51"/>
        <v/>
      </c>
      <c r="V511" s="83" t="str">
        <f t="shared" si="52"/>
        <v/>
      </c>
      <c r="AA511" s="60">
        <f t="shared" si="53"/>
        <v>0</v>
      </c>
      <c r="AB511" s="49">
        <f t="shared" si="54"/>
        <v>0</v>
      </c>
      <c r="AC511" s="60">
        <f t="shared" si="55"/>
        <v>0</v>
      </c>
    </row>
    <row r="512" spans="1:29">
      <c r="A512" s="83" t="str">
        <f t="shared" si="49"/>
        <v/>
      </c>
      <c r="B512" s="83" t="str">
        <f t="shared" si="50"/>
        <v/>
      </c>
      <c r="U512" s="83" t="str">
        <f t="shared" si="51"/>
        <v/>
      </c>
      <c r="V512" s="83" t="str">
        <f t="shared" si="52"/>
        <v/>
      </c>
      <c r="AA512" s="60">
        <f t="shared" si="53"/>
        <v>0</v>
      </c>
      <c r="AB512" s="49">
        <f t="shared" si="54"/>
        <v>0</v>
      </c>
      <c r="AC512" s="60">
        <f t="shared" si="55"/>
        <v>0</v>
      </c>
    </row>
    <row r="513" spans="1:29">
      <c r="A513" s="83" t="str">
        <f t="shared" si="49"/>
        <v/>
      </c>
      <c r="B513" s="83" t="str">
        <f t="shared" si="50"/>
        <v/>
      </c>
      <c r="U513" s="83" t="str">
        <f t="shared" si="51"/>
        <v/>
      </c>
      <c r="V513" s="83" t="str">
        <f t="shared" si="52"/>
        <v/>
      </c>
      <c r="AA513" s="60">
        <f t="shared" si="53"/>
        <v>0</v>
      </c>
      <c r="AB513" s="49">
        <f t="shared" si="54"/>
        <v>0</v>
      </c>
      <c r="AC513" s="60">
        <f t="shared" si="55"/>
        <v>0</v>
      </c>
    </row>
    <row r="514" spans="1:29">
      <c r="A514" s="83" t="str">
        <f t="shared" si="49"/>
        <v/>
      </c>
      <c r="B514" s="83" t="str">
        <f t="shared" si="50"/>
        <v/>
      </c>
      <c r="U514" s="83" t="str">
        <f t="shared" si="51"/>
        <v/>
      </c>
      <c r="V514" s="83" t="str">
        <f t="shared" si="52"/>
        <v/>
      </c>
      <c r="AA514" s="60">
        <f t="shared" si="53"/>
        <v>0</v>
      </c>
      <c r="AB514" s="49">
        <f t="shared" si="54"/>
        <v>0</v>
      </c>
      <c r="AC514" s="60">
        <f t="shared" si="55"/>
        <v>0</v>
      </c>
    </row>
    <row r="515" spans="1:29">
      <c r="A515" s="83" t="str">
        <f t="shared" ref="A515:A578" si="56">IF(G515&amp;Q515&lt;&gt;"",U515&amp;Q515,"")</f>
        <v/>
      </c>
      <c r="B515" s="83" t="str">
        <f t="shared" ref="B515:B578" si="57">IF(C515&lt;&gt;"",LEFT(C515,9),"")</f>
        <v/>
      </c>
      <c r="U515" s="83" t="str">
        <f t="shared" ref="U515:U578" si="58">IF(G515&lt;&gt;"",IF(StyleSpaceSplit,IFERROR(IF(FIND(" ",G515)&gt;=1,MID(G515,1,FIND(" ",G515)-1),G515),G515),G515),"")</f>
        <v/>
      </c>
      <c r="V515" s="83" t="str">
        <f t="shared" ref="V515:V578" si="59">IF(A515&lt;&gt;"",IFERROR(IF(FIND(" ",G515)&gt;=1,MID(G515,FIND(" ",G515)+1,LEN(G515)),""),G515),"")</f>
        <v/>
      </c>
      <c r="AA515" s="60">
        <f t="shared" ref="AA515:AA578" si="60">IFERROR(VALUE(MID($C515,1,2)),0)</f>
        <v>0</v>
      </c>
      <c r="AB515" s="49">
        <f t="shared" ref="AB515:AB578" si="61">IFERROR(VALUE(MID($C515,4,3)),0)</f>
        <v>0</v>
      </c>
      <c r="AC515" s="60">
        <f t="shared" ref="AC515:AC578" si="62">VALUE(RIGHT("00"&amp;AA515,2)&amp;RIGHT("000"&amp;AB515,3))</f>
        <v>0</v>
      </c>
    </row>
    <row r="516" spans="1:29">
      <c r="A516" s="83" t="str">
        <f t="shared" si="56"/>
        <v/>
      </c>
      <c r="B516" s="83" t="str">
        <f t="shared" si="57"/>
        <v/>
      </c>
      <c r="U516" s="83" t="str">
        <f t="shared" si="58"/>
        <v/>
      </c>
      <c r="V516" s="83" t="str">
        <f t="shared" si="59"/>
        <v/>
      </c>
      <c r="AA516" s="60">
        <f t="shared" si="60"/>
        <v>0</v>
      </c>
      <c r="AB516" s="49">
        <f t="shared" si="61"/>
        <v>0</v>
      </c>
      <c r="AC516" s="60">
        <f t="shared" si="62"/>
        <v>0</v>
      </c>
    </row>
    <row r="517" spans="1:29">
      <c r="A517" s="83" t="str">
        <f t="shared" si="56"/>
        <v/>
      </c>
      <c r="B517" s="83" t="str">
        <f t="shared" si="57"/>
        <v/>
      </c>
      <c r="U517" s="83" t="str">
        <f t="shared" si="58"/>
        <v/>
      </c>
      <c r="V517" s="83" t="str">
        <f t="shared" si="59"/>
        <v/>
      </c>
      <c r="AA517" s="60">
        <f t="shared" si="60"/>
        <v>0</v>
      </c>
      <c r="AB517" s="49">
        <f t="shared" si="61"/>
        <v>0</v>
      </c>
      <c r="AC517" s="60">
        <f t="shared" si="62"/>
        <v>0</v>
      </c>
    </row>
    <row r="518" spans="1:29">
      <c r="A518" s="83" t="str">
        <f t="shared" si="56"/>
        <v/>
      </c>
      <c r="B518" s="83" t="str">
        <f t="shared" si="57"/>
        <v/>
      </c>
      <c r="U518" s="83" t="str">
        <f t="shared" si="58"/>
        <v/>
      </c>
      <c r="V518" s="83" t="str">
        <f t="shared" si="59"/>
        <v/>
      </c>
      <c r="AA518" s="60">
        <f t="shared" si="60"/>
        <v>0</v>
      </c>
      <c r="AB518" s="49">
        <f t="shared" si="61"/>
        <v>0</v>
      </c>
      <c r="AC518" s="60">
        <f t="shared" si="62"/>
        <v>0</v>
      </c>
    </row>
    <row r="519" spans="1:29">
      <c r="A519" s="83" t="str">
        <f t="shared" si="56"/>
        <v/>
      </c>
      <c r="B519" s="83" t="str">
        <f t="shared" si="57"/>
        <v/>
      </c>
      <c r="U519" s="83" t="str">
        <f t="shared" si="58"/>
        <v/>
      </c>
      <c r="V519" s="83" t="str">
        <f t="shared" si="59"/>
        <v/>
      </c>
      <c r="AA519" s="60">
        <f t="shared" si="60"/>
        <v>0</v>
      </c>
      <c r="AB519" s="49">
        <f t="shared" si="61"/>
        <v>0</v>
      </c>
      <c r="AC519" s="60">
        <f t="shared" si="62"/>
        <v>0</v>
      </c>
    </row>
    <row r="520" spans="1:29">
      <c r="A520" s="83" t="str">
        <f t="shared" si="56"/>
        <v/>
      </c>
      <c r="B520" s="83" t="str">
        <f t="shared" si="57"/>
        <v/>
      </c>
      <c r="U520" s="83" t="str">
        <f t="shared" si="58"/>
        <v/>
      </c>
      <c r="V520" s="83" t="str">
        <f t="shared" si="59"/>
        <v/>
      </c>
      <c r="AA520" s="60">
        <f t="shared" si="60"/>
        <v>0</v>
      </c>
      <c r="AB520" s="49">
        <f t="shared" si="61"/>
        <v>0</v>
      </c>
      <c r="AC520" s="60">
        <f t="shared" si="62"/>
        <v>0</v>
      </c>
    </row>
    <row r="521" spans="1:29">
      <c r="A521" s="83" t="str">
        <f t="shared" si="56"/>
        <v/>
      </c>
      <c r="B521" s="83" t="str">
        <f t="shared" si="57"/>
        <v/>
      </c>
      <c r="U521" s="83" t="str">
        <f t="shared" si="58"/>
        <v/>
      </c>
      <c r="V521" s="83" t="str">
        <f t="shared" si="59"/>
        <v/>
      </c>
      <c r="AA521" s="60">
        <f t="shared" si="60"/>
        <v>0</v>
      </c>
      <c r="AB521" s="49">
        <f t="shared" si="61"/>
        <v>0</v>
      </c>
      <c r="AC521" s="60">
        <f t="shared" si="62"/>
        <v>0</v>
      </c>
    </row>
    <row r="522" spans="1:29">
      <c r="A522" s="83" t="str">
        <f t="shared" si="56"/>
        <v/>
      </c>
      <c r="B522" s="83" t="str">
        <f t="shared" si="57"/>
        <v/>
      </c>
      <c r="U522" s="83" t="str">
        <f t="shared" si="58"/>
        <v/>
      </c>
      <c r="V522" s="83" t="str">
        <f t="shared" si="59"/>
        <v/>
      </c>
      <c r="AA522" s="60">
        <f t="shared" si="60"/>
        <v>0</v>
      </c>
      <c r="AB522" s="49">
        <f t="shared" si="61"/>
        <v>0</v>
      </c>
      <c r="AC522" s="60">
        <f t="shared" si="62"/>
        <v>0</v>
      </c>
    </row>
    <row r="523" spans="1:29">
      <c r="A523" s="83" t="str">
        <f t="shared" si="56"/>
        <v/>
      </c>
      <c r="B523" s="83" t="str">
        <f t="shared" si="57"/>
        <v/>
      </c>
      <c r="U523" s="83" t="str">
        <f t="shared" si="58"/>
        <v/>
      </c>
      <c r="V523" s="83" t="str">
        <f t="shared" si="59"/>
        <v/>
      </c>
      <c r="AA523" s="60">
        <f t="shared" si="60"/>
        <v>0</v>
      </c>
      <c r="AB523" s="49">
        <f t="shared" si="61"/>
        <v>0</v>
      </c>
      <c r="AC523" s="60">
        <f t="shared" si="62"/>
        <v>0</v>
      </c>
    </row>
    <row r="524" spans="1:29">
      <c r="A524" s="83" t="str">
        <f t="shared" si="56"/>
        <v/>
      </c>
      <c r="B524" s="83" t="str">
        <f t="shared" si="57"/>
        <v/>
      </c>
      <c r="U524" s="83" t="str">
        <f t="shared" si="58"/>
        <v/>
      </c>
      <c r="V524" s="83" t="str">
        <f t="shared" si="59"/>
        <v/>
      </c>
      <c r="AA524" s="60">
        <f t="shared" si="60"/>
        <v>0</v>
      </c>
      <c r="AB524" s="49">
        <f t="shared" si="61"/>
        <v>0</v>
      </c>
      <c r="AC524" s="60">
        <f t="shared" si="62"/>
        <v>0</v>
      </c>
    </row>
    <row r="525" spans="1:29">
      <c r="A525" s="83" t="str">
        <f t="shared" si="56"/>
        <v/>
      </c>
      <c r="B525" s="83" t="str">
        <f t="shared" si="57"/>
        <v/>
      </c>
      <c r="U525" s="83" t="str">
        <f t="shared" si="58"/>
        <v/>
      </c>
      <c r="V525" s="83" t="str">
        <f t="shared" si="59"/>
        <v/>
      </c>
      <c r="AA525" s="60">
        <f t="shared" si="60"/>
        <v>0</v>
      </c>
      <c r="AB525" s="49">
        <f t="shared" si="61"/>
        <v>0</v>
      </c>
      <c r="AC525" s="60">
        <f t="shared" si="62"/>
        <v>0</v>
      </c>
    </row>
    <row r="526" spans="1:29">
      <c r="A526" s="83" t="str">
        <f t="shared" si="56"/>
        <v/>
      </c>
      <c r="B526" s="83" t="str">
        <f t="shared" si="57"/>
        <v/>
      </c>
      <c r="U526" s="83" t="str">
        <f t="shared" si="58"/>
        <v/>
      </c>
      <c r="V526" s="83" t="str">
        <f t="shared" si="59"/>
        <v/>
      </c>
      <c r="AA526" s="60">
        <f t="shared" si="60"/>
        <v>0</v>
      </c>
      <c r="AB526" s="49">
        <f t="shared" si="61"/>
        <v>0</v>
      </c>
      <c r="AC526" s="60">
        <f t="shared" si="62"/>
        <v>0</v>
      </c>
    </row>
    <row r="527" spans="1:29">
      <c r="A527" s="83" t="str">
        <f t="shared" si="56"/>
        <v/>
      </c>
      <c r="B527" s="83" t="str">
        <f t="shared" si="57"/>
        <v/>
      </c>
      <c r="U527" s="83" t="str">
        <f t="shared" si="58"/>
        <v/>
      </c>
      <c r="V527" s="83" t="str">
        <f t="shared" si="59"/>
        <v/>
      </c>
      <c r="AA527" s="60">
        <f t="shared" si="60"/>
        <v>0</v>
      </c>
      <c r="AB527" s="49">
        <f t="shared" si="61"/>
        <v>0</v>
      </c>
      <c r="AC527" s="60">
        <f t="shared" si="62"/>
        <v>0</v>
      </c>
    </row>
    <row r="528" spans="1:29">
      <c r="A528" s="83" t="str">
        <f t="shared" si="56"/>
        <v/>
      </c>
      <c r="B528" s="83" t="str">
        <f t="shared" si="57"/>
        <v/>
      </c>
      <c r="U528" s="83" t="str">
        <f t="shared" si="58"/>
        <v/>
      </c>
      <c r="V528" s="83" t="str">
        <f t="shared" si="59"/>
        <v/>
      </c>
      <c r="AA528" s="60">
        <f t="shared" si="60"/>
        <v>0</v>
      </c>
      <c r="AB528" s="49">
        <f t="shared" si="61"/>
        <v>0</v>
      </c>
      <c r="AC528" s="60">
        <f t="shared" si="62"/>
        <v>0</v>
      </c>
    </row>
    <row r="529" spans="1:29">
      <c r="A529" s="83" t="str">
        <f t="shared" si="56"/>
        <v/>
      </c>
      <c r="B529" s="83" t="str">
        <f t="shared" si="57"/>
        <v/>
      </c>
      <c r="U529" s="83" t="str">
        <f t="shared" si="58"/>
        <v/>
      </c>
      <c r="V529" s="83" t="str">
        <f t="shared" si="59"/>
        <v/>
      </c>
      <c r="AA529" s="60">
        <f t="shared" si="60"/>
        <v>0</v>
      </c>
      <c r="AB529" s="49">
        <f t="shared" si="61"/>
        <v>0</v>
      </c>
      <c r="AC529" s="60">
        <f t="shared" si="62"/>
        <v>0</v>
      </c>
    </row>
    <row r="530" spans="1:29">
      <c r="A530" s="83" t="str">
        <f t="shared" si="56"/>
        <v/>
      </c>
      <c r="B530" s="83" t="str">
        <f t="shared" si="57"/>
        <v/>
      </c>
      <c r="U530" s="83" t="str">
        <f t="shared" si="58"/>
        <v/>
      </c>
      <c r="V530" s="83" t="str">
        <f t="shared" si="59"/>
        <v/>
      </c>
      <c r="AA530" s="60">
        <f t="shared" si="60"/>
        <v>0</v>
      </c>
      <c r="AB530" s="49">
        <f t="shared" si="61"/>
        <v>0</v>
      </c>
      <c r="AC530" s="60">
        <f t="shared" si="62"/>
        <v>0</v>
      </c>
    </row>
    <row r="531" spans="1:29">
      <c r="A531" s="83" t="str">
        <f t="shared" si="56"/>
        <v/>
      </c>
      <c r="B531" s="83" t="str">
        <f t="shared" si="57"/>
        <v/>
      </c>
      <c r="U531" s="83" t="str">
        <f t="shared" si="58"/>
        <v/>
      </c>
      <c r="V531" s="83" t="str">
        <f t="shared" si="59"/>
        <v/>
      </c>
      <c r="AA531" s="60">
        <f t="shared" si="60"/>
        <v>0</v>
      </c>
      <c r="AB531" s="49">
        <f t="shared" si="61"/>
        <v>0</v>
      </c>
      <c r="AC531" s="60">
        <f t="shared" si="62"/>
        <v>0</v>
      </c>
    </row>
    <row r="532" spans="1:29">
      <c r="A532" s="83" t="str">
        <f t="shared" si="56"/>
        <v/>
      </c>
      <c r="B532" s="83" t="str">
        <f t="shared" si="57"/>
        <v/>
      </c>
      <c r="U532" s="83" t="str">
        <f t="shared" si="58"/>
        <v/>
      </c>
      <c r="V532" s="83" t="str">
        <f t="shared" si="59"/>
        <v/>
      </c>
      <c r="AA532" s="60">
        <f t="shared" si="60"/>
        <v>0</v>
      </c>
      <c r="AB532" s="49">
        <f t="shared" si="61"/>
        <v>0</v>
      </c>
      <c r="AC532" s="60">
        <f t="shared" si="62"/>
        <v>0</v>
      </c>
    </row>
    <row r="533" spans="1:29">
      <c r="A533" s="83" t="str">
        <f t="shared" si="56"/>
        <v/>
      </c>
      <c r="B533" s="83" t="str">
        <f t="shared" si="57"/>
        <v/>
      </c>
      <c r="U533" s="83" t="str">
        <f t="shared" si="58"/>
        <v/>
      </c>
      <c r="V533" s="83" t="str">
        <f t="shared" si="59"/>
        <v/>
      </c>
      <c r="AA533" s="60">
        <f t="shared" si="60"/>
        <v>0</v>
      </c>
      <c r="AB533" s="49">
        <f t="shared" si="61"/>
        <v>0</v>
      </c>
      <c r="AC533" s="60">
        <f t="shared" si="62"/>
        <v>0</v>
      </c>
    </row>
    <row r="534" spans="1:29">
      <c r="A534" s="83" t="str">
        <f t="shared" si="56"/>
        <v/>
      </c>
      <c r="B534" s="83" t="str">
        <f t="shared" si="57"/>
        <v/>
      </c>
      <c r="U534" s="83" t="str">
        <f t="shared" si="58"/>
        <v/>
      </c>
      <c r="V534" s="83" t="str">
        <f t="shared" si="59"/>
        <v/>
      </c>
      <c r="AA534" s="60">
        <f t="shared" si="60"/>
        <v>0</v>
      </c>
      <c r="AB534" s="49">
        <f t="shared" si="61"/>
        <v>0</v>
      </c>
      <c r="AC534" s="60">
        <f t="shared" si="62"/>
        <v>0</v>
      </c>
    </row>
    <row r="535" spans="1:29">
      <c r="A535" s="83" t="str">
        <f t="shared" si="56"/>
        <v/>
      </c>
      <c r="B535" s="83" t="str">
        <f t="shared" si="57"/>
        <v/>
      </c>
      <c r="U535" s="83" t="str">
        <f t="shared" si="58"/>
        <v/>
      </c>
      <c r="V535" s="83" t="str">
        <f t="shared" si="59"/>
        <v/>
      </c>
      <c r="AA535" s="60">
        <f t="shared" si="60"/>
        <v>0</v>
      </c>
      <c r="AB535" s="49">
        <f t="shared" si="61"/>
        <v>0</v>
      </c>
      <c r="AC535" s="60">
        <f t="shared" si="62"/>
        <v>0</v>
      </c>
    </row>
    <row r="536" spans="1:29">
      <c r="A536" s="83" t="str">
        <f t="shared" si="56"/>
        <v/>
      </c>
      <c r="B536" s="83" t="str">
        <f t="shared" si="57"/>
        <v/>
      </c>
      <c r="U536" s="83" t="str">
        <f t="shared" si="58"/>
        <v/>
      </c>
      <c r="V536" s="83" t="str">
        <f t="shared" si="59"/>
        <v/>
      </c>
      <c r="AA536" s="60">
        <f t="shared" si="60"/>
        <v>0</v>
      </c>
      <c r="AB536" s="49">
        <f t="shared" si="61"/>
        <v>0</v>
      </c>
      <c r="AC536" s="60">
        <f t="shared" si="62"/>
        <v>0</v>
      </c>
    </row>
    <row r="537" spans="1:29">
      <c r="A537" s="83" t="str">
        <f t="shared" si="56"/>
        <v/>
      </c>
      <c r="B537" s="83" t="str">
        <f t="shared" si="57"/>
        <v/>
      </c>
      <c r="U537" s="83" t="str">
        <f t="shared" si="58"/>
        <v/>
      </c>
      <c r="V537" s="83" t="str">
        <f t="shared" si="59"/>
        <v/>
      </c>
      <c r="AA537" s="60">
        <f t="shared" si="60"/>
        <v>0</v>
      </c>
      <c r="AB537" s="49">
        <f t="shared" si="61"/>
        <v>0</v>
      </c>
      <c r="AC537" s="60">
        <f t="shared" si="62"/>
        <v>0</v>
      </c>
    </row>
    <row r="538" spans="1:29">
      <c r="A538" s="83" t="str">
        <f t="shared" si="56"/>
        <v/>
      </c>
      <c r="B538" s="83" t="str">
        <f t="shared" si="57"/>
        <v/>
      </c>
      <c r="U538" s="83" t="str">
        <f t="shared" si="58"/>
        <v/>
      </c>
      <c r="V538" s="83" t="str">
        <f t="shared" si="59"/>
        <v/>
      </c>
      <c r="AA538" s="60">
        <f t="shared" si="60"/>
        <v>0</v>
      </c>
      <c r="AB538" s="49">
        <f t="shared" si="61"/>
        <v>0</v>
      </c>
      <c r="AC538" s="60">
        <f t="shared" si="62"/>
        <v>0</v>
      </c>
    </row>
    <row r="539" spans="1:29">
      <c r="A539" s="83" t="str">
        <f t="shared" si="56"/>
        <v/>
      </c>
      <c r="B539" s="83" t="str">
        <f t="shared" si="57"/>
        <v/>
      </c>
      <c r="U539" s="83" t="str">
        <f t="shared" si="58"/>
        <v/>
      </c>
      <c r="V539" s="83" t="str">
        <f t="shared" si="59"/>
        <v/>
      </c>
      <c r="AA539" s="60">
        <f t="shared" si="60"/>
        <v>0</v>
      </c>
      <c r="AB539" s="49">
        <f t="shared" si="61"/>
        <v>0</v>
      </c>
      <c r="AC539" s="60">
        <f t="shared" si="62"/>
        <v>0</v>
      </c>
    </row>
    <row r="540" spans="1:29">
      <c r="A540" s="83" t="str">
        <f t="shared" si="56"/>
        <v/>
      </c>
      <c r="B540" s="83" t="str">
        <f t="shared" si="57"/>
        <v/>
      </c>
      <c r="U540" s="83" t="str">
        <f t="shared" si="58"/>
        <v/>
      </c>
      <c r="V540" s="83" t="str">
        <f t="shared" si="59"/>
        <v/>
      </c>
      <c r="AA540" s="60">
        <f t="shared" si="60"/>
        <v>0</v>
      </c>
      <c r="AB540" s="49">
        <f t="shared" si="61"/>
        <v>0</v>
      </c>
      <c r="AC540" s="60">
        <f t="shared" si="62"/>
        <v>0</v>
      </c>
    </row>
    <row r="541" spans="1:29">
      <c r="A541" s="83" t="str">
        <f t="shared" si="56"/>
        <v/>
      </c>
      <c r="B541" s="83" t="str">
        <f t="shared" si="57"/>
        <v/>
      </c>
      <c r="U541" s="83" t="str">
        <f t="shared" si="58"/>
        <v/>
      </c>
      <c r="V541" s="83" t="str">
        <f t="shared" si="59"/>
        <v/>
      </c>
      <c r="AA541" s="60">
        <f t="shared" si="60"/>
        <v>0</v>
      </c>
      <c r="AB541" s="49">
        <f t="shared" si="61"/>
        <v>0</v>
      </c>
      <c r="AC541" s="60">
        <f t="shared" si="62"/>
        <v>0</v>
      </c>
    </row>
    <row r="542" spans="1:29">
      <c r="A542" s="83" t="str">
        <f t="shared" si="56"/>
        <v/>
      </c>
      <c r="B542" s="83" t="str">
        <f t="shared" si="57"/>
        <v/>
      </c>
      <c r="U542" s="83" t="str">
        <f t="shared" si="58"/>
        <v/>
      </c>
      <c r="V542" s="83" t="str">
        <f t="shared" si="59"/>
        <v/>
      </c>
      <c r="AA542" s="60">
        <f t="shared" si="60"/>
        <v>0</v>
      </c>
      <c r="AB542" s="49">
        <f t="shared" si="61"/>
        <v>0</v>
      </c>
      <c r="AC542" s="60">
        <f t="shared" si="62"/>
        <v>0</v>
      </c>
    </row>
    <row r="543" spans="1:29">
      <c r="A543" s="83" t="str">
        <f t="shared" si="56"/>
        <v/>
      </c>
      <c r="B543" s="83" t="str">
        <f t="shared" si="57"/>
        <v/>
      </c>
      <c r="U543" s="83" t="str">
        <f t="shared" si="58"/>
        <v/>
      </c>
      <c r="V543" s="83" t="str">
        <f t="shared" si="59"/>
        <v/>
      </c>
      <c r="AA543" s="60">
        <f t="shared" si="60"/>
        <v>0</v>
      </c>
      <c r="AB543" s="49">
        <f t="shared" si="61"/>
        <v>0</v>
      </c>
      <c r="AC543" s="60">
        <f t="shared" si="62"/>
        <v>0</v>
      </c>
    </row>
    <row r="544" spans="1:29">
      <c r="A544" s="83" t="str">
        <f t="shared" si="56"/>
        <v/>
      </c>
      <c r="B544" s="83" t="str">
        <f t="shared" si="57"/>
        <v/>
      </c>
      <c r="U544" s="83" t="str">
        <f t="shared" si="58"/>
        <v/>
      </c>
      <c r="V544" s="83" t="str">
        <f t="shared" si="59"/>
        <v/>
      </c>
      <c r="AA544" s="60">
        <f t="shared" si="60"/>
        <v>0</v>
      </c>
      <c r="AB544" s="49">
        <f t="shared" si="61"/>
        <v>0</v>
      </c>
      <c r="AC544" s="60">
        <f t="shared" si="62"/>
        <v>0</v>
      </c>
    </row>
    <row r="545" spans="1:29">
      <c r="A545" s="83" t="str">
        <f t="shared" si="56"/>
        <v/>
      </c>
      <c r="B545" s="83" t="str">
        <f t="shared" si="57"/>
        <v/>
      </c>
      <c r="U545" s="83" t="str">
        <f t="shared" si="58"/>
        <v/>
      </c>
      <c r="V545" s="83" t="str">
        <f t="shared" si="59"/>
        <v/>
      </c>
      <c r="AA545" s="60">
        <f t="shared" si="60"/>
        <v>0</v>
      </c>
      <c r="AB545" s="49">
        <f t="shared" si="61"/>
        <v>0</v>
      </c>
      <c r="AC545" s="60">
        <f t="shared" si="62"/>
        <v>0</v>
      </c>
    </row>
    <row r="546" spans="1:29">
      <c r="A546" s="83" t="str">
        <f t="shared" si="56"/>
        <v/>
      </c>
      <c r="B546" s="83" t="str">
        <f t="shared" si="57"/>
        <v/>
      </c>
      <c r="U546" s="83" t="str">
        <f t="shared" si="58"/>
        <v/>
      </c>
      <c r="V546" s="83" t="str">
        <f t="shared" si="59"/>
        <v/>
      </c>
      <c r="AA546" s="60">
        <f t="shared" si="60"/>
        <v>0</v>
      </c>
      <c r="AB546" s="49">
        <f t="shared" si="61"/>
        <v>0</v>
      </c>
      <c r="AC546" s="60">
        <f t="shared" si="62"/>
        <v>0</v>
      </c>
    </row>
    <row r="547" spans="1:29">
      <c r="A547" s="83" t="str">
        <f t="shared" si="56"/>
        <v/>
      </c>
      <c r="B547" s="83" t="str">
        <f t="shared" si="57"/>
        <v/>
      </c>
      <c r="U547" s="83" t="str">
        <f t="shared" si="58"/>
        <v/>
      </c>
      <c r="V547" s="83" t="str">
        <f t="shared" si="59"/>
        <v/>
      </c>
      <c r="AA547" s="60">
        <f t="shared" si="60"/>
        <v>0</v>
      </c>
      <c r="AB547" s="49">
        <f t="shared" si="61"/>
        <v>0</v>
      </c>
      <c r="AC547" s="60">
        <f t="shared" si="62"/>
        <v>0</v>
      </c>
    </row>
    <row r="548" spans="1:29">
      <c r="A548" s="83" t="str">
        <f t="shared" si="56"/>
        <v/>
      </c>
      <c r="B548" s="83" t="str">
        <f t="shared" si="57"/>
        <v/>
      </c>
      <c r="U548" s="83" t="str">
        <f t="shared" si="58"/>
        <v/>
      </c>
      <c r="V548" s="83" t="str">
        <f t="shared" si="59"/>
        <v/>
      </c>
      <c r="AA548" s="60">
        <f t="shared" si="60"/>
        <v>0</v>
      </c>
      <c r="AB548" s="49">
        <f t="shared" si="61"/>
        <v>0</v>
      </c>
      <c r="AC548" s="60">
        <f t="shared" si="62"/>
        <v>0</v>
      </c>
    </row>
    <row r="549" spans="1:29">
      <c r="A549" s="83" t="str">
        <f t="shared" si="56"/>
        <v/>
      </c>
      <c r="B549" s="83" t="str">
        <f t="shared" si="57"/>
        <v/>
      </c>
      <c r="U549" s="83" t="str">
        <f t="shared" si="58"/>
        <v/>
      </c>
      <c r="V549" s="83" t="str">
        <f t="shared" si="59"/>
        <v/>
      </c>
      <c r="AA549" s="60">
        <f t="shared" si="60"/>
        <v>0</v>
      </c>
      <c r="AB549" s="49">
        <f t="shared" si="61"/>
        <v>0</v>
      </c>
      <c r="AC549" s="60">
        <f t="shared" si="62"/>
        <v>0</v>
      </c>
    </row>
    <row r="550" spans="1:29">
      <c r="A550" s="83" t="str">
        <f t="shared" si="56"/>
        <v/>
      </c>
      <c r="B550" s="83" t="str">
        <f t="shared" si="57"/>
        <v/>
      </c>
      <c r="U550" s="83" t="str">
        <f t="shared" si="58"/>
        <v/>
      </c>
      <c r="V550" s="83" t="str">
        <f t="shared" si="59"/>
        <v/>
      </c>
      <c r="AA550" s="60">
        <f t="shared" si="60"/>
        <v>0</v>
      </c>
      <c r="AB550" s="49">
        <f t="shared" si="61"/>
        <v>0</v>
      </c>
      <c r="AC550" s="60">
        <f t="shared" si="62"/>
        <v>0</v>
      </c>
    </row>
    <row r="551" spans="1:29">
      <c r="A551" s="83" t="str">
        <f t="shared" si="56"/>
        <v/>
      </c>
      <c r="B551" s="83" t="str">
        <f t="shared" si="57"/>
        <v/>
      </c>
      <c r="U551" s="83" t="str">
        <f t="shared" si="58"/>
        <v/>
      </c>
      <c r="V551" s="83" t="str">
        <f t="shared" si="59"/>
        <v/>
      </c>
      <c r="AA551" s="60">
        <f t="shared" si="60"/>
        <v>0</v>
      </c>
      <c r="AB551" s="49">
        <f t="shared" si="61"/>
        <v>0</v>
      </c>
      <c r="AC551" s="60">
        <f t="shared" si="62"/>
        <v>0</v>
      </c>
    </row>
    <row r="552" spans="1:29">
      <c r="A552" s="83" t="str">
        <f t="shared" si="56"/>
        <v/>
      </c>
      <c r="B552" s="83" t="str">
        <f t="shared" si="57"/>
        <v/>
      </c>
      <c r="U552" s="83" t="str">
        <f t="shared" si="58"/>
        <v/>
      </c>
      <c r="V552" s="83" t="str">
        <f t="shared" si="59"/>
        <v/>
      </c>
      <c r="AA552" s="60">
        <f t="shared" si="60"/>
        <v>0</v>
      </c>
      <c r="AB552" s="49">
        <f t="shared" si="61"/>
        <v>0</v>
      </c>
      <c r="AC552" s="60">
        <f t="shared" si="62"/>
        <v>0</v>
      </c>
    </row>
    <row r="553" spans="1:29">
      <c r="A553" s="83" t="str">
        <f t="shared" si="56"/>
        <v/>
      </c>
      <c r="B553" s="83" t="str">
        <f t="shared" si="57"/>
        <v/>
      </c>
      <c r="U553" s="83" t="str">
        <f t="shared" si="58"/>
        <v/>
      </c>
      <c r="V553" s="83" t="str">
        <f t="shared" si="59"/>
        <v/>
      </c>
      <c r="AA553" s="60">
        <f t="shared" si="60"/>
        <v>0</v>
      </c>
      <c r="AB553" s="49">
        <f t="shared" si="61"/>
        <v>0</v>
      </c>
      <c r="AC553" s="60">
        <f t="shared" si="62"/>
        <v>0</v>
      </c>
    </row>
    <row r="554" spans="1:29">
      <c r="A554" s="83" t="str">
        <f t="shared" si="56"/>
        <v/>
      </c>
      <c r="B554" s="83" t="str">
        <f t="shared" si="57"/>
        <v/>
      </c>
      <c r="U554" s="83" t="str">
        <f t="shared" si="58"/>
        <v/>
      </c>
      <c r="V554" s="83" t="str">
        <f t="shared" si="59"/>
        <v/>
      </c>
      <c r="AA554" s="60">
        <f t="shared" si="60"/>
        <v>0</v>
      </c>
      <c r="AB554" s="49">
        <f t="shared" si="61"/>
        <v>0</v>
      </c>
      <c r="AC554" s="60">
        <f t="shared" si="62"/>
        <v>0</v>
      </c>
    </row>
    <row r="555" spans="1:29">
      <c r="A555" s="83" t="str">
        <f t="shared" si="56"/>
        <v/>
      </c>
      <c r="B555" s="83" t="str">
        <f t="shared" si="57"/>
        <v/>
      </c>
      <c r="U555" s="83" t="str">
        <f t="shared" si="58"/>
        <v/>
      </c>
      <c r="V555" s="83" t="str">
        <f t="shared" si="59"/>
        <v/>
      </c>
      <c r="AA555" s="60">
        <f t="shared" si="60"/>
        <v>0</v>
      </c>
      <c r="AB555" s="49">
        <f t="shared" si="61"/>
        <v>0</v>
      </c>
      <c r="AC555" s="60">
        <f t="shared" si="62"/>
        <v>0</v>
      </c>
    </row>
    <row r="556" spans="1:29">
      <c r="A556" s="83" t="str">
        <f t="shared" si="56"/>
        <v/>
      </c>
      <c r="B556" s="83" t="str">
        <f t="shared" si="57"/>
        <v/>
      </c>
      <c r="U556" s="83" t="str">
        <f t="shared" si="58"/>
        <v/>
      </c>
      <c r="V556" s="83" t="str">
        <f t="shared" si="59"/>
        <v/>
      </c>
      <c r="AA556" s="60">
        <f t="shared" si="60"/>
        <v>0</v>
      </c>
      <c r="AB556" s="49">
        <f t="shared" si="61"/>
        <v>0</v>
      </c>
      <c r="AC556" s="60">
        <f t="shared" si="62"/>
        <v>0</v>
      </c>
    </row>
    <row r="557" spans="1:29">
      <c r="A557" s="83" t="str">
        <f t="shared" si="56"/>
        <v/>
      </c>
      <c r="B557" s="83" t="str">
        <f t="shared" si="57"/>
        <v/>
      </c>
      <c r="U557" s="83" t="str">
        <f t="shared" si="58"/>
        <v/>
      </c>
      <c r="V557" s="83" t="str">
        <f t="shared" si="59"/>
        <v/>
      </c>
      <c r="AA557" s="60">
        <f t="shared" si="60"/>
        <v>0</v>
      </c>
      <c r="AB557" s="49">
        <f t="shared" si="61"/>
        <v>0</v>
      </c>
      <c r="AC557" s="60">
        <f t="shared" si="62"/>
        <v>0</v>
      </c>
    </row>
    <row r="558" spans="1:29">
      <c r="A558" s="83" t="str">
        <f t="shared" si="56"/>
        <v/>
      </c>
      <c r="B558" s="83" t="str">
        <f t="shared" si="57"/>
        <v/>
      </c>
      <c r="U558" s="83" t="str">
        <f t="shared" si="58"/>
        <v/>
      </c>
      <c r="V558" s="83" t="str">
        <f t="shared" si="59"/>
        <v/>
      </c>
      <c r="AA558" s="60">
        <f t="shared" si="60"/>
        <v>0</v>
      </c>
      <c r="AB558" s="49">
        <f t="shared" si="61"/>
        <v>0</v>
      </c>
      <c r="AC558" s="60">
        <f t="shared" si="62"/>
        <v>0</v>
      </c>
    </row>
    <row r="559" spans="1:29">
      <c r="A559" s="83" t="str">
        <f t="shared" si="56"/>
        <v/>
      </c>
      <c r="B559" s="83" t="str">
        <f t="shared" si="57"/>
        <v/>
      </c>
      <c r="U559" s="83" t="str">
        <f t="shared" si="58"/>
        <v/>
      </c>
      <c r="V559" s="83" t="str">
        <f t="shared" si="59"/>
        <v/>
      </c>
      <c r="AA559" s="60">
        <f t="shared" si="60"/>
        <v>0</v>
      </c>
      <c r="AB559" s="49">
        <f t="shared" si="61"/>
        <v>0</v>
      </c>
      <c r="AC559" s="60">
        <f t="shared" si="62"/>
        <v>0</v>
      </c>
    </row>
    <row r="560" spans="1:29">
      <c r="A560" s="83" t="str">
        <f t="shared" si="56"/>
        <v/>
      </c>
      <c r="B560" s="83" t="str">
        <f t="shared" si="57"/>
        <v/>
      </c>
      <c r="U560" s="83" t="str">
        <f t="shared" si="58"/>
        <v/>
      </c>
      <c r="V560" s="83" t="str">
        <f t="shared" si="59"/>
        <v/>
      </c>
      <c r="AA560" s="60">
        <f t="shared" si="60"/>
        <v>0</v>
      </c>
      <c r="AB560" s="49">
        <f t="shared" si="61"/>
        <v>0</v>
      </c>
      <c r="AC560" s="60">
        <f t="shared" si="62"/>
        <v>0</v>
      </c>
    </row>
    <row r="561" spans="1:29">
      <c r="A561" s="83" t="str">
        <f t="shared" si="56"/>
        <v/>
      </c>
      <c r="B561" s="83" t="str">
        <f t="shared" si="57"/>
        <v/>
      </c>
      <c r="U561" s="83" t="str">
        <f t="shared" si="58"/>
        <v/>
      </c>
      <c r="V561" s="83" t="str">
        <f t="shared" si="59"/>
        <v/>
      </c>
      <c r="AA561" s="60">
        <f t="shared" si="60"/>
        <v>0</v>
      </c>
      <c r="AB561" s="49">
        <f t="shared" si="61"/>
        <v>0</v>
      </c>
      <c r="AC561" s="60">
        <f t="shared" si="62"/>
        <v>0</v>
      </c>
    </row>
    <row r="562" spans="1:29">
      <c r="A562" s="83" t="str">
        <f t="shared" si="56"/>
        <v/>
      </c>
      <c r="B562" s="83" t="str">
        <f t="shared" si="57"/>
        <v/>
      </c>
      <c r="U562" s="83" t="str">
        <f t="shared" si="58"/>
        <v/>
      </c>
      <c r="V562" s="83" t="str">
        <f t="shared" si="59"/>
        <v/>
      </c>
      <c r="AA562" s="60">
        <f t="shared" si="60"/>
        <v>0</v>
      </c>
      <c r="AB562" s="49">
        <f t="shared" si="61"/>
        <v>0</v>
      </c>
      <c r="AC562" s="60">
        <f t="shared" si="62"/>
        <v>0</v>
      </c>
    </row>
    <row r="563" spans="1:29">
      <c r="A563" s="83" t="str">
        <f t="shared" si="56"/>
        <v/>
      </c>
      <c r="B563" s="83" t="str">
        <f t="shared" si="57"/>
        <v/>
      </c>
      <c r="U563" s="83" t="str">
        <f t="shared" si="58"/>
        <v/>
      </c>
      <c r="V563" s="83" t="str">
        <f t="shared" si="59"/>
        <v/>
      </c>
      <c r="AA563" s="60">
        <f t="shared" si="60"/>
        <v>0</v>
      </c>
      <c r="AB563" s="49">
        <f t="shared" si="61"/>
        <v>0</v>
      </c>
      <c r="AC563" s="60">
        <f t="shared" si="62"/>
        <v>0</v>
      </c>
    </row>
    <row r="564" spans="1:29">
      <c r="A564" s="83" t="str">
        <f t="shared" si="56"/>
        <v/>
      </c>
      <c r="B564" s="83" t="str">
        <f t="shared" si="57"/>
        <v/>
      </c>
      <c r="U564" s="83" t="str">
        <f t="shared" si="58"/>
        <v/>
      </c>
      <c r="V564" s="83" t="str">
        <f t="shared" si="59"/>
        <v/>
      </c>
      <c r="AA564" s="60">
        <f t="shared" si="60"/>
        <v>0</v>
      </c>
      <c r="AB564" s="49">
        <f t="shared" si="61"/>
        <v>0</v>
      </c>
      <c r="AC564" s="60">
        <f t="shared" si="62"/>
        <v>0</v>
      </c>
    </row>
    <row r="565" spans="1:29">
      <c r="A565" s="83" t="str">
        <f t="shared" si="56"/>
        <v/>
      </c>
      <c r="B565" s="83" t="str">
        <f t="shared" si="57"/>
        <v/>
      </c>
      <c r="U565" s="83" t="str">
        <f t="shared" si="58"/>
        <v/>
      </c>
      <c r="V565" s="83" t="str">
        <f t="shared" si="59"/>
        <v/>
      </c>
      <c r="AA565" s="60">
        <f t="shared" si="60"/>
        <v>0</v>
      </c>
      <c r="AB565" s="49">
        <f t="shared" si="61"/>
        <v>0</v>
      </c>
      <c r="AC565" s="60">
        <f t="shared" si="62"/>
        <v>0</v>
      </c>
    </row>
    <row r="566" spans="1:29">
      <c r="A566" s="83" t="str">
        <f t="shared" si="56"/>
        <v/>
      </c>
      <c r="B566" s="83" t="str">
        <f t="shared" si="57"/>
        <v/>
      </c>
      <c r="U566" s="83" t="str">
        <f t="shared" si="58"/>
        <v/>
      </c>
      <c r="V566" s="83" t="str">
        <f t="shared" si="59"/>
        <v/>
      </c>
      <c r="AA566" s="60">
        <f t="shared" si="60"/>
        <v>0</v>
      </c>
      <c r="AB566" s="49">
        <f t="shared" si="61"/>
        <v>0</v>
      </c>
      <c r="AC566" s="60">
        <f t="shared" si="62"/>
        <v>0</v>
      </c>
    </row>
    <row r="567" spans="1:29">
      <c r="A567" s="83" t="str">
        <f t="shared" si="56"/>
        <v/>
      </c>
      <c r="B567" s="83" t="str">
        <f t="shared" si="57"/>
        <v/>
      </c>
      <c r="U567" s="83" t="str">
        <f t="shared" si="58"/>
        <v/>
      </c>
      <c r="V567" s="83" t="str">
        <f t="shared" si="59"/>
        <v/>
      </c>
      <c r="AA567" s="60">
        <f t="shared" si="60"/>
        <v>0</v>
      </c>
      <c r="AB567" s="49">
        <f t="shared" si="61"/>
        <v>0</v>
      </c>
      <c r="AC567" s="60">
        <f t="shared" si="62"/>
        <v>0</v>
      </c>
    </row>
    <row r="568" spans="1:29">
      <c r="A568" s="83" t="str">
        <f t="shared" si="56"/>
        <v/>
      </c>
      <c r="B568" s="83" t="str">
        <f t="shared" si="57"/>
        <v/>
      </c>
      <c r="U568" s="83" t="str">
        <f t="shared" si="58"/>
        <v/>
      </c>
      <c r="V568" s="83" t="str">
        <f t="shared" si="59"/>
        <v/>
      </c>
      <c r="AA568" s="60">
        <f t="shared" si="60"/>
        <v>0</v>
      </c>
      <c r="AB568" s="49">
        <f t="shared" si="61"/>
        <v>0</v>
      </c>
      <c r="AC568" s="60">
        <f t="shared" si="62"/>
        <v>0</v>
      </c>
    </row>
    <row r="569" spans="1:29">
      <c r="A569" s="83" t="str">
        <f t="shared" si="56"/>
        <v/>
      </c>
      <c r="B569" s="83" t="str">
        <f t="shared" si="57"/>
        <v/>
      </c>
      <c r="U569" s="83" t="str">
        <f t="shared" si="58"/>
        <v/>
      </c>
      <c r="V569" s="83" t="str">
        <f t="shared" si="59"/>
        <v/>
      </c>
      <c r="AA569" s="60">
        <f t="shared" si="60"/>
        <v>0</v>
      </c>
      <c r="AB569" s="49">
        <f t="shared" si="61"/>
        <v>0</v>
      </c>
      <c r="AC569" s="60">
        <f t="shared" si="62"/>
        <v>0</v>
      </c>
    </row>
    <row r="570" spans="1:29">
      <c r="A570" s="83" t="str">
        <f t="shared" si="56"/>
        <v/>
      </c>
      <c r="B570" s="83" t="str">
        <f t="shared" si="57"/>
        <v/>
      </c>
      <c r="U570" s="83" t="str">
        <f t="shared" si="58"/>
        <v/>
      </c>
      <c r="V570" s="83" t="str">
        <f t="shared" si="59"/>
        <v/>
      </c>
      <c r="AA570" s="60">
        <f t="shared" si="60"/>
        <v>0</v>
      </c>
      <c r="AB570" s="49">
        <f t="shared" si="61"/>
        <v>0</v>
      </c>
      <c r="AC570" s="60">
        <f t="shared" si="62"/>
        <v>0</v>
      </c>
    </row>
    <row r="571" spans="1:29">
      <c r="A571" s="83" t="str">
        <f t="shared" si="56"/>
        <v/>
      </c>
      <c r="B571" s="83" t="str">
        <f t="shared" si="57"/>
        <v/>
      </c>
      <c r="U571" s="83" t="str">
        <f t="shared" si="58"/>
        <v/>
      </c>
      <c r="V571" s="83" t="str">
        <f t="shared" si="59"/>
        <v/>
      </c>
      <c r="AA571" s="60">
        <f t="shared" si="60"/>
        <v>0</v>
      </c>
      <c r="AB571" s="49">
        <f t="shared" si="61"/>
        <v>0</v>
      </c>
      <c r="AC571" s="60">
        <f t="shared" si="62"/>
        <v>0</v>
      </c>
    </row>
    <row r="572" spans="1:29">
      <c r="A572" s="83" t="str">
        <f t="shared" si="56"/>
        <v/>
      </c>
      <c r="B572" s="83" t="str">
        <f t="shared" si="57"/>
        <v/>
      </c>
      <c r="U572" s="83" t="str">
        <f t="shared" si="58"/>
        <v/>
      </c>
      <c r="V572" s="83" t="str">
        <f t="shared" si="59"/>
        <v/>
      </c>
      <c r="AA572" s="60">
        <f t="shared" si="60"/>
        <v>0</v>
      </c>
      <c r="AB572" s="49">
        <f t="shared" si="61"/>
        <v>0</v>
      </c>
      <c r="AC572" s="60">
        <f t="shared" si="62"/>
        <v>0</v>
      </c>
    </row>
    <row r="573" spans="1:29">
      <c r="A573" s="83" t="str">
        <f t="shared" si="56"/>
        <v/>
      </c>
      <c r="B573" s="83" t="str">
        <f t="shared" si="57"/>
        <v/>
      </c>
      <c r="U573" s="83" t="str">
        <f t="shared" si="58"/>
        <v/>
      </c>
      <c r="V573" s="83" t="str">
        <f t="shared" si="59"/>
        <v/>
      </c>
      <c r="AA573" s="60">
        <f t="shared" si="60"/>
        <v>0</v>
      </c>
      <c r="AB573" s="49">
        <f t="shared" si="61"/>
        <v>0</v>
      </c>
      <c r="AC573" s="60">
        <f t="shared" si="62"/>
        <v>0</v>
      </c>
    </row>
    <row r="574" spans="1:29">
      <c r="A574" s="83" t="str">
        <f t="shared" si="56"/>
        <v/>
      </c>
      <c r="B574" s="83" t="str">
        <f t="shared" si="57"/>
        <v/>
      </c>
      <c r="U574" s="83" t="str">
        <f t="shared" si="58"/>
        <v/>
      </c>
      <c r="V574" s="83" t="str">
        <f t="shared" si="59"/>
        <v/>
      </c>
      <c r="AA574" s="60">
        <f t="shared" si="60"/>
        <v>0</v>
      </c>
      <c r="AB574" s="49">
        <f t="shared" si="61"/>
        <v>0</v>
      </c>
      <c r="AC574" s="60">
        <f t="shared" si="62"/>
        <v>0</v>
      </c>
    </row>
    <row r="575" spans="1:29">
      <c r="A575" s="83" t="str">
        <f t="shared" si="56"/>
        <v/>
      </c>
      <c r="B575" s="83" t="str">
        <f t="shared" si="57"/>
        <v/>
      </c>
      <c r="U575" s="83" t="str">
        <f t="shared" si="58"/>
        <v/>
      </c>
      <c r="V575" s="83" t="str">
        <f t="shared" si="59"/>
        <v/>
      </c>
      <c r="AA575" s="60">
        <f t="shared" si="60"/>
        <v>0</v>
      </c>
      <c r="AB575" s="49">
        <f t="shared" si="61"/>
        <v>0</v>
      </c>
      <c r="AC575" s="60">
        <f t="shared" si="62"/>
        <v>0</v>
      </c>
    </row>
    <row r="576" spans="1:29">
      <c r="A576" s="83" t="str">
        <f t="shared" si="56"/>
        <v/>
      </c>
      <c r="B576" s="83" t="str">
        <f t="shared" si="57"/>
        <v/>
      </c>
      <c r="U576" s="83" t="str">
        <f t="shared" si="58"/>
        <v/>
      </c>
      <c r="V576" s="83" t="str">
        <f t="shared" si="59"/>
        <v/>
      </c>
      <c r="AA576" s="60">
        <f t="shared" si="60"/>
        <v>0</v>
      </c>
      <c r="AB576" s="49">
        <f t="shared" si="61"/>
        <v>0</v>
      </c>
      <c r="AC576" s="60">
        <f t="shared" si="62"/>
        <v>0</v>
      </c>
    </row>
    <row r="577" spans="1:29">
      <c r="A577" s="83" t="str">
        <f t="shared" si="56"/>
        <v/>
      </c>
      <c r="B577" s="83" t="str">
        <f t="shared" si="57"/>
        <v/>
      </c>
      <c r="U577" s="83" t="str">
        <f t="shared" si="58"/>
        <v/>
      </c>
      <c r="V577" s="83" t="str">
        <f t="shared" si="59"/>
        <v/>
      </c>
      <c r="AA577" s="60">
        <f t="shared" si="60"/>
        <v>0</v>
      </c>
      <c r="AB577" s="49">
        <f t="shared" si="61"/>
        <v>0</v>
      </c>
      <c r="AC577" s="60">
        <f t="shared" si="62"/>
        <v>0</v>
      </c>
    </row>
    <row r="578" spans="1:29">
      <c r="A578" s="83" t="str">
        <f t="shared" si="56"/>
        <v/>
      </c>
      <c r="B578" s="83" t="str">
        <f t="shared" si="57"/>
        <v/>
      </c>
      <c r="U578" s="83" t="str">
        <f t="shared" si="58"/>
        <v/>
      </c>
      <c r="V578" s="83" t="str">
        <f t="shared" si="59"/>
        <v/>
      </c>
      <c r="AA578" s="60">
        <f t="shared" si="60"/>
        <v>0</v>
      </c>
      <c r="AB578" s="49">
        <f t="shared" si="61"/>
        <v>0</v>
      </c>
      <c r="AC578" s="60">
        <f t="shared" si="62"/>
        <v>0</v>
      </c>
    </row>
    <row r="579" spans="1:29">
      <c r="A579" s="83" t="str">
        <f t="shared" ref="A579:A642" si="63">IF(G579&amp;Q579&lt;&gt;"",U579&amp;Q579,"")</f>
        <v/>
      </c>
      <c r="B579" s="83" t="str">
        <f t="shared" ref="B579:B642" si="64">IF(C579&lt;&gt;"",LEFT(C579,9),"")</f>
        <v/>
      </c>
      <c r="U579" s="83" t="str">
        <f t="shared" ref="U579:U642" si="65">IF(G579&lt;&gt;"",IF(StyleSpaceSplit,IFERROR(IF(FIND(" ",G579)&gt;=1,MID(G579,1,FIND(" ",G579)-1),G579),G579),G579),"")</f>
        <v/>
      </c>
      <c r="V579" s="83" t="str">
        <f t="shared" ref="V579:V642" si="66">IF(A579&lt;&gt;"",IFERROR(IF(FIND(" ",G579)&gt;=1,MID(G579,FIND(" ",G579)+1,LEN(G579)),""),G579),"")</f>
        <v/>
      </c>
      <c r="AA579" s="60">
        <f t="shared" ref="AA579:AA642" si="67">IFERROR(VALUE(MID($C579,1,2)),0)</f>
        <v>0</v>
      </c>
      <c r="AB579" s="49">
        <f t="shared" ref="AB579:AB642" si="68">IFERROR(VALUE(MID($C579,4,3)),0)</f>
        <v>0</v>
      </c>
      <c r="AC579" s="60">
        <f t="shared" ref="AC579:AC642" si="69">VALUE(RIGHT("00"&amp;AA579,2)&amp;RIGHT("000"&amp;AB579,3))</f>
        <v>0</v>
      </c>
    </row>
    <row r="580" spans="1:29">
      <c r="A580" s="83" t="str">
        <f t="shared" si="63"/>
        <v/>
      </c>
      <c r="B580" s="83" t="str">
        <f t="shared" si="64"/>
        <v/>
      </c>
      <c r="U580" s="83" t="str">
        <f t="shared" si="65"/>
        <v/>
      </c>
      <c r="V580" s="83" t="str">
        <f t="shared" si="66"/>
        <v/>
      </c>
      <c r="AA580" s="60">
        <f t="shared" si="67"/>
        <v>0</v>
      </c>
      <c r="AB580" s="49">
        <f t="shared" si="68"/>
        <v>0</v>
      </c>
      <c r="AC580" s="60">
        <f t="shared" si="69"/>
        <v>0</v>
      </c>
    </row>
    <row r="581" spans="1:29">
      <c r="A581" s="83" t="str">
        <f t="shared" si="63"/>
        <v/>
      </c>
      <c r="B581" s="83" t="str">
        <f t="shared" si="64"/>
        <v/>
      </c>
      <c r="U581" s="83" t="str">
        <f t="shared" si="65"/>
        <v/>
      </c>
      <c r="V581" s="83" t="str">
        <f t="shared" si="66"/>
        <v/>
      </c>
      <c r="AA581" s="60">
        <f t="shared" si="67"/>
        <v>0</v>
      </c>
      <c r="AB581" s="49">
        <f t="shared" si="68"/>
        <v>0</v>
      </c>
      <c r="AC581" s="60">
        <f t="shared" si="69"/>
        <v>0</v>
      </c>
    </row>
    <row r="582" spans="1:29">
      <c r="A582" s="83" t="str">
        <f t="shared" si="63"/>
        <v/>
      </c>
      <c r="B582" s="83" t="str">
        <f t="shared" si="64"/>
        <v/>
      </c>
      <c r="U582" s="83" t="str">
        <f t="shared" si="65"/>
        <v/>
      </c>
      <c r="V582" s="83" t="str">
        <f t="shared" si="66"/>
        <v/>
      </c>
      <c r="AA582" s="60">
        <f t="shared" si="67"/>
        <v>0</v>
      </c>
      <c r="AB582" s="49">
        <f t="shared" si="68"/>
        <v>0</v>
      </c>
      <c r="AC582" s="60">
        <f t="shared" si="69"/>
        <v>0</v>
      </c>
    </row>
    <row r="583" spans="1:29">
      <c r="A583" s="83" t="str">
        <f t="shared" si="63"/>
        <v/>
      </c>
      <c r="B583" s="83" t="str">
        <f t="shared" si="64"/>
        <v/>
      </c>
      <c r="U583" s="83" t="str">
        <f t="shared" si="65"/>
        <v/>
      </c>
      <c r="V583" s="83" t="str">
        <f t="shared" si="66"/>
        <v/>
      </c>
      <c r="AA583" s="60">
        <f t="shared" si="67"/>
        <v>0</v>
      </c>
      <c r="AB583" s="49">
        <f t="shared" si="68"/>
        <v>0</v>
      </c>
      <c r="AC583" s="60">
        <f t="shared" si="69"/>
        <v>0</v>
      </c>
    </row>
    <row r="584" spans="1:29">
      <c r="A584" s="83" t="str">
        <f t="shared" si="63"/>
        <v/>
      </c>
      <c r="B584" s="83" t="str">
        <f t="shared" si="64"/>
        <v/>
      </c>
      <c r="U584" s="83" t="str">
        <f t="shared" si="65"/>
        <v/>
      </c>
      <c r="V584" s="83" t="str">
        <f t="shared" si="66"/>
        <v/>
      </c>
      <c r="AA584" s="60">
        <f t="shared" si="67"/>
        <v>0</v>
      </c>
      <c r="AB584" s="49">
        <f t="shared" si="68"/>
        <v>0</v>
      </c>
      <c r="AC584" s="60">
        <f t="shared" si="69"/>
        <v>0</v>
      </c>
    </row>
    <row r="585" spans="1:29">
      <c r="A585" s="83" t="str">
        <f t="shared" si="63"/>
        <v/>
      </c>
      <c r="B585" s="83" t="str">
        <f t="shared" si="64"/>
        <v/>
      </c>
      <c r="U585" s="83" t="str">
        <f t="shared" si="65"/>
        <v/>
      </c>
      <c r="V585" s="83" t="str">
        <f t="shared" si="66"/>
        <v/>
      </c>
      <c r="AA585" s="60">
        <f t="shared" si="67"/>
        <v>0</v>
      </c>
      <c r="AB585" s="49">
        <f t="shared" si="68"/>
        <v>0</v>
      </c>
      <c r="AC585" s="60">
        <f t="shared" si="69"/>
        <v>0</v>
      </c>
    </row>
    <row r="586" spans="1:29">
      <c r="A586" s="83" t="str">
        <f t="shared" si="63"/>
        <v/>
      </c>
      <c r="B586" s="83" t="str">
        <f t="shared" si="64"/>
        <v/>
      </c>
      <c r="U586" s="83" t="str">
        <f t="shared" si="65"/>
        <v/>
      </c>
      <c r="V586" s="83" t="str">
        <f t="shared" si="66"/>
        <v/>
      </c>
      <c r="AA586" s="60">
        <f t="shared" si="67"/>
        <v>0</v>
      </c>
      <c r="AB586" s="49">
        <f t="shared" si="68"/>
        <v>0</v>
      </c>
      <c r="AC586" s="60">
        <f t="shared" si="69"/>
        <v>0</v>
      </c>
    </row>
    <row r="587" spans="1:29">
      <c r="A587" s="83" t="str">
        <f t="shared" si="63"/>
        <v/>
      </c>
      <c r="B587" s="83" t="str">
        <f t="shared" si="64"/>
        <v/>
      </c>
      <c r="U587" s="83" t="str">
        <f t="shared" si="65"/>
        <v/>
      </c>
      <c r="V587" s="83" t="str">
        <f t="shared" si="66"/>
        <v/>
      </c>
      <c r="AA587" s="60">
        <f t="shared" si="67"/>
        <v>0</v>
      </c>
      <c r="AB587" s="49">
        <f t="shared" si="68"/>
        <v>0</v>
      </c>
      <c r="AC587" s="60">
        <f t="shared" si="69"/>
        <v>0</v>
      </c>
    </row>
    <row r="588" spans="1:29">
      <c r="A588" s="83" t="str">
        <f t="shared" si="63"/>
        <v/>
      </c>
      <c r="B588" s="83" t="str">
        <f t="shared" si="64"/>
        <v/>
      </c>
      <c r="U588" s="83" t="str">
        <f t="shared" si="65"/>
        <v/>
      </c>
      <c r="V588" s="83" t="str">
        <f t="shared" si="66"/>
        <v/>
      </c>
      <c r="AA588" s="60">
        <f t="shared" si="67"/>
        <v>0</v>
      </c>
      <c r="AB588" s="49">
        <f t="shared" si="68"/>
        <v>0</v>
      </c>
      <c r="AC588" s="60">
        <f t="shared" si="69"/>
        <v>0</v>
      </c>
    </row>
    <row r="589" spans="1:29">
      <c r="A589" s="83" t="str">
        <f t="shared" si="63"/>
        <v/>
      </c>
      <c r="B589" s="83" t="str">
        <f t="shared" si="64"/>
        <v/>
      </c>
      <c r="U589" s="83" t="str">
        <f t="shared" si="65"/>
        <v/>
      </c>
      <c r="V589" s="83" t="str">
        <f t="shared" si="66"/>
        <v/>
      </c>
      <c r="AA589" s="60">
        <f t="shared" si="67"/>
        <v>0</v>
      </c>
      <c r="AB589" s="49">
        <f t="shared" si="68"/>
        <v>0</v>
      </c>
      <c r="AC589" s="60">
        <f t="shared" si="69"/>
        <v>0</v>
      </c>
    </row>
    <row r="590" spans="1:29">
      <c r="A590" s="83" t="str">
        <f t="shared" si="63"/>
        <v/>
      </c>
      <c r="B590" s="83" t="str">
        <f t="shared" si="64"/>
        <v/>
      </c>
      <c r="U590" s="83" t="str">
        <f t="shared" si="65"/>
        <v/>
      </c>
      <c r="V590" s="83" t="str">
        <f t="shared" si="66"/>
        <v/>
      </c>
      <c r="AA590" s="60">
        <f t="shared" si="67"/>
        <v>0</v>
      </c>
      <c r="AB590" s="49">
        <f t="shared" si="68"/>
        <v>0</v>
      </c>
      <c r="AC590" s="60">
        <f t="shared" si="69"/>
        <v>0</v>
      </c>
    </row>
    <row r="591" spans="1:29">
      <c r="A591" s="83" t="str">
        <f t="shared" si="63"/>
        <v/>
      </c>
      <c r="B591" s="83" t="str">
        <f t="shared" si="64"/>
        <v/>
      </c>
      <c r="U591" s="83" t="str">
        <f t="shared" si="65"/>
        <v/>
      </c>
      <c r="V591" s="83" t="str">
        <f t="shared" si="66"/>
        <v/>
      </c>
      <c r="AA591" s="60">
        <f t="shared" si="67"/>
        <v>0</v>
      </c>
      <c r="AB591" s="49">
        <f t="shared" si="68"/>
        <v>0</v>
      </c>
      <c r="AC591" s="60">
        <f t="shared" si="69"/>
        <v>0</v>
      </c>
    </row>
    <row r="592" spans="1:29">
      <c r="A592" s="83" t="str">
        <f t="shared" si="63"/>
        <v/>
      </c>
      <c r="B592" s="83" t="str">
        <f t="shared" si="64"/>
        <v/>
      </c>
      <c r="U592" s="83" t="str">
        <f t="shared" si="65"/>
        <v/>
      </c>
      <c r="V592" s="83" t="str">
        <f t="shared" si="66"/>
        <v/>
      </c>
      <c r="AA592" s="60">
        <f t="shared" si="67"/>
        <v>0</v>
      </c>
      <c r="AB592" s="49">
        <f t="shared" si="68"/>
        <v>0</v>
      </c>
      <c r="AC592" s="60">
        <f t="shared" si="69"/>
        <v>0</v>
      </c>
    </row>
    <row r="593" spans="1:29">
      <c r="A593" s="83" t="str">
        <f t="shared" si="63"/>
        <v/>
      </c>
      <c r="B593" s="83" t="str">
        <f t="shared" si="64"/>
        <v/>
      </c>
      <c r="U593" s="83" t="str">
        <f t="shared" si="65"/>
        <v/>
      </c>
      <c r="V593" s="83" t="str">
        <f t="shared" si="66"/>
        <v/>
      </c>
      <c r="AA593" s="60">
        <f t="shared" si="67"/>
        <v>0</v>
      </c>
      <c r="AB593" s="49">
        <f t="shared" si="68"/>
        <v>0</v>
      </c>
      <c r="AC593" s="60">
        <f t="shared" si="69"/>
        <v>0</v>
      </c>
    </row>
    <row r="594" spans="1:29">
      <c r="A594" s="83" t="str">
        <f t="shared" si="63"/>
        <v/>
      </c>
      <c r="B594" s="83" t="str">
        <f t="shared" si="64"/>
        <v/>
      </c>
      <c r="U594" s="83" t="str">
        <f t="shared" si="65"/>
        <v/>
      </c>
      <c r="V594" s="83" t="str">
        <f t="shared" si="66"/>
        <v/>
      </c>
      <c r="AA594" s="60">
        <f t="shared" si="67"/>
        <v>0</v>
      </c>
      <c r="AB594" s="49">
        <f t="shared" si="68"/>
        <v>0</v>
      </c>
      <c r="AC594" s="60">
        <f t="shared" si="69"/>
        <v>0</v>
      </c>
    </row>
    <row r="595" spans="1:29">
      <c r="A595" s="83" t="str">
        <f t="shared" si="63"/>
        <v/>
      </c>
      <c r="B595" s="83" t="str">
        <f t="shared" si="64"/>
        <v/>
      </c>
      <c r="U595" s="83" t="str">
        <f t="shared" si="65"/>
        <v/>
      </c>
      <c r="V595" s="83" t="str">
        <f t="shared" si="66"/>
        <v/>
      </c>
      <c r="AA595" s="60">
        <f t="shared" si="67"/>
        <v>0</v>
      </c>
      <c r="AB595" s="49">
        <f t="shared" si="68"/>
        <v>0</v>
      </c>
      <c r="AC595" s="60">
        <f t="shared" si="69"/>
        <v>0</v>
      </c>
    </row>
    <row r="596" spans="1:29">
      <c r="A596" s="83" t="str">
        <f t="shared" si="63"/>
        <v/>
      </c>
      <c r="B596" s="83" t="str">
        <f t="shared" si="64"/>
        <v/>
      </c>
      <c r="U596" s="83" t="str">
        <f t="shared" si="65"/>
        <v/>
      </c>
      <c r="V596" s="83" t="str">
        <f t="shared" si="66"/>
        <v/>
      </c>
      <c r="AA596" s="60">
        <f t="shared" si="67"/>
        <v>0</v>
      </c>
      <c r="AB596" s="49">
        <f t="shared" si="68"/>
        <v>0</v>
      </c>
      <c r="AC596" s="60">
        <f t="shared" si="69"/>
        <v>0</v>
      </c>
    </row>
    <row r="597" spans="1:29">
      <c r="A597" s="83" t="str">
        <f t="shared" si="63"/>
        <v/>
      </c>
      <c r="B597" s="83" t="str">
        <f t="shared" si="64"/>
        <v/>
      </c>
      <c r="U597" s="83" t="str">
        <f t="shared" si="65"/>
        <v/>
      </c>
      <c r="V597" s="83" t="str">
        <f t="shared" si="66"/>
        <v/>
      </c>
      <c r="AA597" s="60">
        <f t="shared" si="67"/>
        <v>0</v>
      </c>
      <c r="AB597" s="49">
        <f t="shared" si="68"/>
        <v>0</v>
      </c>
      <c r="AC597" s="60">
        <f t="shared" si="69"/>
        <v>0</v>
      </c>
    </row>
    <row r="598" spans="1:29">
      <c r="A598" s="83" t="str">
        <f t="shared" si="63"/>
        <v/>
      </c>
      <c r="B598" s="83" t="str">
        <f t="shared" si="64"/>
        <v/>
      </c>
      <c r="U598" s="83" t="str">
        <f t="shared" si="65"/>
        <v/>
      </c>
      <c r="V598" s="83" t="str">
        <f t="shared" si="66"/>
        <v/>
      </c>
      <c r="AA598" s="60">
        <f t="shared" si="67"/>
        <v>0</v>
      </c>
      <c r="AB598" s="49">
        <f t="shared" si="68"/>
        <v>0</v>
      </c>
      <c r="AC598" s="60">
        <f t="shared" si="69"/>
        <v>0</v>
      </c>
    </row>
    <row r="599" spans="1:29">
      <c r="A599" s="83" t="str">
        <f t="shared" si="63"/>
        <v/>
      </c>
      <c r="B599" s="83" t="str">
        <f t="shared" si="64"/>
        <v/>
      </c>
      <c r="U599" s="83" t="str">
        <f t="shared" si="65"/>
        <v/>
      </c>
      <c r="V599" s="83" t="str">
        <f t="shared" si="66"/>
        <v/>
      </c>
      <c r="AA599" s="60">
        <f t="shared" si="67"/>
        <v>0</v>
      </c>
      <c r="AB599" s="49">
        <f t="shared" si="68"/>
        <v>0</v>
      </c>
      <c r="AC599" s="60">
        <f t="shared" si="69"/>
        <v>0</v>
      </c>
    </row>
    <row r="600" spans="1:29">
      <c r="A600" s="83" t="str">
        <f t="shared" si="63"/>
        <v/>
      </c>
      <c r="B600" s="83" t="str">
        <f t="shared" si="64"/>
        <v/>
      </c>
      <c r="U600" s="83" t="str">
        <f t="shared" si="65"/>
        <v/>
      </c>
      <c r="V600" s="83" t="str">
        <f t="shared" si="66"/>
        <v/>
      </c>
      <c r="AA600" s="60">
        <f t="shared" si="67"/>
        <v>0</v>
      </c>
      <c r="AB600" s="49">
        <f t="shared" si="68"/>
        <v>0</v>
      </c>
      <c r="AC600" s="60">
        <f t="shared" si="69"/>
        <v>0</v>
      </c>
    </row>
    <row r="601" spans="1:29">
      <c r="A601" s="83" t="str">
        <f t="shared" si="63"/>
        <v/>
      </c>
      <c r="B601" s="83" t="str">
        <f t="shared" si="64"/>
        <v/>
      </c>
      <c r="U601" s="83" t="str">
        <f t="shared" si="65"/>
        <v/>
      </c>
      <c r="V601" s="83" t="str">
        <f t="shared" si="66"/>
        <v/>
      </c>
      <c r="AA601" s="60">
        <f t="shared" si="67"/>
        <v>0</v>
      </c>
      <c r="AB601" s="49">
        <f t="shared" si="68"/>
        <v>0</v>
      </c>
      <c r="AC601" s="60">
        <f t="shared" si="69"/>
        <v>0</v>
      </c>
    </row>
    <row r="602" spans="1:29">
      <c r="A602" s="83" t="str">
        <f t="shared" si="63"/>
        <v/>
      </c>
      <c r="B602" s="83" t="str">
        <f t="shared" si="64"/>
        <v/>
      </c>
      <c r="U602" s="83" t="str">
        <f t="shared" si="65"/>
        <v/>
      </c>
      <c r="V602" s="83" t="str">
        <f t="shared" si="66"/>
        <v/>
      </c>
      <c r="AA602" s="60">
        <f t="shared" si="67"/>
        <v>0</v>
      </c>
      <c r="AB602" s="49">
        <f t="shared" si="68"/>
        <v>0</v>
      </c>
      <c r="AC602" s="60">
        <f t="shared" si="69"/>
        <v>0</v>
      </c>
    </row>
    <row r="603" spans="1:29">
      <c r="A603" s="83" t="str">
        <f t="shared" si="63"/>
        <v/>
      </c>
      <c r="B603" s="83" t="str">
        <f t="shared" si="64"/>
        <v/>
      </c>
      <c r="U603" s="83" t="str">
        <f t="shared" si="65"/>
        <v/>
      </c>
      <c r="V603" s="83" t="str">
        <f t="shared" si="66"/>
        <v/>
      </c>
      <c r="AA603" s="60">
        <f t="shared" si="67"/>
        <v>0</v>
      </c>
      <c r="AB603" s="49">
        <f t="shared" si="68"/>
        <v>0</v>
      </c>
      <c r="AC603" s="60">
        <f t="shared" si="69"/>
        <v>0</v>
      </c>
    </row>
    <row r="604" spans="1:29">
      <c r="A604" s="83" t="str">
        <f t="shared" si="63"/>
        <v/>
      </c>
      <c r="B604" s="83" t="str">
        <f t="shared" si="64"/>
        <v/>
      </c>
      <c r="U604" s="83" t="str">
        <f t="shared" si="65"/>
        <v/>
      </c>
      <c r="V604" s="83" t="str">
        <f t="shared" si="66"/>
        <v/>
      </c>
      <c r="AA604" s="60">
        <f t="shared" si="67"/>
        <v>0</v>
      </c>
      <c r="AB604" s="49">
        <f t="shared" si="68"/>
        <v>0</v>
      </c>
      <c r="AC604" s="60">
        <f t="shared" si="69"/>
        <v>0</v>
      </c>
    </row>
    <row r="605" spans="1:29">
      <c r="A605" s="83" t="str">
        <f t="shared" si="63"/>
        <v/>
      </c>
      <c r="B605" s="83" t="str">
        <f t="shared" si="64"/>
        <v/>
      </c>
      <c r="U605" s="83" t="str">
        <f t="shared" si="65"/>
        <v/>
      </c>
      <c r="V605" s="83" t="str">
        <f t="shared" si="66"/>
        <v/>
      </c>
      <c r="AA605" s="60">
        <f t="shared" si="67"/>
        <v>0</v>
      </c>
      <c r="AB605" s="49">
        <f t="shared" si="68"/>
        <v>0</v>
      </c>
      <c r="AC605" s="60">
        <f t="shared" si="69"/>
        <v>0</v>
      </c>
    </row>
    <row r="606" spans="1:29">
      <c r="A606" s="83" t="str">
        <f t="shared" si="63"/>
        <v/>
      </c>
      <c r="B606" s="83" t="str">
        <f t="shared" si="64"/>
        <v/>
      </c>
      <c r="U606" s="83" t="str">
        <f t="shared" si="65"/>
        <v/>
      </c>
      <c r="V606" s="83" t="str">
        <f t="shared" si="66"/>
        <v/>
      </c>
      <c r="AA606" s="60">
        <f t="shared" si="67"/>
        <v>0</v>
      </c>
      <c r="AB606" s="49">
        <f t="shared" si="68"/>
        <v>0</v>
      </c>
      <c r="AC606" s="60">
        <f t="shared" si="69"/>
        <v>0</v>
      </c>
    </row>
    <row r="607" spans="1:29">
      <c r="A607" s="83" t="str">
        <f t="shared" si="63"/>
        <v/>
      </c>
      <c r="B607" s="83" t="str">
        <f t="shared" si="64"/>
        <v/>
      </c>
      <c r="U607" s="83" t="str">
        <f t="shared" si="65"/>
        <v/>
      </c>
      <c r="V607" s="83" t="str">
        <f t="shared" si="66"/>
        <v/>
      </c>
      <c r="AA607" s="60">
        <f t="shared" si="67"/>
        <v>0</v>
      </c>
      <c r="AB607" s="49">
        <f t="shared" si="68"/>
        <v>0</v>
      </c>
      <c r="AC607" s="60">
        <f t="shared" si="69"/>
        <v>0</v>
      </c>
    </row>
    <row r="608" spans="1:29">
      <c r="A608" s="83" t="str">
        <f t="shared" si="63"/>
        <v/>
      </c>
      <c r="B608" s="83" t="str">
        <f t="shared" si="64"/>
        <v/>
      </c>
      <c r="U608" s="83" t="str">
        <f t="shared" si="65"/>
        <v/>
      </c>
      <c r="V608" s="83" t="str">
        <f t="shared" si="66"/>
        <v/>
      </c>
      <c r="AA608" s="60">
        <f t="shared" si="67"/>
        <v>0</v>
      </c>
      <c r="AB608" s="49">
        <f t="shared" si="68"/>
        <v>0</v>
      </c>
      <c r="AC608" s="60">
        <f t="shared" si="69"/>
        <v>0</v>
      </c>
    </row>
    <row r="609" spans="1:29">
      <c r="A609" s="83" t="str">
        <f t="shared" si="63"/>
        <v/>
      </c>
      <c r="B609" s="83" t="str">
        <f t="shared" si="64"/>
        <v/>
      </c>
      <c r="U609" s="83" t="str">
        <f t="shared" si="65"/>
        <v/>
      </c>
      <c r="V609" s="83" t="str">
        <f t="shared" si="66"/>
        <v/>
      </c>
      <c r="AA609" s="60">
        <f t="shared" si="67"/>
        <v>0</v>
      </c>
      <c r="AB609" s="49">
        <f t="shared" si="68"/>
        <v>0</v>
      </c>
      <c r="AC609" s="60">
        <f t="shared" si="69"/>
        <v>0</v>
      </c>
    </row>
    <row r="610" spans="1:29">
      <c r="A610" s="83" t="str">
        <f t="shared" si="63"/>
        <v/>
      </c>
      <c r="B610" s="83" t="str">
        <f t="shared" si="64"/>
        <v/>
      </c>
      <c r="U610" s="83" t="str">
        <f t="shared" si="65"/>
        <v/>
      </c>
      <c r="V610" s="83" t="str">
        <f t="shared" si="66"/>
        <v/>
      </c>
      <c r="AA610" s="60">
        <f t="shared" si="67"/>
        <v>0</v>
      </c>
      <c r="AB610" s="49">
        <f t="shared" si="68"/>
        <v>0</v>
      </c>
      <c r="AC610" s="60">
        <f t="shared" si="69"/>
        <v>0</v>
      </c>
    </row>
    <row r="611" spans="1:29">
      <c r="A611" s="83" t="str">
        <f t="shared" si="63"/>
        <v/>
      </c>
      <c r="B611" s="83" t="str">
        <f t="shared" si="64"/>
        <v/>
      </c>
      <c r="U611" s="83" t="str">
        <f t="shared" si="65"/>
        <v/>
      </c>
      <c r="V611" s="83" t="str">
        <f t="shared" si="66"/>
        <v/>
      </c>
      <c r="AA611" s="60">
        <f t="shared" si="67"/>
        <v>0</v>
      </c>
      <c r="AB611" s="49">
        <f t="shared" si="68"/>
        <v>0</v>
      </c>
      <c r="AC611" s="60">
        <f t="shared" si="69"/>
        <v>0</v>
      </c>
    </row>
    <row r="612" spans="1:29">
      <c r="A612" s="83" t="str">
        <f t="shared" si="63"/>
        <v/>
      </c>
      <c r="B612" s="83" t="str">
        <f t="shared" si="64"/>
        <v/>
      </c>
      <c r="U612" s="83" t="str">
        <f t="shared" si="65"/>
        <v/>
      </c>
      <c r="V612" s="83" t="str">
        <f t="shared" si="66"/>
        <v/>
      </c>
      <c r="AA612" s="60">
        <f t="shared" si="67"/>
        <v>0</v>
      </c>
      <c r="AB612" s="49">
        <f t="shared" si="68"/>
        <v>0</v>
      </c>
      <c r="AC612" s="60">
        <f t="shared" si="69"/>
        <v>0</v>
      </c>
    </row>
    <row r="613" spans="1:29">
      <c r="A613" s="83" t="str">
        <f t="shared" si="63"/>
        <v/>
      </c>
      <c r="B613" s="83" t="str">
        <f t="shared" si="64"/>
        <v/>
      </c>
      <c r="U613" s="83" t="str">
        <f t="shared" si="65"/>
        <v/>
      </c>
      <c r="V613" s="83" t="str">
        <f t="shared" si="66"/>
        <v/>
      </c>
      <c r="AA613" s="60">
        <f t="shared" si="67"/>
        <v>0</v>
      </c>
      <c r="AB613" s="49">
        <f t="shared" si="68"/>
        <v>0</v>
      </c>
      <c r="AC613" s="60">
        <f t="shared" si="69"/>
        <v>0</v>
      </c>
    </row>
    <row r="614" spans="1:29">
      <c r="A614" s="83" t="str">
        <f t="shared" si="63"/>
        <v/>
      </c>
      <c r="B614" s="83" t="str">
        <f t="shared" si="64"/>
        <v/>
      </c>
      <c r="U614" s="83" t="str">
        <f t="shared" si="65"/>
        <v/>
      </c>
      <c r="V614" s="83" t="str">
        <f t="shared" si="66"/>
        <v/>
      </c>
      <c r="AA614" s="60">
        <f t="shared" si="67"/>
        <v>0</v>
      </c>
      <c r="AB614" s="49">
        <f t="shared" si="68"/>
        <v>0</v>
      </c>
      <c r="AC614" s="60">
        <f t="shared" si="69"/>
        <v>0</v>
      </c>
    </row>
    <row r="615" spans="1:29">
      <c r="A615" s="83" t="str">
        <f t="shared" si="63"/>
        <v/>
      </c>
      <c r="B615" s="83" t="str">
        <f t="shared" si="64"/>
        <v/>
      </c>
      <c r="U615" s="83" t="str">
        <f t="shared" si="65"/>
        <v/>
      </c>
      <c r="V615" s="83" t="str">
        <f t="shared" si="66"/>
        <v/>
      </c>
      <c r="AA615" s="60">
        <f t="shared" si="67"/>
        <v>0</v>
      </c>
      <c r="AB615" s="49">
        <f t="shared" si="68"/>
        <v>0</v>
      </c>
      <c r="AC615" s="60">
        <f t="shared" si="69"/>
        <v>0</v>
      </c>
    </row>
    <row r="616" spans="1:29">
      <c r="A616" s="83" t="str">
        <f t="shared" si="63"/>
        <v/>
      </c>
      <c r="B616" s="83" t="str">
        <f t="shared" si="64"/>
        <v/>
      </c>
      <c r="U616" s="83" t="str">
        <f t="shared" si="65"/>
        <v/>
      </c>
      <c r="V616" s="83" t="str">
        <f t="shared" si="66"/>
        <v/>
      </c>
      <c r="AA616" s="60">
        <f t="shared" si="67"/>
        <v>0</v>
      </c>
      <c r="AB616" s="49">
        <f t="shared" si="68"/>
        <v>0</v>
      </c>
      <c r="AC616" s="60">
        <f t="shared" si="69"/>
        <v>0</v>
      </c>
    </row>
    <row r="617" spans="1:29">
      <c r="A617" s="83" t="str">
        <f t="shared" si="63"/>
        <v/>
      </c>
      <c r="B617" s="83" t="str">
        <f t="shared" si="64"/>
        <v/>
      </c>
      <c r="U617" s="83" t="str">
        <f t="shared" si="65"/>
        <v/>
      </c>
      <c r="V617" s="83" t="str">
        <f t="shared" si="66"/>
        <v/>
      </c>
      <c r="AA617" s="60">
        <f t="shared" si="67"/>
        <v>0</v>
      </c>
      <c r="AB617" s="49">
        <f t="shared" si="68"/>
        <v>0</v>
      </c>
      <c r="AC617" s="60">
        <f t="shared" si="69"/>
        <v>0</v>
      </c>
    </row>
    <row r="618" spans="1:29">
      <c r="A618" s="83" t="str">
        <f t="shared" si="63"/>
        <v/>
      </c>
      <c r="B618" s="83" t="str">
        <f t="shared" si="64"/>
        <v/>
      </c>
      <c r="U618" s="83" t="str">
        <f t="shared" si="65"/>
        <v/>
      </c>
      <c r="V618" s="83" t="str">
        <f t="shared" si="66"/>
        <v/>
      </c>
      <c r="AA618" s="60">
        <f t="shared" si="67"/>
        <v>0</v>
      </c>
      <c r="AB618" s="49">
        <f t="shared" si="68"/>
        <v>0</v>
      </c>
      <c r="AC618" s="60">
        <f t="shared" si="69"/>
        <v>0</v>
      </c>
    </row>
    <row r="619" spans="1:29">
      <c r="A619" s="83" t="str">
        <f t="shared" si="63"/>
        <v/>
      </c>
      <c r="B619" s="83" t="str">
        <f t="shared" si="64"/>
        <v/>
      </c>
      <c r="U619" s="83" t="str">
        <f t="shared" si="65"/>
        <v/>
      </c>
      <c r="V619" s="83" t="str">
        <f t="shared" si="66"/>
        <v/>
      </c>
      <c r="AA619" s="60">
        <f t="shared" si="67"/>
        <v>0</v>
      </c>
      <c r="AB619" s="49">
        <f t="shared" si="68"/>
        <v>0</v>
      </c>
      <c r="AC619" s="60">
        <f t="shared" si="69"/>
        <v>0</v>
      </c>
    </row>
    <row r="620" spans="1:29">
      <c r="A620" s="83" t="str">
        <f t="shared" si="63"/>
        <v/>
      </c>
      <c r="B620" s="83" t="str">
        <f t="shared" si="64"/>
        <v/>
      </c>
      <c r="U620" s="83" t="str">
        <f t="shared" si="65"/>
        <v/>
      </c>
      <c r="V620" s="83" t="str">
        <f t="shared" si="66"/>
        <v/>
      </c>
      <c r="AA620" s="60">
        <f t="shared" si="67"/>
        <v>0</v>
      </c>
      <c r="AB620" s="49">
        <f t="shared" si="68"/>
        <v>0</v>
      </c>
      <c r="AC620" s="60">
        <f t="shared" si="69"/>
        <v>0</v>
      </c>
    </row>
    <row r="621" spans="1:29">
      <c r="A621" s="83" t="str">
        <f t="shared" si="63"/>
        <v/>
      </c>
      <c r="B621" s="83" t="str">
        <f t="shared" si="64"/>
        <v/>
      </c>
      <c r="U621" s="83" t="str">
        <f t="shared" si="65"/>
        <v/>
      </c>
      <c r="V621" s="83" t="str">
        <f t="shared" si="66"/>
        <v/>
      </c>
      <c r="AA621" s="60">
        <f t="shared" si="67"/>
        <v>0</v>
      </c>
      <c r="AB621" s="49">
        <f t="shared" si="68"/>
        <v>0</v>
      </c>
      <c r="AC621" s="60">
        <f t="shared" si="69"/>
        <v>0</v>
      </c>
    </row>
    <row r="622" spans="1:29">
      <c r="A622" s="83" t="str">
        <f t="shared" si="63"/>
        <v/>
      </c>
      <c r="B622" s="83" t="str">
        <f t="shared" si="64"/>
        <v/>
      </c>
      <c r="U622" s="83" t="str">
        <f t="shared" si="65"/>
        <v/>
      </c>
      <c r="V622" s="83" t="str">
        <f t="shared" si="66"/>
        <v/>
      </c>
      <c r="AA622" s="60">
        <f t="shared" si="67"/>
        <v>0</v>
      </c>
      <c r="AB622" s="49">
        <f t="shared" si="68"/>
        <v>0</v>
      </c>
      <c r="AC622" s="60">
        <f t="shared" si="69"/>
        <v>0</v>
      </c>
    </row>
    <row r="623" spans="1:29">
      <c r="A623" s="83" t="str">
        <f t="shared" si="63"/>
        <v/>
      </c>
      <c r="B623" s="83" t="str">
        <f t="shared" si="64"/>
        <v/>
      </c>
      <c r="U623" s="83" t="str">
        <f t="shared" si="65"/>
        <v/>
      </c>
      <c r="V623" s="83" t="str">
        <f t="shared" si="66"/>
        <v/>
      </c>
      <c r="AA623" s="60">
        <f t="shared" si="67"/>
        <v>0</v>
      </c>
      <c r="AB623" s="49">
        <f t="shared" si="68"/>
        <v>0</v>
      </c>
      <c r="AC623" s="60">
        <f t="shared" si="69"/>
        <v>0</v>
      </c>
    </row>
    <row r="624" spans="1:29">
      <c r="A624" s="83" t="str">
        <f t="shared" si="63"/>
        <v/>
      </c>
      <c r="B624" s="83" t="str">
        <f t="shared" si="64"/>
        <v/>
      </c>
      <c r="U624" s="83" t="str">
        <f t="shared" si="65"/>
        <v/>
      </c>
      <c r="V624" s="83" t="str">
        <f t="shared" si="66"/>
        <v/>
      </c>
      <c r="AA624" s="60">
        <f t="shared" si="67"/>
        <v>0</v>
      </c>
      <c r="AB624" s="49">
        <f t="shared" si="68"/>
        <v>0</v>
      </c>
      <c r="AC624" s="60">
        <f t="shared" si="69"/>
        <v>0</v>
      </c>
    </row>
    <row r="625" spans="1:29">
      <c r="A625" s="83" t="str">
        <f t="shared" si="63"/>
        <v/>
      </c>
      <c r="B625" s="83" t="str">
        <f t="shared" si="64"/>
        <v/>
      </c>
      <c r="U625" s="83" t="str">
        <f t="shared" si="65"/>
        <v/>
      </c>
      <c r="V625" s="83" t="str">
        <f t="shared" si="66"/>
        <v/>
      </c>
      <c r="AA625" s="60">
        <f t="shared" si="67"/>
        <v>0</v>
      </c>
      <c r="AB625" s="49">
        <f t="shared" si="68"/>
        <v>0</v>
      </c>
      <c r="AC625" s="60">
        <f t="shared" si="69"/>
        <v>0</v>
      </c>
    </row>
    <row r="626" spans="1:29">
      <c r="A626" s="83" t="str">
        <f t="shared" si="63"/>
        <v/>
      </c>
      <c r="B626" s="83" t="str">
        <f t="shared" si="64"/>
        <v/>
      </c>
      <c r="U626" s="83" t="str">
        <f t="shared" si="65"/>
        <v/>
      </c>
      <c r="V626" s="83" t="str">
        <f t="shared" si="66"/>
        <v/>
      </c>
      <c r="AA626" s="60">
        <f t="shared" si="67"/>
        <v>0</v>
      </c>
      <c r="AB626" s="49">
        <f t="shared" si="68"/>
        <v>0</v>
      </c>
      <c r="AC626" s="60">
        <f t="shared" si="69"/>
        <v>0</v>
      </c>
    </row>
    <row r="627" spans="1:29">
      <c r="A627" s="83" t="str">
        <f t="shared" si="63"/>
        <v/>
      </c>
      <c r="B627" s="83" t="str">
        <f t="shared" si="64"/>
        <v/>
      </c>
      <c r="U627" s="83" t="str">
        <f t="shared" si="65"/>
        <v/>
      </c>
      <c r="V627" s="83" t="str">
        <f t="shared" si="66"/>
        <v/>
      </c>
      <c r="AA627" s="60">
        <f t="shared" si="67"/>
        <v>0</v>
      </c>
      <c r="AB627" s="49">
        <f t="shared" si="68"/>
        <v>0</v>
      </c>
      <c r="AC627" s="60">
        <f t="shared" si="69"/>
        <v>0</v>
      </c>
    </row>
    <row r="628" spans="1:29">
      <c r="A628" s="83" t="str">
        <f t="shared" si="63"/>
        <v/>
      </c>
      <c r="B628" s="83" t="str">
        <f t="shared" si="64"/>
        <v/>
      </c>
      <c r="U628" s="83" t="str">
        <f t="shared" si="65"/>
        <v/>
      </c>
      <c r="V628" s="83" t="str">
        <f t="shared" si="66"/>
        <v/>
      </c>
      <c r="AA628" s="60">
        <f t="shared" si="67"/>
        <v>0</v>
      </c>
      <c r="AB628" s="49">
        <f t="shared" si="68"/>
        <v>0</v>
      </c>
      <c r="AC628" s="60">
        <f t="shared" si="69"/>
        <v>0</v>
      </c>
    </row>
    <row r="629" spans="1:29">
      <c r="A629" s="83" t="str">
        <f t="shared" si="63"/>
        <v/>
      </c>
      <c r="B629" s="83" t="str">
        <f t="shared" si="64"/>
        <v/>
      </c>
      <c r="U629" s="83" t="str">
        <f t="shared" si="65"/>
        <v/>
      </c>
      <c r="V629" s="83" t="str">
        <f t="shared" si="66"/>
        <v/>
      </c>
      <c r="AA629" s="60">
        <f t="shared" si="67"/>
        <v>0</v>
      </c>
      <c r="AB629" s="49">
        <f t="shared" si="68"/>
        <v>0</v>
      </c>
      <c r="AC629" s="60">
        <f t="shared" si="69"/>
        <v>0</v>
      </c>
    </row>
    <row r="630" spans="1:29">
      <c r="A630" s="83" t="str">
        <f t="shared" si="63"/>
        <v/>
      </c>
      <c r="B630" s="83" t="str">
        <f t="shared" si="64"/>
        <v/>
      </c>
      <c r="U630" s="83" t="str">
        <f t="shared" si="65"/>
        <v/>
      </c>
      <c r="V630" s="83" t="str">
        <f t="shared" si="66"/>
        <v/>
      </c>
      <c r="AA630" s="60">
        <f t="shared" si="67"/>
        <v>0</v>
      </c>
      <c r="AB630" s="49">
        <f t="shared" si="68"/>
        <v>0</v>
      </c>
      <c r="AC630" s="60">
        <f t="shared" si="69"/>
        <v>0</v>
      </c>
    </row>
    <row r="631" spans="1:29">
      <c r="A631" s="83" t="str">
        <f t="shared" si="63"/>
        <v/>
      </c>
      <c r="B631" s="83" t="str">
        <f t="shared" si="64"/>
        <v/>
      </c>
      <c r="U631" s="83" t="str">
        <f t="shared" si="65"/>
        <v/>
      </c>
      <c r="V631" s="83" t="str">
        <f t="shared" si="66"/>
        <v/>
      </c>
      <c r="AA631" s="60">
        <f t="shared" si="67"/>
        <v>0</v>
      </c>
      <c r="AB631" s="49">
        <f t="shared" si="68"/>
        <v>0</v>
      </c>
      <c r="AC631" s="60">
        <f t="shared" si="69"/>
        <v>0</v>
      </c>
    </row>
    <row r="632" spans="1:29">
      <c r="A632" s="83" t="str">
        <f t="shared" si="63"/>
        <v/>
      </c>
      <c r="B632" s="83" t="str">
        <f t="shared" si="64"/>
        <v/>
      </c>
      <c r="U632" s="83" t="str">
        <f t="shared" si="65"/>
        <v/>
      </c>
      <c r="V632" s="83" t="str">
        <f t="shared" si="66"/>
        <v/>
      </c>
      <c r="AA632" s="60">
        <f t="shared" si="67"/>
        <v>0</v>
      </c>
      <c r="AB632" s="49">
        <f t="shared" si="68"/>
        <v>0</v>
      </c>
      <c r="AC632" s="60">
        <f t="shared" si="69"/>
        <v>0</v>
      </c>
    </row>
    <row r="633" spans="1:29">
      <c r="A633" s="83" t="str">
        <f t="shared" si="63"/>
        <v/>
      </c>
      <c r="B633" s="83" t="str">
        <f t="shared" si="64"/>
        <v/>
      </c>
      <c r="U633" s="83" t="str">
        <f t="shared" si="65"/>
        <v/>
      </c>
      <c r="V633" s="83" t="str">
        <f t="shared" si="66"/>
        <v/>
      </c>
      <c r="AA633" s="60">
        <f t="shared" si="67"/>
        <v>0</v>
      </c>
      <c r="AB633" s="49">
        <f t="shared" si="68"/>
        <v>0</v>
      </c>
      <c r="AC633" s="60">
        <f t="shared" si="69"/>
        <v>0</v>
      </c>
    </row>
    <row r="634" spans="1:29">
      <c r="A634" s="83" t="str">
        <f t="shared" si="63"/>
        <v/>
      </c>
      <c r="B634" s="83" t="str">
        <f t="shared" si="64"/>
        <v/>
      </c>
      <c r="U634" s="83" t="str">
        <f t="shared" si="65"/>
        <v/>
      </c>
      <c r="V634" s="83" t="str">
        <f t="shared" si="66"/>
        <v/>
      </c>
      <c r="AA634" s="60">
        <f t="shared" si="67"/>
        <v>0</v>
      </c>
      <c r="AB634" s="49">
        <f t="shared" si="68"/>
        <v>0</v>
      </c>
      <c r="AC634" s="60">
        <f t="shared" si="69"/>
        <v>0</v>
      </c>
    </row>
    <row r="635" spans="1:29">
      <c r="A635" s="83" t="str">
        <f t="shared" si="63"/>
        <v/>
      </c>
      <c r="B635" s="83" t="str">
        <f t="shared" si="64"/>
        <v/>
      </c>
      <c r="U635" s="83" t="str">
        <f t="shared" si="65"/>
        <v/>
      </c>
      <c r="V635" s="83" t="str">
        <f t="shared" si="66"/>
        <v/>
      </c>
      <c r="AA635" s="60">
        <f t="shared" si="67"/>
        <v>0</v>
      </c>
      <c r="AB635" s="49">
        <f t="shared" si="68"/>
        <v>0</v>
      </c>
      <c r="AC635" s="60">
        <f t="shared" si="69"/>
        <v>0</v>
      </c>
    </row>
    <row r="636" spans="1:29">
      <c r="A636" s="83" t="str">
        <f t="shared" si="63"/>
        <v/>
      </c>
      <c r="B636" s="83" t="str">
        <f t="shared" si="64"/>
        <v/>
      </c>
      <c r="U636" s="83" t="str">
        <f t="shared" si="65"/>
        <v/>
      </c>
      <c r="V636" s="83" t="str">
        <f t="shared" si="66"/>
        <v/>
      </c>
      <c r="AA636" s="60">
        <f t="shared" si="67"/>
        <v>0</v>
      </c>
      <c r="AB636" s="49">
        <f t="shared" si="68"/>
        <v>0</v>
      </c>
      <c r="AC636" s="60">
        <f t="shared" si="69"/>
        <v>0</v>
      </c>
    </row>
    <row r="637" spans="1:29">
      <c r="A637" s="83" t="str">
        <f t="shared" si="63"/>
        <v/>
      </c>
      <c r="B637" s="83" t="str">
        <f t="shared" si="64"/>
        <v/>
      </c>
      <c r="U637" s="83" t="str">
        <f t="shared" si="65"/>
        <v/>
      </c>
      <c r="V637" s="83" t="str">
        <f t="shared" si="66"/>
        <v/>
      </c>
      <c r="AA637" s="60">
        <f t="shared" si="67"/>
        <v>0</v>
      </c>
      <c r="AB637" s="49">
        <f t="shared" si="68"/>
        <v>0</v>
      </c>
      <c r="AC637" s="60">
        <f t="shared" si="69"/>
        <v>0</v>
      </c>
    </row>
    <row r="638" spans="1:29">
      <c r="A638" s="83" t="str">
        <f t="shared" si="63"/>
        <v/>
      </c>
      <c r="B638" s="83" t="str">
        <f t="shared" si="64"/>
        <v/>
      </c>
      <c r="U638" s="83" t="str">
        <f t="shared" si="65"/>
        <v/>
      </c>
      <c r="V638" s="83" t="str">
        <f t="shared" si="66"/>
        <v/>
      </c>
      <c r="AA638" s="60">
        <f t="shared" si="67"/>
        <v>0</v>
      </c>
      <c r="AB638" s="49">
        <f t="shared" si="68"/>
        <v>0</v>
      </c>
      <c r="AC638" s="60">
        <f t="shared" si="69"/>
        <v>0</v>
      </c>
    </row>
    <row r="639" spans="1:29">
      <c r="A639" s="83" t="str">
        <f t="shared" si="63"/>
        <v/>
      </c>
      <c r="B639" s="83" t="str">
        <f t="shared" si="64"/>
        <v/>
      </c>
      <c r="U639" s="83" t="str">
        <f t="shared" si="65"/>
        <v/>
      </c>
      <c r="V639" s="83" t="str">
        <f t="shared" si="66"/>
        <v/>
      </c>
      <c r="AA639" s="60">
        <f t="shared" si="67"/>
        <v>0</v>
      </c>
      <c r="AB639" s="49">
        <f t="shared" si="68"/>
        <v>0</v>
      </c>
      <c r="AC639" s="60">
        <f t="shared" si="69"/>
        <v>0</v>
      </c>
    </row>
    <row r="640" spans="1:29">
      <c r="A640" s="83" t="str">
        <f t="shared" si="63"/>
        <v/>
      </c>
      <c r="B640" s="83" t="str">
        <f t="shared" si="64"/>
        <v/>
      </c>
      <c r="U640" s="83" t="str">
        <f t="shared" si="65"/>
        <v/>
      </c>
      <c r="V640" s="83" t="str">
        <f t="shared" si="66"/>
        <v/>
      </c>
      <c r="AA640" s="60">
        <f t="shared" si="67"/>
        <v>0</v>
      </c>
      <c r="AB640" s="49">
        <f t="shared" si="68"/>
        <v>0</v>
      </c>
      <c r="AC640" s="60">
        <f t="shared" si="69"/>
        <v>0</v>
      </c>
    </row>
    <row r="641" spans="1:29">
      <c r="A641" s="83" t="str">
        <f t="shared" si="63"/>
        <v/>
      </c>
      <c r="B641" s="83" t="str">
        <f t="shared" si="64"/>
        <v/>
      </c>
      <c r="U641" s="83" t="str">
        <f t="shared" si="65"/>
        <v/>
      </c>
      <c r="V641" s="83" t="str">
        <f t="shared" si="66"/>
        <v/>
      </c>
      <c r="AA641" s="60">
        <f t="shared" si="67"/>
        <v>0</v>
      </c>
      <c r="AB641" s="49">
        <f t="shared" si="68"/>
        <v>0</v>
      </c>
      <c r="AC641" s="60">
        <f t="shared" si="69"/>
        <v>0</v>
      </c>
    </row>
    <row r="642" spans="1:29">
      <c r="A642" s="83" t="str">
        <f t="shared" si="63"/>
        <v/>
      </c>
      <c r="B642" s="83" t="str">
        <f t="shared" si="64"/>
        <v/>
      </c>
      <c r="U642" s="83" t="str">
        <f t="shared" si="65"/>
        <v/>
      </c>
      <c r="V642" s="83" t="str">
        <f t="shared" si="66"/>
        <v/>
      </c>
      <c r="AA642" s="60">
        <f t="shared" si="67"/>
        <v>0</v>
      </c>
      <c r="AB642" s="49">
        <f t="shared" si="68"/>
        <v>0</v>
      </c>
      <c r="AC642" s="60">
        <f t="shared" si="69"/>
        <v>0</v>
      </c>
    </row>
    <row r="643" spans="1:29">
      <c r="A643" s="83" t="str">
        <f t="shared" ref="A643:A706" si="70">IF(G643&amp;Q643&lt;&gt;"",U643&amp;Q643,"")</f>
        <v/>
      </c>
      <c r="B643" s="83" t="str">
        <f t="shared" ref="B643:B706" si="71">IF(C643&lt;&gt;"",LEFT(C643,9),"")</f>
        <v/>
      </c>
      <c r="U643" s="83" t="str">
        <f t="shared" ref="U643:U706" si="72">IF(G643&lt;&gt;"",IF(StyleSpaceSplit,IFERROR(IF(FIND(" ",G643)&gt;=1,MID(G643,1,FIND(" ",G643)-1),G643),G643),G643),"")</f>
        <v/>
      </c>
      <c r="V643" s="83" t="str">
        <f t="shared" ref="V643:V706" si="73">IF(A643&lt;&gt;"",IFERROR(IF(FIND(" ",G643)&gt;=1,MID(G643,FIND(" ",G643)+1,LEN(G643)),""),G643),"")</f>
        <v/>
      </c>
      <c r="AA643" s="60">
        <f t="shared" ref="AA643:AA706" si="74">IFERROR(VALUE(MID($C643,1,2)),0)</f>
        <v>0</v>
      </c>
      <c r="AB643" s="49">
        <f t="shared" ref="AB643:AB706" si="75">IFERROR(VALUE(MID($C643,4,3)),0)</f>
        <v>0</v>
      </c>
      <c r="AC643" s="60">
        <f t="shared" ref="AC643:AC706" si="76">VALUE(RIGHT("00"&amp;AA643,2)&amp;RIGHT("000"&amp;AB643,3))</f>
        <v>0</v>
      </c>
    </row>
    <row r="644" spans="1:29">
      <c r="A644" s="83" t="str">
        <f t="shared" si="70"/>
        <v/>
      </c>
      <c r="B644" s="83" t="str">
        <f t="shared" si="71"/>
        <v/>
      </c>
      <c r="U644" s="83" t="str">
        <f t="shared" si="72"/>
        <v/>
      </c>
      <c r="V644" s="83" t="str">
        <f t="shared" si="73"/>
        <v/>
      </c>
      <c r="AA644" s="60">
        <f t="shared" si="74"/>
        <v>0</v>
      </c>
      <c r="AB644" s="49">
        <f t="shared" si="75"/>
        <v>0</v>
      </c>
      <c r="AC644" s="60">
        <f t="shared" si="76"/>
        <v>0</v>
      </c>
    </row>
    <row r="645" spans="1:29">
      <c r="A645" s="83" t="str">
        <f t="shared" si="70"/>
        <v/>
      </c>
      <c r="B645" s="83" t="str">
        <f t="shared" si="71"/>
        <v/>
      </c>
      <c r="U645" s="83" t="str">
        <f t="shared" si="72"/>
        <v/>
      </c>
      <c r="V645" s="83" t="str">
        <f t="shared" si="73"/>
        <v/>
      </c>
      <c r="AA645" s="60">
        <f t="shared" si="74"/>
        <v>0</v>
      </c>
      <c r="AB645" s="49">
        <f t="shared" si="75"/>
        <v>0</v>
      </c>
      <c r="AC645" s="60">
        <f t="shared" si="76"/>
        <v>0</v>
      </c>
    </row>
    <row r="646" spans="1:29">
      <c r="A646" s="83" t="str">
        <f t="shared" si="70"/>
        <v/>
      </c>
      <c r="B646" s="83" t="str">
        <f t="shared" si="71"/>
        <v/>
      </c>
      <c r="U646" s="83" t="str">
        <f t="shared" si="72"/>
        <v/>
      </c>
      <c r="V646" s="83" t="str">
        <f t="shared" si="73"/>
        <v/>
      </c>
      <c r="AA646" s="60">
        <f t="shared" si="74"/>
        <v>0</v>
      </c>
      <c r="AB646" s="49">
        <f t="shared" si="75"/>
        <v>0</v>
      </c>
      <c r="AC646" s="60">
        <f t="shared" si="76"/>
        <v>0</v>
      </c>
    </row>
    <row r="647" spans="1:29">
      <c r="A647" s="83" t="str">
        <f t="shared" si="70"/>
        <v/>
      </c>
      <c r="B647" s="83" t="str">
        <f t="shared" si="71"/>
        <v/>
      </c>
      <c r="U647" s="83" t="str">
        <f t="shared" si="72"/>
        <v/>
      </c>
      <c r="V647" s="83" t="str">
        <f t="shared" si="73"/>
        <v/>
      </c>
      <c r="AA647" s="60">
        <f t="shared" si="74"/>
        <v>0</v>
      </c>
      <c r="AB647" s="49">
        <f t="shared" si="75"/>
        <v>0</v>
      </c>
      <c r="AC647" s="60">
        <f t="shared" si="76"/>
        <v>0</v>
      </c>
    </row>
    <row r="648" spans="1:29">
      <c r="A648" s="83" t="str">
        <f t="shared" si="70"/>
        <v/>
      </c>
      <c r="B648" s="83" t="str">
        <f t="shared" si="71"/>
        <v/>
      </c>
      <c r="U648" s="83" t="str">
        <f t="shared" si="72"/>
        <v/>
      </c>
      <c r="V648" s="83" t="str">
        <f t="shared" si="73"/>
        <v/>
      </c>
      <c r="AA648" s="60">
        <f t="shared" si="74"/>
        <v>0</v>
      </c>
      <c r="AB648" s="49">
        <f t="shared" si="75"/>
        <v>0</v>
      </c>
      <c r="AC648" s="60">
        <f t="shared" si="76"/>
        <v>0</v>
      </c>
    </row>
    <row r="649" spans="1:29">
      <c r="A649" s="83" t="str">
        <f t="shared" si="70"/>
        <v/>
      </c>
      <c r="B649" s="83" t="str">
        <f t="shared" si="71"/>
        <v/>
      </c>
      <c r="U649" s="83" t="str">
        <f t="shared" si="72"/>
        <v/>
      </c>
      <c r="V649" s="83" t="str">
        <f t="shared" si="73"/>
        <v/>
      </c>
      <c r="AA649" s="60">
        <f t="shared" si="74"/>
        <v>0</v>
      </c>
      <c r="AB649" s="49">
        <f t="shared" si="75"/>
        <v>0</v>
      </c>
      <c r="AC649" s="60">
        <f t="shared" si="76"/>
        <v>0</v>
      </c>
    </row>
    <row r="650" spans="1:29">
      <c r="A650" s="83" t="str">
        <f t="shared" si="70"/>
        <v/>
      </c>
      <c r="B650" s="83" t="str">
        <f t="shared" si="71"/>
        <v/>
      </c>
      <c r="U650" s="83" t="str">
        <f t="shared" si="72"/>
        <v/>
      </c>
      <c r="V650" s="83" t="str">
        <f t="shared" si="73"/>
        <v/>
      </c>
      <c r="AA650" s="60">
        <f t="shared" si="74"/>
        <v>0</v>
      </c>
      <c r="AB650" s="49">
        <f t="shared" si="75"/>
        <v>0</v>
      </c>
      <c r="AC650" s="60">
        <f t="shared" si="76"/>
        <v>0</v>
      </c>
    </row>
    <row r="651" spans="1:29">
      <c r="A651" s="83" t="str">
        <f t="shared" si="70"/>
        <v/>
      </c>
      <c r="B651" s="83" t="str">
        <f t="shared" si="71"/>
        <v/>
      </c>
      <c r="U651" s="83" t="str">
        <f t="shared" si="72"/>
        <v/>
      </c>
      <c r="V651" s="83" t="str">
        <f t="shared" si="73"/>
        <v/>
      </c>
      <c r="AA651" s="60">
        <f t="shared" si="74"/>
        <v>0</v>
      </c>
      <c r="AB651" s="49">
        <f t="shared" si="75"/>
        <v>0</v>
      </c>
      <c r="AC651" s="60">
        <f t="shared" si="76"/>
        <v>0</v>
      </c>
    </row>
    <row r="652" spans="1:29">
      <c r="A652" s="83" t="str">
        <f t="shared" si="70"/>
        <v/>
      </c>
      <c r="B652" s="83" t="str">
        <f t="shared" si="71"/>
        <v/>
      </c>
      <c r="U652" s="83" t="str">
        <f t="shared" si="72"/>
        <v/>
      </c>
      <c r="V652" s="83" t="str">
        <f t="shared" si="73"/>
        <v/>
      </c>
      <c r="AA652" s="60">
        <f t="shared" si="74"/>
        <v>0</v>
      </c>
      <c r="AB652" s="49">
        <f t="shared" si="75"/>
        <v>0</v>
      </c>
      <c r="AC652" s="60">
        <f t="shared" si="76"/>
        <v>0</v>
      </c>
    </row>
    <row r="653" spans="1:29">
      <c r="A653" s="83" t="str">
        <f t="shared" si="70"/>
        <v/>
      </c>
      <c r="B653" s="83" t="str">
        <f t="shared" si="71"/>
        <v/>
      </c>
      <c r="U653" s="83" t="str">
        <f t="shared" si="72"/>
        <v/>
      </c>
      <c r="V653" s="83" t="str">
        <f t="shared" si="73"/>
        <v/>
      </c>
      <c r="AA653" s="60">
        <f t="shared" si="74"/>
        <v>0</v>
      </c>
      <c r="AB653" s="49">
        <f t="shared" si="75"/>
        <v>0</v>
      </c>
      <c r="AC653" s="60">
        <f t="shared" si="76"/>
        <v>0</v>
      </c>
    </row>
    <row r="654" spans="1:29">
      <c r="A654" s="83" t="str">
        <f t="shared" si="70"/>
        <v/>
      </c>
      <c r="B654" s="83" t="str">
        <f t="shared" si="71"/>
        <v/>
      </c>
      <c r="U654" s="83" t="str">
        <f t="shared" si="72"/>
        <v/>
      </c>
      <c r="V654" s="83" t="str">
        <f t="shared" si="73"/>
        <v/>
      </c>
      <c r="AA654" s="60">
        <f t="shared" si="74"/>
        <v>0</v>
      </c>
      <c r="AB654" s="49">
        <f t="shared" si="75"/>
        <v>0</v>
      </c>
      <c r="AC654" s="60">
        <f t="shared" si="76"/>
        <v>0</v>
      </c>
    </row>
    <row r="655" spans="1:29">
      <c r="A655" s="83" t="str">
        <f t="shared" si="70"/>
        <v/>
      </c>
      <c r="B655" s="83" t="str">
        <f t="shared" si="71"/>
        <v/>
      </c>
      <c r="U655" s="83" t="str">
        <f t="shared" si="72"/>
        <v/>
      </c>
      <c r="V655" s="83" t="str">
        <f t="shared" si="73"/>
        <v/>
      </c>
      <c r="AA655" s="60">
        <f t="shared" si="74"/>
        <v>0</v>
      </c>
      <c r="AB655" s="49">
        <f t="shared" si="75"/>
        <v>0</v>
      </c>
      <c r="AC655" s="60">
        <f t="shared" si="76"/>
        <v>0</v>
      </c>
    </row>
    <row r="656" spans="1:29">
      <c r="A656" s="83" t="str">
        <f t="shared" si="70"/>
        <v/>
      </c>
      <c r="B656" s="83" t="str">
        <f t="shared" si="71"/>
        <v/>
      </c>
      <c r="U656" s="83" t="str">
        <f t="shared" si="72"/>
        <v/>
      </c>
      <c r="V656" s="83" t="str">
        <f t="shared" si="73"/>
        <v/>
      </c>
      <c r="AA656" s="60">
        <f t="shared" si="74"/>
        <v>0</v>
      </c>
      <c r="AB656" s="49">
        <f t="shared" si="75"/>
        <v>0</v>
      </c>
      <c r="AC656" s="60">
        <f t="shared" si="76"/>
        <v>0</v>
      </c>
    </row>
    <row r="657" spans="1:29">
      <c r="A657" s="83" t="str">
        <f t="shared" si="70"/>
        <v/>
      </c>
      <c r="B657" s="83" t="str">
        <f t="shared" si="71"/>
        <v/>
      </c>
      <c r="U657" s="83" t="str">
        <f t="shared" si="72"/>
        <v/>
      </c>
      <c r="V657" s="83" t="str">
        <f t="shared" si="73"/>
        <v/>
      </c>
      <c r="AA657" s="60">
        <f t="shared" si="74"/>
        <v>0</v>
      </c>
      <c r="AB657" s="49">
        <f t="shared" si="75"/>
        <v>0</v>
      </c>
      <c r="AC657" s="60">
        <f t="shared" si="76"/>
        <v>0</v>
      </c>
    </row>
    <row r="658" spans="1:29">
      <c r="A658" s="83" t="str">
        <f t="shared" si="70"/>
        <v/>
      </c>
      <c r="B658" s="83" t="str">
        <f t="shared" si="71"/>
        <v/>
      </c>
      <c r="U658" s="83" t="str">
        <f t="shared" si="72"/>
        <v/>
      </c>
      <c r="V658" s="83" t="str">
        <f t="shared" si="73"/>
        <v/>
      </c>
      <c r="AA658" s="60">
        <f t="shared" si="74"/>
        <v>0</v>
      </c>
      <c r="AB658" s="49">
        <f t="shared" si="75"/>
        <v>0</v>
      </c>
      <c r="AC658" s="60">
        <f t="shared" si="76"/>
        <v>0</v>
      </c>
    </row>
    <row r="659" spans="1:29">
      <c r="A659" s="83" t="str">
        <f t="shared" si="70"/>
        <v/>
      </c>
      <c r="B659" s="83" t="str">
        <f t="shared" si="71"/>
        <v/>
      </c>
      <c r="U659" s="83" t="str">
        <f t="shared" si="72"/>
        <v/>
      </c>
      <c r="V659" s="83" t="str">
        <f t="shared" si="73"/>
        <v/>
      </c>
      <c r="AA659" s="60">
        <f t="shared" si="74"/>
        <v>0</v>
      </c>
      <c r="AB659" s="49">
        <f t="shared" si="75"/>
        <v>0</v>
      </c>
      <c r="AC659" s="60">
        <f t="shared" si="76"/>
        <v>0</v>
      </c>
    </row>
    <row r="660" spans="1:29">
      <c r="A660" s="83" t="str">
        <f t="shared" si="70"/>
        <v/>
      </c>
      <c r="B660" s="83" t="str">
        <f t="shared" si="71"/>
        <v/>
      </c>
      <c r="U660" s="83" t="str">
        <f t="shared" si="72"/>
        <v/>
      </c>
      <c r="V660" s="83" t="str">
        <f t="shared" si="73"/>
        <v/>
      </c>
      <c r="AA660" s="60">
        <f t="shared" si="74"/>
        <v>0</v>
      </c>
      <c r="AB660" s="49">
        <f t="shared" si="75"/>
        <v>0</v>
      </c>
      <c r="AC660" s="60">
        <f t="shared" si="76"/>
        <v>0</v>
      </c>
    </row>
    <row r="661" spans="1:29">
      <c r="A661" s="83" t="str">
        <f t="shared" si="70"/>
        <v/>
      </c>
      <c r="B661" s="83" t="str">
        <f t="shared" si="71"/>
        <v/>
      </c>
      <c r="U661" s="83" t="str">
        <f t="shared" si="72"/>
        <v/>
      </c>
      <c r="V661" s="83" t="str">
        <f t="shared" si="73"/>
        <v/>
      </c>
      <c r="AA661" s="60">
        <f t="shared" si="74"/>
        <v>0</v>
      </c>
      <c r="AB661" s="49">
        <f t="shared" si="75"/>
        <v>0</v>
      </c>
      <c r="AC661" s="60">
        <f t="shared" si="76"/>
        <v>0</v>
      </c>
    </row>
    <row r="662" spans="1:29">
      <c r="A662" s="83" t="str">
        <f t="shared" si="70"/>
        <v/>
      </c>
      <c r="B662" s="83" t="str">
        <f t="shared" si="71"/>
        <v/>
      </c>
      <c r="U662" s="83" t="str">
        <f t="shared" si="72"/>
        <v/>
      </c>
      <c r="V662" s="83" t="str">
        <f t="shared" si="73"/>
        <v/>
      </c>
      <c r="AA662" s="60">
        <f t="shared" si="74"/>
        <v>0</v>
      </c>
      <c r="AB662" s="49">
        <f t="shared" si="75"/>
        <v>0</v>
      </c>
      <c r="AC662" s="60">
        <f t="shared" si="76"/>
        <v>0</v>
      </c>
    </row>
    <row r="663" spans="1:29">
      <c r="A663" s="83" t="str">
        <f t="shared" si="70"/>
        <v/>
      </c>
      <c r="B663" s="83" t="str">
        <f t="shared" si="71"/>
        <v/>
      </c>
      <c r="U663" s="83" t="str">
        <f t="shared" si="72"/>
        <v/>
      </c>
      <c r="V663" s="83" t="str">
        <f t="shared" si="73"/>
        <v/>
      </c>
      <c r="AA663" s="60">
        <f t="shared" si="74"/>
        <v>0</v>
      </c>
      <c r="AB663" s="49">
        <f t="shared" si="75"/>
        <v>0</v>
      </c>
      <c r="AC663" s="60">
        <f t="shared" si="76"/>
        <v>0</v>
      </c>
    </row>
    <row r="664" spans="1:29">
      <c r="A664" s="83" t="str">
        <f t="shared" si="70"/>
        <v/>
      </c>
      <c r="B664" s="83" t="str">
        <f t="shared" si="71"/>
        <v/>
      </c>
      <c r="U664" s="83" t="str">
        <f t="shared" si="72"/>
        <v/>
      </c>
      <c r="V664" s="83" t="str">
        <f t="shared" si="73"/>
        <v/>
      </c>
      <c r="AA664" s="60">
        <f t="shared" si="74"/>
        <v>0</v>
      </c>
      <c r="AB664" s="49">
        <f t="shared" si="75"/>
        <v>0</v>
      </c>
      <c r="AC664" s="60">
        <f t="shared" si="76"/>
        <v>0</v>
      </c>
    </row>
    <row r="665" spans="1:29">
      <c r="A665" s="83" t="str">
        <f t="shared" si="70"/>
        <v/>
      </c>
      <c r="B665" s="83" t="str">
        <f t="shared" si="71"/>
        <v/>
      </c>
      <c r="U665" s="83" t="str">
        <f t="shared" si="72"/>
        <v/>
      </c>
      <c r="V665" s="83" t="str">
        <f t="shared" si="73"/>
        <v/>
      </c>
      <c r="AA665" s="60">
        <f t="shared" si="74"/>
        <v>0</v>
      </c>
      <c r="AB665" s="49">
        <f t="shared" si="75"/>
        <v>0</v>
      </c>
      <c r="AC665" s="60">
        <f t="shared" si="76"/>
        <v>0</v>
      </c>
    </row>
    <row r="666" spans="1:29">
      <c r="A666" s="83" t="str">
        <f t="shared" si="70"/>
        <v/>
      </c>
      <c r="B666" s="83" t="str">
        <f t="shared" si="71"/>
        <v/>
      </c>
      <c r="U666" s="83" t="str">
        <f t="shared" si="72"/>
        <v/>
      </c>
      <c r="V666" s="83" t="str">
        <f t="shared" si="73"/>
        <v/>
      </c>
      <c r="AA666" s="60">
        <f t="shared" si="74"/>
        <v>0</v>
      </c>
      <c r="AB666" s="49">
        <f t="shared" si="75"/>
        <v>0</v>
      </c>
      <c r="AC666" s="60">
        <f t="shared" si="76"/>
        <v>0</v>
      </c>
    </row>
    <row r="667" spans="1:29">
      <c r="A667" s="83" t="str">
        <f t="shared" si="70"/>
        <v/>
      </c>
      <c r="B667" s="83" t="str">
        <f t="shared" si="71"/>
        <v/>
      </c>
      <c r="U667" s="83" t="str">
        <f t="shared" si="72"/>
        <v/>
      </c>
      <c r="V667" s="83" t="str">
        <f t="shared" si="73"/>
        <v/>
      </c>
      <c r="AA667" s="60">
        <f t="shared" si="74"/>
        <v>0</v>
      </c>
      <c r="AB667" s="49">
        <f t="shared" si="75"/>
        <v>0</v>
      </c>
      <c r="AC667" s="60">
        <f t="shared" si="76"/>
        <v>0</v>
      </c>
    </row>
    <row r="668" spans="1:29">
      <c r="A668" s="83" t="str">
        <f t="shared" si="70"/>
        <v/>
      </c>
      <c r="B668" s="83" t="str">
        <f t="shared" si="71"/>
        <v/>
      </c>
      <c r="U668" s="83" t="str">
        <f t="shared" si="72"/>
        <v/>
      </c>
      <c r="V668" s="83" t="str">
        <f t="shared" si="73"/>
        <v/>
      </c>
      <c r="AA668" s="60">
        <f t="shared" si="74"/>
        <v>0</v>
      </c>
      <c r="AB668" s="49">
        <f t="shared" si="75"/>
        <v>0</v>
      </c>
      <c r="AC668" s="60">
        <f t="shared" si="76"/>
        <v>0</v>
      </c>
    </row>
    <row r="669" spans="1:29">
      <c r="A669" s="83" t="str">
        <f t="shared" si="70"/>
        <v/>
      </c>
      <c r="B669" s="83" t="str">
        <f t="shared" si="71"/>
        <v/>
      </c>
      <c r="U669" s="83" t="str">
        <f t="shared" si="72"/>
        <v/>
      </c>
      <c r="V669" s="83" t="str">
        <f t="shared" si="73"/>
        <v/>
      </c>
      <c r="AA669" s="60">
        <f t="shared" si="74"/>
        <v>0</v>
      </c>
      <c r="AB669" s="49">
        <f t="shared" si="75"/>
        <v>0</v>
      </c>
      <c r="AC669" s="60">
        <f t="shared" si="76"/>
        <v>0</v>
      </c>
    </row>
    <row r="670" spans="1:29">
      <c r="A670" s="83" t="str">
        <f t="shared" si="70"/>
        <v/>
      </c>
      <c r="B670" s="83" t="str">
        <f t="shared" si="71"/>
        <v/>
      </c>
      <c r="U670" s="83" t="str">
        <f t="shared" si="72"/>
        <v/>
      </c>
      <c r="V670" s="83" t="str">
        <f t="shared" si="73"/>
        <v/>
      </c>
      <c r="AA670" s="60">
        <f t="shared" si="74"/>
        <v>0</v>
      </c>
      <c r="AB670" s="49">
        <f t="shared" si="75"/>
        <v>0</v>
      </c>
      <c r="AC670" s="60">
        <f t="shared" si="76"/>
        <v>0</v>
      </c>
    </row>
    <row r="671" spans="1:29">
      <c r="A671" s="83" t="str">
        <f t="shared" si="70"/>
        <v/>
      </c>
      <c r="B671" s="83" t="str">
        <f t="shared" si="71"/>
        <v/>
      </c>
      <c r="U671" s="83" t="str">
        <f t="shared" si="72"/>
        <v/>
      </c>
      <c r="V671" s="83" t="str">
        <f t="shared" si="73"/>
        <v/>
      </c>
      <c r="AA671" s="60">
        <f t="shared" si="74"/>
        <v>0</v>
      </c>
      <c r="AB671" s="49">
        <f t="shared" si="75"/>
        <v>0</v>
      </c>
      <c r="AC671" s="60">
        <f t="shared" si="76"/>
        <v>0</v>
      </c>
    </row>
    <row r="672" spans="1:29">
      <c r="A672" s="83" t="str">
        <f t="shared" si="70"/>
        <v/>
      </c>
      <c r="B672" s="83" t="str">
        <f t="shared" si="71"/>
        <v/>
      </c>
      <c r="U672" s="83" t="str">
        <f t="shared" si="72"/>
        <v/>
      </c>
      <c r="V672" s="83" t="str">
        <f t="shared" si="73"/>
        <v/>
      </c>
      <c r="AA672" s="60">
        <f t="shared" si="74"/>
        <v>0</v>
      </c>
      <c r="AB672" s="49">
        <f t="shared" si="75"/>
        <v>0</v>
      </c>
      <c r="AC672" s="60">
        <f t="shared" si="76"/>
        <v>0</v>
      </c>
    </row>
    <row r="673" spans="1:29">
      <c r="A673" s="83" t="str">
        <f t="shared" si="70"/>
        <v/>
      </c>
      <c r="B673" s="83" t="str">
        <f t="shared" si="71"/>
        <v/>
      </c>
      <c r="U673" s="83" t="str">
        <f t="shared" si="72"/>
        <v/>
      </c>
      <c r="V673" s="83" t="str">
        <f t="shared" si="73"/>
        <v/>
      </c>
      <c r="AA673" s="60">
        <f t="shared" si="74"/>
        <v>0</v>
      </c>
      <c r="AB673" s="49">
        <f t="shared" si="75"/>
        <v>0</v>
      </c>
      <c r="AC673" s="60">
        <f t="shared" si="76"/>
        <v>0</v>
      </c>
    </row>
    <row r="674" spans="1:29">
      <c r="A674" s="83" t="str">
        <f t="shared" si="70"/>
        <v/>
      </c>
      <c r="B674" s="83" t="str">
        <f t="shared" si="71"/>
        <v/>
      </c>
      <c r="U674" s="83" t="str">
        <f t="shared" si="72"/>
        <v/>
      </c>
      <c r="V674" s="83" t="str">
        <f t="shared" si="73"/>
        <v/>
      </c>
      <c r="AA674" s="60">
        <f t="shared" si="74"/>
        <v>0</v>
      </c>
      <c r="AB674" s="49">
        <f t="shared" si="75"/>
        <v>0</v>
      </c>
      <c r="AC674" s="60">
        <f t="shared" si="76"/>
        <v>0</v>
      </c>
    </row>
    <row r="675" spans="1:29">
      <c r="A675" s="83" t="str">
        <f t="shared" si="70"/>
        <v/>
      </c>
      <c r="B675" s="83" t="str">
        <f t="shared" si="71"/>
        <v/>
      </c>
      <c r="U675" s="83" t="str">
        <f t="shared" si="72"/>
        <v/>
      </c>
      <c r="V675" s="83" t="str">
        <f t="shared" si="73"/>
        <v/>
      </c>
      <c r="AA675" s="60">
        <f t="shared" si="74"/>
        <v>0</v>
      </c>
      <c r="AB675" s="49">
        <f t="shared" si="75"/>
        <v>0</v>
      </c>
      <c r="AC675" s="60">
        <f t="shared" si="76"/>
        <v>0</v>
      </c>
    </row>
    <row r="676" spans="1:29">
      <c r="A676" s="83" t="str">
        <f t="shared" si="70"/>
        <v/>
      </c>
      <c r="B676" s="83" t="str">
        <f t="shared" si="71"/>
        <v/>
      </c>
      <c r="U676" s="83" t="str">
        <f t="shared" si="72"/>
        <v/>
      </c>
      <c r="V676" s="83" t="str">
        <f t="shared" si="73"/>
        <v/>
      </c>
      <c r="AA676" s="60">
        <f t="shared" si="74"/>
        <v>0</v>
      </c>
      <c r="AB676" s="49">
        <f t="shared" si="75"/>
        <v>0</v>
      </c>
      <c r="AC676" s="60">
        <f t="shared" si="76"/>
        <v>0</v>
      </c>
    </row>
    <row r="677" spans="1:29">
      <c r="A677" s="83" t="str">
        <f t="shared" si="70"/>
        <v/>
      </c>
      <c r="B677" s="83" t="str">
        <f t="shared" si="71"/>
        <v/>
      </c>
      <c r="U677" s="83" t="str">
        <f t="shared" si="72"/>
        <v/>
      </c>
      <c r="V677" s="83" t="str">
        <f t="shared" si="73"/>
        <v/>
      </c>
      <c r="AA677" s="60">
        <f t="shared" si="74"/>
        <v>0</v>
      </c>
      <c r="AB677" s="49">
        <f t="shared" si="75"/>
        <v>0</v>
      </c>
      <c r="AC677" s="60">
        <f t="shared" si="76"/>
        <v>0</v>
      </c>
    </row>
    <row r="678" spans="1:29">
      <c r="A678" s="83" t="str">
        <f t="shared" si="70"/>
        <v/>
      </c>
      <c r="B678" s="83" t="str">
        <f t="shared" si="71"/>
        <v/>
      </c>
      <c r="U678" s="83" t="str">
        <f t="shared" si="72"/>
        <v/>
      </c>
      <c r="V678" s="83" t="str">
        <f t="shared" si="73"/>
        <v/>
      </c>
      <c r="AA678" s="60">
        <f t="shared" si="74"/>
        <v>0</v>
      </c>
      <c r="AB678" s="49">
        <f t="shared" si="75"/>
        <v>0</v>
      </c>
      <c r="AC678" s="60">
        <f t="shared" si="76"/>
        <v>0</v>
      </c>
    </row>
    <row r="679" spans="1:29">
      <c r="A679" s="83" t="str">
        <f t="shared" si="70"/>
        <v/>
      </c>
      <c r="B679" s="83" t="str">
        <f t="shared" si="71"/>
        <v/>
      </c>
      <c r="U679" s="83" t="str">
        <f t="shared" si="72"/>
        <v/>
      </c>
      <c r="V679" s="83" t="str">
        <f t="shared" si="73"/>
        <v/>
      </c>
      <c r="AA679" s="60">
        <f t="shared" si="74"/>
        <v>0</v>
      </c>
      <c r="AB679" s="49">
        <f t="shared" si="75"/>
        <v>0</v>
      </c>
      <c r="AC679" s="60">
        <f t="shared" si="76"/>
        <v>0</v>
      </c>
    </row>
    <row r="680" spans="1:29">
      <c r="A680" s="83" t="str">
        <f t="shared" si="70"/>
        <v/>
      </c>
      <c r="B680" s="83" t="str">
        <f t="shared" si="71"/>
        <v/>
      </c>
      <c r="U680" s="83" t="str">
        <f t="shared" si="72"/>
        <v/>
      </c>
      <c r="V680" s="83" t="str">
        <f t="shared" si="73"/>
        <v/>
      </c>
      <c r="AA680" s="60">
        <f t="shared" si="74"/>
        <v>0</v>
      </c>
      <c r="AB680" s="49">
        <f t="shared" si="75"/>
        <v>0</v>
      </c>
      <c r="AC680" s="60">
        <f t="shared" si="76"/>
        <v>0</v>
      </c>
    </row>
    <row r="681" spans="1:29">
      <c r="A681" s="83" t="str">
        <f t="shared" si="70"/>
        <v/>
      </c>
      <c r="B681" s="83" t="str">
        <f t="shared" si="71"/>
        <v/>
      </c>
      <c r="U681" s="83" t="str">
        <f t="shared" si="72"/>
        <v/>
      </c>
      <c r="V681" s="83" t="str">
        <f t="shared" si="73"/>
        <v/>
      </c>
      <c r="AA681" s="60">
        <f t="shared" si="74"/>
        <v>0</v>
      </c>
      <c r="AB681" s="49">
        <f t="shared" si="75"/>
        <v>0</v>
      </c>
      <c r="AC681" s="60">
        <f t="shared" si="76"/>
        <v>0</v>
      </c>
    </row>
    <row r="682" spans="1:29">
      <c r="A682" s="83" t="str">
        <f t="shared" si="70"/>
        <v/>
      </c>
      <c r="B682" s="83" t="str">
        <f t="shared" si="71"/>
        <v/>
      </c>
      <c r="U682" s="83" t="str">
        <f t="shared" si="72"/>
        <v/>
      </c>
      <c r="V682" s="83" t="str">
        <f t="shared" si="73"/>
        <v/>
      </c>
      <c r="AA682" s="60">
        <f t="shared" si="74"/>
        <v>0</v>
      </c>
      <c r="AB682" s="49">
        <f t="shared" si="75"/>
        <v>0</v>
      </c>
      <c r="AC682" s="60">
        <f t="shared" si="76"/>
        <v>0</v>
      </c>
    </row>
    <row r="683" spans="1:29">
      <c r="A683" s="83" t="str">
        <f t="shared" si="70"/>
        <v/>
      </c>
      <c r="B683" s="83" t="str">
        <f t="shared" si="71"/>
        <v/>
      </c>
      <c r="U683" s="83" t="str">
        <f t="shared" si="72"/>
        <v/>
      </c>
      <c r="V683" s="83" t="str">
        <f t="shared" si="73"/>
        <v/>
      </c>
      <c r="AA683" s="60">
        <f t="shared" si="74"/>
        <v>0</v>
      </c>
      <c r="AB683" s="49">
        <f t="shared" si="75"/>
        <v>0</v>
      </c>
      <c r="AC683" s="60">
        <f t="shared" si="76"/>
        <v>0</v>
      </c>
    </row>
    <row r="684" spans="1:29">
      <c r="A684" s="83" t="str">
        <f t="shared" si="70"/>
        <v/>
      </c>
      <c r="B684" s="83" t="str">
        <f t="shared" si="71"/>
        <v/>
      </c>
      <c r="U684" s="83" t="str">
        <f t="shared" si="72"/>
        <v/>
      </c>
      <c r="V684" s="83" t="str">
        <f t="shared" si="73"/>
        <v/>
      </c>
      <c r="AA684" s="60">
        <f t="shared" si="74"/>
        <v>0</v>
      </c>
      <c r="AB684" s="49">
        <f t="shared" si="75"/>
        <v>0</v>
      </c>
      <c r="AC684" s="60">
        <f t="shared" si="76"/>
        <v>0</v>
      </c>
    </row>
    <row r="685" spans="1:29">
      <c r="A685" s="83" t="str">
        <f t="shared" si="70"/>
        <v/>
      </c>
      <c r="B685" s="83" t="str">
        <f t="shared" si="71"/>
        <v/>
      </c>
      <c r="U685" s="83" t="str">
        <f t="shared" si="72"/>
        <v/>
      </c>
      <c r="V685" s="83" t="str">
        <f t="shared" si="73"/>
        <v/>
      </c>
      <c r="AA685" s="60">
        <f t="shared" si="74"/>
        <v>0</v>
      </c>
      <c r="AB685" s="49">
        <f t="shared" si="75"/>
        <v>0</v>
      </c>
      <c r="AC685" s="60">
        <f t="shared" si="76"/>
        <v>0</v>
      </c>
    </row>
    <row r="686" spans="1:29">
      <c r="A686" s="83" t="str">
        <f t="shared" si="70"/>
        <v/>
      </c>
      <c r="B686" s="83" t="str">
        <f t="shared" si="71"/>
        <v/>
      </c>
      <c r="U686" s="83" t="str">
        <f t="shared" si="72"/>
        <v/>
      </c>
      <c r="V686" s="83" t="str">
        <f t="shared" si="73"/>
        <v/>
      </c>
      <c r="AA686" s="60">
        <f t="shared" si="74"/>
        <v>0</v>
      </c>
      <c r="AB686" s="49">
        <f t="shared" si="75"/>
        <v>0</v>
      </c>
      <c r="AC686" s="60">
        <f t="shared" si="76"/>
        <v>0</v>
      </c>
    </row>
    <row r="687" spans="1:29">
      <c r="A687" s="83" t="str">
        <f t="shared" si="70"/>
        <v/>
      </c>
      <c r="B687" s="83" t="str">
        <f t="shared" si="71"/>
        <v/>
      </c>
      <c r="U687" s="83" t="str">
        <f t="shared" si="72"/>
        <v/>
      </c>
      <c r="V687" s="83" t="str">
        <f t="shared" si="73"/>
        <v/>
      </c>
      <c r="AA687" s="60">
        <f t="shared" si="74"/>
        <v>0</v>
      </c>
      <c r="AB687" s="49">
        <f t="shared" si="75"/>
        <v>0</v>
      </c>
      <c r="AC687" s="60">
        <f t="shared" si="76"/>
        <v>0</v>
      </c>
    </row>
    <row r="688" spans="1:29">
      <c r="A688" s="83" t="str">
        <f t="shared" si="70"/>
        <v/>
      </c>
      <c r="B688" s="83" t="str">
        <f t="shared" si="71"/>
        <v/>
      </c>
      <c r="U688" s="83" t="str">
        <f t="shared" si="72"/>
        <v/>
      </c>
      <c r="V688" s="83" t="str">
        <f t="shared" si="73"/>
        <v/>
      </c>
      <c r="AA688" s="60">
        <f t="shared" si="74"/>
        <v>0</v>
      </c>
      <c r="AB688" s="49">
        <f t="shared" si="75"/>
        <v>0</v>
      </c>
      <c r="AC688" s="60">
        <f t="shared" si="76"/>
        <v>0</v>
      </c>
    </row>
    <row r="689" spans="1:29">
      <c r="A689" s="83" t="str">
        <f t="shared" si="70"/>
        <v/>
      </c>
      <c r="B689" s="83" t="str">
        <f t="shared" si="71"/>
        <v/>
      </c>
      <c r="U689" s="83" t="str">
        <f t="shared" si="72"/>
        <v/>
      </c>
      <c r="V689" s="83" t="str">
        <f t="shared" si="73"/>
        <v/>
      </c>
      <c r="AA689" s="60">
        <f t="shared" si="74"/>
        <v>0</v>
      </c>
      <c r="AB689" s="49">
        <f t="shared" si="75"/>
        <v>0</v>
      </c>
      <c r="AC689" s="60">
        <f t="shared" si="76"/>
        <v>0</v>
      </c>
    </row>
    <row r="690" spans="1:29">
      <c r="A690" s="83" t="str">
        <f t="shared" si="70"/>
        <v/>
      </c>
      <c r="B690" s="83" t="str">
        <f t="shared" si="71"/>
        <v/>
      </c>
      <c r="U690" s="83" t="str">
        <f t="shared" si="72"/>
        <v/>
      </c>
      <c r="V690" s="83" t="str">
        <f t="shared" si="73"/>
        <v/>
      </c>
      <c r="AA690" s="60">
        <f t="shared" si="74"/>
        <v>0</v>
      </c>
      <c r="AB690" s="49">
        <f t="shared" si="75"/>
        <v>0</v>
      </c>
      <c r="AC690" s="60">
        <f t="shared" si="76"/>
        <v>0</v>
      </c>
    </row>
    <row r="691" spans="1:29">
      <c r="A691" s="83" t="str">
        <f t="shared" si="70"/>
        <v/>
      </c>
      <c r="B691" s="83" t="str">
        <f t="shared" si="71"/>
        <v/>
      </c>
      <c r="U691" s="83" t="str">
        <f t="shared" si="72"/>
        <v/>
      </c>
      <c r="V691" s="83" t="str">
        <f t="shared" si="73"/>
        <v/>
      </c>
      <c r="AA691" s="60">
        <f t="shared" si="74"/>
        <v>0</v>
      </c>
      <c r="AB691" s="49">
        <f t="shared" si="75"/>
        <v>0</v>
      </c>
      <c r="AC691" s="60">
        <f t="shared" si="76"/>
        <v>0</v>
      </c>
    </row>
    <row r="692" spans="1:29">
      <c r="A692" s="83" t="str">
        <f t="shared" si="70"/>
        <v/>
      </c>
      <c r="B692" s="83" t="str">
        <f t="shared" si="71"/>
        <v/>
      </c>
      <c r="U692" s="83" t="str">
        <f t="shared" si="72"/>
        <v/>
      </c>
      <c r="V692" s="83" t="str">
        <f t="shared" si="73"/>
        <v/>
      </c>
      <c r="AA692" s="60">
        <f t="shared" si="74"/>
        <v>0</v>
      </c>
      <c r="AB692" s="49">
        <f t="shared" si="75"/>
        <v>0</v>
      </c>
      <c r="AC692" s="60">
        <f t="shared" si="76"/>
        <v>0</v>
      </c>
    </row>
    <row r="693" spans="1:29">
      <c r="A693" s="83" t="str">
        <f t="shared" si="70"/>
        <v/>
      </c>
      <c r="B693" s="83" t="str">
        <f t="shared" si="71"/>
        <v/>
      </c>
      <c r="U693" s="83" t="str">
        <f t="shared" si="72"/>
        <v/>
      </c>
      <c r="V693" s="83" t="str">
        <f t="shared" si="73"/>
        <v/>
      </c>
      <c r="AA693" s="60">
        <f t="shared" si="74"/>
        <v>0</v>
      </c>
      <c r="AB693" s="49">
        <f t="shared" si="75"/>
        <v>0</v>
      </c>
      <c r="AC693" s="60">
        <f t="shared" si="76"/>
        <v>0</v>
      </c>
    </row>
    <row r="694" spans="1:29">
      <c r="A694" s="83" t="str">
        <f t="shared" si="70"/>
        <v/>
      </c>
      <c r="B694" s="83" t="str">
        <f t="shared" si="71"/>
        <v/>
      </c>
      <c r="U694" s="83" t="str">
        <f t="shared" si="72"/>
        <v/>
      </c>
      <c r="V694" s="83" t="str">
        <f t="shared" si="73"/>
        <v/>
      </c>
      <c r="AA694" s="60">
        <f t="shared" si="74"/>
        <v>0</v>
      </c>
      <c r="AB694" s="49">
        <f t="shared" si="75"/>
        <v>0</v>
      </c>
      <c r="AC694" s="60">
        <f t="shared" si="76"/>
        <v>0</v>
      </c>
    </row>
    <row r="695" spans="1:29">
      <c r="A695" s="83" t="str">
        <f t="shared" si="70"/>
        <v/>
      </c>
      <c r="B695" s="83" t="str">
        <f t="shared" si="71"/>
        <v/>
      </c>
      <c r="U695" s="83" t="str">
        <f t="shared" si="72"/>
        <v/>
      </c>
      <c r="V695" s="83" t="str">
        <f t="shared" si="73"/>
        <v/>
      </c>
      <c r="AA695" s="60">
        <f t="shared" si="74"/>
        <v>0</v>
      </c>
      <c r="AB695" s="49">
        <f t="shared" si="75"/>
        <v>0</v>
      </c>
      <c r="AC695" s="60">
        <f t="shared" si="76"/>
        <v>0</v>
      </c>
    </row>
    <row r="696" spans="1:29">
      <c r="A696" s="83" t="str">
        <f t="shared" si="70"/>
        <v/>
      </c>
      <c r="B696" s="83" t="str">
        <f t="shared" si="71"/>
        <v/>
      </c>
      <c r="U696" s="83" t="str">
        <f t="shared" si="72"/>
        <v/>
      </c>
      <c r="V696" s="83" t="str">
        <f t="shared" si="73"/>
        <v/>
      </c>
      <c r="AA696" s="60">
        <f t="shared" si="74"/>
        <v>0</v>
      </c>
      <c r="AB696" s="49">
        <f t="shared" si="75"/>
        <v>0</v>
      </c>
      <c r="AC696" s="60">
        <f t="shared" si="76"/>
        <v>0</v>
      </c>
    </row>
    <row r="697" spans="1:29">
      <c r="A697" s="83" t="str">
        <f t="shared" si="70"/>
        <v/>
      </c>
      <c r="B697" s="83" t="str">
        <f t="shared" si="71"/>
        <v/>
      </c>
      <c r="U697" s="83" t="str">
        <f t="shared" si="72"/>
        <v/>
      </c>
      <c r="V697" s="83" t="str">
        <f t="shared" si="73"/>
        <v/>
      </c>
      <c r="AA697" s="60">
        <f t="shared" si="74"/>
        <v>0</v>
      </c>
      <c r="AB697" s="49">
        <f t="shared" si="75"/>
        <v>0</v>
      </c>
      <c r="AC697" s="60">
        <f t="shared" si="76"/>
        <v>0</v>
      </c>
    </row>
    <row r="698" spans="1:29">
      <c r="A698" s="83" t="str">
        <f t="shared" si="70"/>
        <v/>
      </c>
      <c r="B698" s="83" t="str">
        <f t="shared" si="71"/>
        <v/>
      </c>
      <c r="U698" s="83" t="str">
        <f t="shared" si="72"/>
        <v/>
      </c>
      <c r="V698" s="83" t="str">
        <f t="shared" si="73"/>
        <v/>
      </c>
      <c r="AA698" s="60">
        <f t="shared" si="74"/>
        <v>0</v>
      </c>
      <c r="AB698" s="49">
        <f t="shared" si="75"/>
        <v>0</v>
      </c>
      <c r="AC698" s="60">
        <f t="shared" si="76"/>
        <v>0</v>
      </c>
    </row>
    <row r="699" spans="1:29">
      <c r="A699" s="83" t="str">
        <f t="shared" si="70"/>
        <v/>
      </c>
      <c r="B699" s="83" t="str">
        <f t="shared" si="71"/>
        <v/>
      </c>
      <c r="U699" s="83" t="str">
        <f t="shared" si="72"/>
        <v/>
      </c>
      <c r="V699" s="83" t="str">
        <f t="shared" si="73"/>
        <v/>
      </c>
      <c r="AA699" s="60">
        <f t="shared" si="74"/>
        <v>0</v>
      </c>
      <c r="AB699" s="49">
        <f t="shared" si="75"/>
        <v>0</v>
      </c>
      <c r="AC699" s="60">
        <f t="shared" si="76"/>
        <v>0</v>
      </c>
    </row>
    <row r="700" spans="1:29">
      <c r="A700" s="83" t="str">
        <f t="shared" si="70"/>
        <v/>
      </c>
      <c r="B700" s="83" t="str">
        <f t="shared" si="71"/>
        <v/>
      </c>
      <c r="U700" s="83" t="str">
        <f t="shared" si="72"/>
        <v/>
      </c>
      <c r="V700" s="83" t="str">
        <f t="shared" si="73"/>
        <v/>
      </c>
      <c r="AA700" s="60">
        <f t="shared" si="74"/>
        <v>0</v>
      </c>
      <c r="AB700" s="49">
        <f t="shared" si="75"/>
        <v>0</v>
      </c>
      <c r="AC700" s="60">
        <f t="shared" si="76"/>
        <v>0</v>
      </c>
    </row>
    <row r="701" spans="1:29">
      <c r="A701" s="83" t="str">
        <f t="shared" si="70"/>
        <v/>
      </c>
      <c r="B701" s="83" t="str">
        <f t="shared" si="71"/>
        <v/>
      </c>
      <c r="U701" s="83" t="str">
        <f t="shared" si="72"/>
        <v/>
      </c>
      <c r="V701" s="83" t="str">
        <f t="shared" si="73"/>
        <v/>
      </c>
      <c r="AA701" s="60">
        <f t="shared" si="74"/>
        <v>0</v>
      </c>
      <c r="AB701" s="49">
        <f t="shared" si="75"/>
        <v>0</v>
      </c>
      <c r="AC701" s="60">
        <f t="shared" si="76"/>
        <v>0</v>
      </c>
    </row>
    <row r="702" spans="1:29">
      <c r="A702" s="83" t="str">
        <f t="shared" si="70"/>
        <v/>
      </c>
      <c r="B702" s="83" t="str">
        <f t="shared" si="71"/>
        <v/>
      </c>
      <c r="U702" s="83" t="str">
        <f t="shared" si="72"/>
        <v/>
      </c>
      <c r="V702" s="83" t="str">
        <f t="shared" si="73"/>
        <v/>
      </c>
      <c r="AA702" s="60">
        <f t="shared" si="74"/>
        <v>0</v>
      </c>
      <c r="AB702" s="49">
        <f t="shared" si="75"/>
        <v>0</v>
      </c>
      <c r="AC702" s="60">
        <f t="shared" si="76"/>
        <v>0</v>
      </c>
    </row>
    <row r="703" spans="1:29">
      <c r="A703" s="83" t="str">
        <f t="shared" si="70"/>
        <v/>
      </c>
      <c r="B703" s="83" t="str">
        <f t="shared" si="71"/>
        <v/>
      </c>
      <c r="U703" s="83" t="str">
        <f t="shared" si="72"/>
        <v/>
      </c>
      <c r="V703" s="83" t="str">
        <f t="shared" si="73"/>
        <v/>
      </c>
      <c r="AA703" s="60">
        <f t="shared" si="74"/>
        <v>0</v>
      </c>
      <c r="AB703" s="49">
        <f t="shared" si="75"/>
        <v>0</v>
      </c>
      <c r="AC703" s="60">
        <f t="shared" si="76"/>
        <v>0</v>
      </c>
    </row>
    <row r="704" spans="1:29">
      <c r="A704" s="83" t="str">
        <f t="shared" si="70"/>
        <v/>
      </c>
      <c r="B704" s="83" t="str">
        <f t="shared" si="71"/>
        <v/>
      </c>
      <c r="U704" s="83" t="str">
        <f t="shared" si="72"/>
        <v/>
      </c>
      <c r="V704" s="83" t="str">
        <f t="shared" si="73"/>
        <v/>
      </c>
      <c r="AA704" s="60">
        <f t="shared" si="74"/>
        <v>0</v>
      </c>
      <c r="AB704" s="49">
        <f t="shared" si="75"/>
        <v>0</v>
      </c>
      <c r="AC704" s="60">
        <f t="shared" si="76"/>
        <v>0</v>
      </c>
    </row>
    <row r="705" spans="1:29">
      <c r="A705" s="83" t="str">
        <f t="shared" si="70"/>
        <v/>
      </c>
      <c r="B705" s="83" t="str">
        <f t="shared" si="71"/>
        <v/>
      </c>
      <c r="U705" s="83" t="str">
        <f t="shared" si="72"/>
        <v/>
      </c>
      <c r="V705" s="83" t="str">
        <f t="shared" si="73"/>
        <v/>
      </c>
      <c r="AA705" s="60">
        <f t="shared" si="74"/>
        <v>0</v>
      </c>
      <c r="AB705" s="49">
        <f t="shared" si="75"/>
        <v>0</v>
      </c>
      <c r="AC705" s="60">
        <f t="shared" si="76"/>
        <v>0</v>
      </c>
    </row>
    <row r="706" spans="1:29">
      <c r="A706" s="83" t="str">
        <f t="shared" si="70"/>
        <v/>
      </c>
      <c r="B706" s="83" t="str">
        <f t="shared" si="71"/>
        <v/>
      </c>
      <c r="U706" s="83" t="str">
        <f t="shared" si="72"/>
        <v/>
      </c>
      <c r="V706" s="83" t="str">
        <f t="shared" si="73"/>
        <v/>
      </c>
      <c r="AA706" s="60">
        <f t="shared" si="74"/>
        <v>0</v>
      </c>
      <c r="AB706" s="49">
        <f t="shared" si="75"/>
        <v>0</v>
      </c>
      <c r="AC706" s="60">
        <f t="shared" si="76"/>
        <v>0</v>
      </c>
    </row>
    <row r="707" spans="1:29">
      <c r="A707" s="83" t="str">
        <f t="shared" ref="A707:A770" si="77">IF(G707&amp;Q707&lt;&gt;"",U707&amp;Q707,"")</f>
        <v/>
      </c>
      <c r="B707" s="83" t="str">
        <f t="shared" ref="B707:B770" si="78">IF(C707&lt;&gt;"",LEFT(C707,9),"")</f>
        <v/>
      </c>
      <c r="U707" s="83" t="str">
        <f t="shared" ref="U707:U770" si="79">IF(G707&lt;&gt;"",IF(StyleSpaceSplit,IFERROR(IF(FIND(" ",G707)&gt;=1,MID(G707,1,FIND(" ",G707)-1),G707),G707),G707),"")</f>
        <v/>
      </c>
      <c r="V707" s="83" t="str">
        <f t="shared" ref="V707:V770" si="80">IF(A707&lt;&gt;"",IFERROR(IF(FIND(" ",G707)&gt;=1,MID(G707,FIND(" ",G707)+1,LEN(G707)),""),G707),"")</f>
        <v/>
      </c>
      <c r="AA707" s="60">
        <f t="shared" ref="AA707:AA770" si="81">IFERROR(VALUE(MID($C707,1,2)),0)</f>
        <v>0</v>
      </c>
      <c r="AB707" s="49">
        <f t="shared" ref="AB707:AB770" si="82">IFERROR(VALUE(MID($C707,4,3)),0)</f>
        <v>0</v>
      </c>
      <c r="AC707" s="60">
        <f t="shared" ref="AC707:AC770" si="83">VALUE(RIGHT("00"&amp;AA707,2)&amp;RIGHT("000"&amp;AB707,3))</f>
        <v>0</v>
      </c>
    </row>
    <row r="708" spans="1:29">
      <c r="A708" s="83" t="str">
        <f t="shared" si="77"/>
        <v/>
      </c>
      <c r="B708" s="83" t="str">
        <f t="shared" si="78"/>
        <v/>
      </c>
      <c r="U708" s="83" t="str">
        <f t="shared" si="79"/>
        <v/>
      </c>
      <c r="V708" s="83" t="str">
        <f t="shared" si="80"/>
        <v/>
      </c>
      <c r="AA708" s="60">
        <f t="shared" si="81"/>
        <v>0</v>
      </c>
      <c r="AB708" s="49">
        <f t="shared" si="82"/>
        <v>0</v>
      </c>
      <c r="AC708" s="60">
        <f t="shared" si="83"/>
        <v>0</v>
      </c>
    </row>
    <row r="709" spans="1:29">
      <c r="A709" s="83" t="str">
        <f t="shared" si="77"/>
        <v/>
      </c>
      <c r="B709" s="83" t="str">
        <f t="shared" si="78"/>
        <v/>
      </c>
      <c r="U709" s="83" t="str">
        <f t="shared" si="79"/>
        <v/>
      </c>
      <c r="V709" s="83" t="str">
        <f t="shared" si="80"/>
        <v/>
      </c>
      <c r="AA709" s="60">
        <f t="shared" si="81"/>
        <v>0</v>
      </c>
      <c r="AB709" s="49">
        <f t="shared" si="82"/>
        <v>0</v>
      </c>
      <c r="AC709" s="60">
        <f t="shared" si="83"/>
        <v>0</v>
      </c>
    </row>
    <row r="710" spans="1:29">
      <c r="A710" s="83" t="str">
        <f t="shared" si="77"/>
        <v/>
      </c>
      <c r="B710" s="83" t="str">
        <f t="shared" si="78"/>
        <v/>
      </c>
      <c r="U710" s="83" t="str">
        <f t="shared" si="79"/>
        <v/>
      </c>
      <c r="V710" s="83" t="str">
        <f t="shared" si="80"/>
        <v/>
      </c>
      <c r="AA710" s="60">
        <f t="shared" si="81"/>
        <v>0</v>
      </c>
      <c r="AB710" s="49">
        <f t="shared" si="82"/>
        <v>0</v>
      </c>
      <c r="AC710" s="60">
        <f t="shared" si="83"/>
        <v>0</v>
      </c>
    </row>
    <row r="711" spans="1:29">
      <c r="A711" s="83" t="str">
        <f t="shared" si="77"/>
        <v/>
      </c>
      <c r="B711" s="83" t="str">
        <f t="shared" si="78"/>
        <v/>
      </c>
      <c r="U711" s="83" t="str">
        <f t="shared" si="79"/>
        <v/>
      </c>
      <c r="V711" s="83" t="str">
        <f t="shared" si="80"/>
        <v/>
      </c>
      <c r="AA711" s="60">
        <f t="shared" si="81"/>
        <v>0</v>
      </c>
      <c r="AB711" s="49">
        <f t="shared" si="82"/>
        <v>0</v>
      </c>
      <c r="AC711" s="60">
        <f t="shared" si="83"/>
        <v>0</v>
      </c>
    </row>
    <row r="712" spans="1:29">
      <c r="A712" s="83" t="str">
        <f t="shared" si="77"/>
        <v/>
      </c>
      <c r="B712" s="83" t="str">
        <f t="shared" si="78"/>
        <v/>
      </c>
      <c r="U712" s="83" t="str">
        <f t="shared" si="79"/>
        <v/>
      </c>
      <c r="V712" s="83" t="str">
        <f t="shared" si="80"/>
        <v/>
      </c>
      <c r="AA712" s="60">
        <f t="shared" si="81"/>
        <v>0</v>
      </c>
      <c r="AB712" s="49">
        <f t="shared" si="82"/>
        <v>0</v>
      </c>
      <c r="AC712" s="60">
        <f t="shared" si="83"/>
        <v>0</v>
      </c>
    </row>
    <row r="713" spans="1:29">
      <c r="A713" s="83" t="str">
        <f t="shared" si="77"/>
        <v/>
      </c>
      <c r="B713" s="83" t="str">
        <f t="shared" si="78"/>
        <v/>
      </c>
      <c r="U713" s="83" t="str">
        <f t="shared" si="79"/>
        <v/>
      </c>
      <c r="V713" s="83" t="str">
        <f t="shared" si="80"/>
        <v/>
      </c>
      <c r="AA713" s="60">
        <f t="shared" si="81"/>
        <v>0</v>
      </c>
      <c r="AB713" s="49">
        <f t="shared" si="82"/>
        <v>0</v>
      </c>
      <c r="AC713" s="60">
        <f t="shared" si="83"/>
        <v>0</v>
      </c>
    </row>
    <row r="714" spans="1:29">
      <c r="A714" s="83" t="str">
        <f t="shared" si="77"/>
        <v/>
      </c>
      <c r="B714" s="83" t="str">
        <f t="shared" si="78"/>
        <v/>
      </c>
      <c r="U714" s="83" t="str">
        <f t="shared" si="79"/>
        <v/>
      </c>
      <c r="V714" s="83" t="str">
        <f t="shared" si="80"/>
        <v/>
      </c>
      <c r="AA714" s="60">
        <f t="shared" si="81"/>
        <v>0</v>
      </c>
      <c r="AB714" s="49">
        <f t="shared" si="82"/>
        <v>0</v>
      </c>
      <c r="AC714" s="60">
        <f t="shared" si="83"/>
        <v>0</v>
      </c>
    </row>
    <row r="715" spans="1:29">
      <c r="A715" s="83" t="str">
        <f t="shared" si="77"/>
        <v/>
      </c>
      <c r="B715" s="83" t="str">
        <f t="shared" si="78"/>
        <v/>
      </c>
      <c r="U715" s="83" t="str">
        <f t="shared" si="79"/>
        <v/>
      </c>
      <c r="V715" s="83" t="str">
        <f t="shared" si="80"/>
        <v/>
      </c>
      <c r="AA715" s="60">
        <f t="shared" si="81"/>
        <v>0</v>
      </c>
      <c r="AB715" s="49">
        <f t="shared" si="82"/>
        <v>0</v>
      </c>
      <c r="AC715" s="60">
        <f t="shared" si="83"/>
        <v>0</v>
      </c>
    </row>
    <row r="716" spans="1:29">
      <c r="A716" s="83" t="str">
        <f t="shared" si="77"/>
        <v/>
      </c>
      <c r="B716" s="83" t="str">
        <f t="shared" si="78"/>
        <v/>
      </c>
      <c r="U716" s="83" t="str">
        <f t="shared" si="79"/>
        <v/>
      </c>
      <c r="V716" s="83" t="str">
        <f t="shared" si="80"/>
        <v/>
      </c>
      <c r="AA716" s="60">
        <f t="shared" si="81"/>
        <v>0</v>
      </c>
      <c r="AB716" s="49">
        <f t="shared" si="82"/>
        <v>0</v>
      </c>
      <c r="AC716" s="60">
        <f t="shared" si="83"/>
        <v>0</v>
      </c>
    </row>
    <row r="717" spans="1:29">
      <c r="A717" s="83" t="str">
        <f t="shared" si="77"/>
        <v/>
      </c>
      <c r="B717" s="83" t="str">
        <f t="shared" si="78"/>
        <v/>
      </c>
      <c r="U717" s="83" t="str">
        <f t="shared" si="79"/>
        <v/>
      </c>
      <c r="V717" s="83" t="str">
        <f t="shared" si="80"/>
        <v/>
      </c>
      <c r="AA717" s="60">
        <f t="shared" si="81"/>
        <v>0</v>
      </c>
      <c r="AB717" s="49">
        <f t="shared" si="82"/>
        <v>0</v>
      </c>
      <c r="AC717" s="60">
        <f t="shared" si="83"/>
        <v>0</v>
      </c>
    </row>
    <row r="718" spans="1:29">
      <c r="A718" s="83" t="str">
        <f t="shared" si="77"/>
        <v/>
      </c>
      <c r="B718" s="83" t="str">
        <f t="shared" si="78"/>
        <v/>
      </c>
      <c r="U718" s="83" t="str">
        <f t="shared" si="79"/>
        <v/>
      </c>
      <c r="V718" s="83" t="str">
        <f t="shared" si="80"/>
        <v/>
      </c>
      <c r="AA718" s="60">
        <f t="shared" si="81"/>
        <v>0</v>
      </c>
      <c r="AB718" s="49">
        <f t="shared" si="82"/>
        <v>0</v>
      </c>
      <c r="AC718" s="60">
        <f t="shared" si="83"/>
        <v>0</v>
      </c>
    </row>
    <row r="719" spans="1:29">
      <c r="A719" s="83" t="str">
        <f t="shared" si="77"/>
        <v/>
      </c>
      <c r="B719" s="83" t="str">
        <f t="shared" si="78"/>
        <v/>
      </c>
      <c r="U719" s="83" t="str">
        <f t="shared" si="79"/>
        <v/>
      </c>
      <c r="V719" s="83" t="str">
        <f t="shared" si="80"/>
        <v/>
      </c>
      <c r="AA719" s="60">
        <f t="shared" si="81"/>
        <v>0</v>
      </c>
      <c r="AB719" s="49">
        <f t="shared" si="82"/>
        <v>0</v>
      </c>
      <c r="AC719" s="60">
        <f t="shared" si="83"/>
        <v>0</v>
      </c>
    </row>
    <row r="720" spans="1:29">
      <c r="A720" s="83" t="str">
        <f t="shared" si="77"/>
        <v/>
      </c>
      <c r="B720" s="83" t="str">
        <f t="shared" si="78"/>
        <v/>
      </c>
      <c r="U720" s="83" t="str">
        <f t="shared" si="79"/>
        <v/>
      </c>
      <c r="V720" s="83" t="str">
        <f t="shared" si="80"/>
        <v/>
      </c>
      <c r="AA720" s="60">
        <f t="shared" si="81"/>
        <v>0</v>
      </c>
      <c r="AB720" s="49">
        <f t="shared" si="82"/>
        <v>0</v>
      </c>
      <c r="AC720" s="60">
        <f t="shared" si="83"/>
        <v>0</v>
      </c>
    </row>
    <row r="721" spans="1:29">
      <c r="A721" s="83" t="str">
        <f t="shared" si="77"/>
        <v/>
      </c>
      <c r="B721" s="83" t="str">
        <f t="shared" si="78"/>
        <v/>
      </c>
      <c r="U721" s="83" t="str">
        <f t="shared" si="79"/>
        <v/>
      </c>
      <c r="V721" s="83" t="str">
        <f t="shared" si="80"/>
        <v/>
      </c>
      <c r="AA721" s="60">
        <f t="shared" si="81"/>
        <v>0</v>
      </c>
      <c r="AB721" s="49">
        <f t="shared" si="82"/>
        <v>0</v>
      </c>
      <c r="AC721" s="60">
        <f t="shared" si="83"/>
        <v>0</v>
      </c>
    </row>
    <row r="722" spans="1:29">
      <c r="A722" s="83" t="str">
        <f t="shared" si="77"/>
        <v/>
      </c>
      <c r="B722" s="83" t="str">
        <f t="shared" si="78"/>
        <v/>
      </c>
      <c r="U722" s="83" t="str">
        <f t="shared" si="79"/>
        <v/>
      </c>
      <c r="V722" s="83" t="str">
        <f t="shared" si="80"/>
        <v/>
      </c>
      <c r="AA722" s="60">
        <f t="shared" si="81"/>
        <v>0</v>
      </c>
      <c r="AB722" s="49">
        <f t="shared" si="82"/>
        <v>0</v>
      </c>
      <c r="AC722" s="60">
        <f t="shared" si="83"/>
        <v>0</v>
      </c>
    </row>
    <row r="723" spans="1:29">
      <c r="A723" s="83" t="str">
        <f t="shared" si="77"/>
        <v/>
      </c>
      <c r="B723" s="83" t="str">
        <f t="shared" si="78"/>
        <v/>
      </c>
      <c r="U723" s="83" t="str">
        <f t="shared" si="79"/>
        <v/>
      </c>
      <c r="V723" s="83" t="str">
        <f t="shared" si="80"/>
        <v/>
      </c>
      <c r="AA723" s="60">
        <f t="shared" si="81"/>
        <v>0</v>
      </c>
      <c r="AB723" s="49">
        <f t="shared" si="82"/>
        <v>0</v>
      </c>
      <c r="AC723" s="60">
        <f t="shared" si="83"/>
        <v>0</v>
      </c>
    </row>
    <row r="724" spans="1:29">
      <c r="A724" s="83" t="str">
        <f t="shared" si="77"/>
        <v/>
      </c>
      <c r="B724" s="83" t="str">
        <f t="shared" si="78"/>
        <v/>
      </c>
      <c r="U724" s="83" t="str">
        <f t="shared" si="79"/>
        <v/>
      </c>
      <c r="V724" s="83" t="str">
        <f t="shared" si="80"/>
        <v/>
      </c>
      <c r="AA724" s="60">
        <f t="shared" si="81"/>
        <v>0</v>
      </c>
      <c r="AB724" s="49">
        <f t="shared" si="82"/>
        <v>0</v>
      </c>
      <c r="AC724" s="60">
        <f t="shared" si="83"/>
        <v>0</v>
      </c>
    </row>
    <row r="725" spans="1:29">
      <c r="A725" s="83" t="str">
        <f t="shared" si="77"/>
        <v/>
      </c>
      <c r="B725" s="83" t="str">
        <f t="shared" si="78"/>
        <v/>
      </c>
      <c r="U725" s="83" t="str">
        <f t="shared" si="79"/>
        <v/>
      </c>
      <c r="V725" s="83" t="str">
        <f t="shared" si="80"/>
        <v/>
      </c>
      <c r="AA725" s="60">
        <f t="shared" si="81"/>
        <v>0</v>
      </c>
      <c r="AB725" s="49">
        <f t="shared" si="82"/>
        <v>0</v>
      </c>
      <c r="AC725" s="60">
        <f t="shared" si="83"/>
        <v>0</v>
      </c>
    </row>
    <row r="726" spans="1:29">
      <c r="A726" s="83" t="str">
        <f t="shared" si="77"/>
        <v/>
      </c>
      <c r="B726" s="83" t="str">
        <f t="shared" si="78"/>
        <v/>
      </c>
      <c r="U726" s="83" t="str">
        <f t="shared" si="79"/>
        <v/>
      </c>
      <c r="V726" s="83" t="str">
        <f t="shared" si="80"/>
        <v/>
      </c>
      <c r="AA726" s="60">
        <f t="shared" si="81"/>
        <v>0</v>
      </c>
      <c r="AB726" s="49">
        <f t="shared" si="82"/>
        <v>0</v>
      </c>
      <c r="AC726" s="60">
        <f t="shared" si="83"/>
        <v>0</v>
      </c>
    </row>
    <row r="727" spans="1:29">
      <c r="A727" s="83" t="str">
        <f t="shared" si="77"/>
        <v/>
      </c>
      <c r="B727" s="83" t="str">
        <f t="shared" si="78"/>
        <v/>
      </c>
      <c r="U727" s="83" t="str">
        <f t="shared" si="79"/>
        <v/>
      </c>
      <c r="V727" s="83" t="str">
        <f t="shared" si="80"/>
        <v/>
      </c>
      <c r="AA727" s="60">
        <f t="shared" si="81"/>
        <v>0</v>
      </c>
      <c r="AB727" s="49">
        <f t="shared" si="82"/>
        <v>0</v>
      </c>
      <c r="AC727" s="60">
        <f t="shared" si="83"/>
        <v>0</v>
      </c>
    </row>
    <row r="728" spans="1:29">
      <c r="A728" s="83" t="str">
        <f t="shared" si="77"/>
        <v/>
      </c>
      <c r="B728" s="83" t="str">
        <f t="shared" si="78"/>
        <v/>
      </c>
      <c r="U728" s="83" t="str">
        <f t="shared" si="79"/>
        <v/>
      </c>
      <c r="V728" s="83" t="str">
        <f t="shared" si="80"/>
        <v/>
      </c>
      <c r="AA728" s="60">
        <f t="shared" si="81"/>
        <v>0</v>
      </c>
      <c r="AB728" s="49">
        <f t="shared" si="82"/>
        <v>0</v>
      </c>
      <c r="AC728" s="60">
        <f t="shared" si="83"/>
        <v>0</v>
      </c>
    </row>
    <row r="729" spans="1:29">
      <c r="A729" s="83" t="str">
        <f t="shared" si="77"/>
        <v/>
      </c>
      <c r="B729" s="83" t="str">
        <f t="shared" si="78"/>
        <v/>
      </c>
      <c r="U729" s="83" t="str">
        <f t="shared" si="79"/>
        <v/>
      </c>
      <c r="V729" s="83" t="str">
        <f t="shared" si="80"/>
        <v/>
      </c>
      <c r="AA729" s="60">
        <f t="shared" si="81"/>
        <v>0</v>
      </c>
      <c r="AB729" s="49">
        <f t="shared" si="82"/>
        <v>0</v>
      </c>
      <c r="AC729" s="60">
        <f t="shared" si="83"/>
        <v>0</v>
      </c>
    </row>
    <row r="730" spans="1:29">
      <c r="A730" s="83" t="str">
        <f t="shared" si="77"/>
        <v/>
      </c>
      <c r="B730" s="83" t="str">
        <f t="shared" si="78"/>
        <v/>
      </c>
      <c r="U730" s="83" t="str">
        <f t="shared" si="79"/>
        <v/>
      </c>
      <c r="V730" s="83" t="str">
        <f t="shared" si="80"/>
        <v/>
      </c>
      <c r="AA730" s="60">
        <f t="shared" si="81"/>
        <v>0</v>
      </c>
      <c r="AB730" s="49">
        <f t="shared" si="82"/>
        <v>0</v>
      </c>
      <c r="AC730" s="60">
        <f t="shared" si="83"/>
        <v>0</v>
      </c>
    </row>
    <row r="731" spans="1:29">
      <c r="A731" s="83" t="str">
        <f t="shared" si="77"/>
        <v/>
      </c>
      <c r="B731" s="83" t="str">
        <f t="shared" si="78"/>
        <v/>
      </c>
      <c r="U731" s="83" t="str">
        <f t="shared" si="79"/>
        <v/>
      </c>
      <c r="V731" s="83" t="str">
        <f t="shared" si="80"/>
        <v/>
      </c>
      <c r="AA731" s="60">
        <f t="shared" si="81"/>
        <v>0</v>
      </c>
      <c r="AB731" s="49">
        <f t="shared" si="82"/>
        <v>0</v>
      </c>
      <c r="AC731" s="60">
        <f t="shared" si="83"/>
        <v>0</v>
      </c>
    </row>
    <row r="732" spans="1:29">
      <c r="A732" s="83" t="str">
        <f t="shared" si="77"/>
        <v/>
      </c>
      <c r="B732" s="83" t="str">
        <f t="shared" si="78"/>
        <v/>
      </c>
      <c r="U732" s="83" t="str">
        <f t="shared" si="79"/>
        <v/>
      </c>
      <c r="V732" s="83" t="str">
        <f t="shared" si="80"/>
        <v/>
      </c>
      <c r="AA732" s="60">
        <f t="shared" si="81"/>
        <v>0</v>
      </c>
      <c r="AB732" s="49">
        <f t="shared" si="82"/>
        <v>0</v>
      </c>
      <c r="AC732" s="60">
        <f t="shared" si="83"/>
        <v>0</v>
      </c>
    </row>
    <row r="733" spans="1:29">
      <c r="A733" s="83" t="str">
        <f t="shared" si="77"/>
        <v/>
      </c>
      <c r="B733" s="83" t="str">
        <f t="shared" si="78"/>
        <v/>
      </c>
      <c r="U733" s="83" t="str">
        <f t="shared" si="79"/>
        <v/>
      </c>
      <c r="V733" s="83" t="str">
        <f t="shared" si="80"/>
        <v/>
      </c>
      <c r="AA733" s="60">
        <f t="shared" si="81"/>
        <v>0</v>
      </c>
      <c r="AB733" s="49">
        <f t="shared" si="82"/>
        <v>0</v>
      </c>
      <c r="AC733" s="60">
        <f t="shared" si="83"/>
        <v>0</v>
      </c>
    </row>
    <row r="734" spans="1:29">
      <c r="A734" s="83" t="str">
        <f t="shared" si="77"/>
        <v/>
      </c>
      <c r="B734" s="83" t="str">
        <f t="shared" si="78"/>
        <v/>
      </c>
      <c r="U734" s="83" t="str">
        <f t="shared" si="79"/>
        <v/>
      </c>
      <c r="V734" s="83" t="str">
        <f t="shared" si="80"/>
        <v/>
      </c>
      <c r="AA734" s="60">
        <f t="shared" si="81"/>
        <v>0</v>
      </c>
      <c r="AB734" s="49">
        <f t="shared" si="82"/>
        <v>0</v>
      </c>
      <c r="AC734" s="60">
        <f t="shared" si="83"/>
        <v>0</v>
      </c>
    </row>
    <row r="735" spans="1:29">
      <c r="A735" s="83" t="str">
        <f t="shared" si="77"/>
        <v/>
      </c>
      <c r="B735" s="83" t="str">
        <f t="shared" si="78"/>
        <v/>
      </c>
      <c r="U735" s="83" t="str">
        <f t="shared" si="79"/>
        <v/>
      </c>
      <c r="V735" s="83" t="str">
        <f t="shared" si="80"/>
        <v/>
      </c>
      <c r="AA735" s="60">
        <f t="shared" si="81"/>
        <v>0</v>
      </c>
      <c r="AB735" s="49">
        <f t="shared" si="82"/>
        <v>0</v>
      </c>
      <c r="AC735" s="60">
        <f t="shared" si="83"/>
        <v>0</v>
      </c>
    </row>
    <row r="736" spans="1:29">
      <c r="A736" s="83" t="str">
        <f t="shared" si="77"/>
        <v/>
      </c>
      <c r="B736" s="83" t="str">
        <f t="shared" si="78"/>
        <v/>
      </c>
      <c r="U736" s="83" t="str">
        <f t="shared" si="79"/>
        <v/>
      </c>
      <c r="V736" s="83" t="str">
        <f t="shared" si="80"/>
        <v/>
      </c>
      <c r="AA736" s="60">
        <f t="shared" si="81"/>
        <v>0</v>
      </c>
      <c r="AB736" s="49">
        <f t="shared" si="82"/>
        <v>0</v>
      </c>
      <c r="AC736" s="60">
        <f t="shared" si="83"/>
        <v>0</v>
      </c>
    </row>
    <row r="737" spans="1:29">
      <c r="A737" s="83" t="str">
        <f t="shared" si="77"/>
        <v/>
      </c>
      <c r="B737" s="83" t="str">
        <f t="shared" si="78"/>
        <v/>
      </c>
      <c r="U737" s="83" t="str">
        <f t="shared" si="79"/>
        <v/>
      </c>
      <c r="V737" s="83" t="str">
        <f t="shared" si="80"/>
        <v/>
      </c>
      <c r="AA737" s="60">
        <f t="shared" si="81"/>
        <v>0</v>
      </c>
      <c r="AB737" s="49">
        <f t="shared" si="82"/>
        <v>0</v>
      </c>
      <c r="AC737" s="60">
        <f t="shared" si="83"/>
        <v>0</v>
      </c>
    </row>
    <row r="738" spans="1:29">
      <c r="A738" s="83" t="str">
        <f t="shared" si="77"/>
        <v/>
      </c>
      <c r="B738" s="83" t="str">
        <f t="shared" si="78"/>
        <v/>
      </c>
      <c r="U738" s="83" t="str">
        <f t="shared" si="79"/>
        <v/>
      </c>
      <c r="V738" s="83" t="str">
        <f t="shared" si="80"/>
        <v/>
      </c>
      <c r="AA738" s="60">
        <f t="shared" si="81"/>
        <v>0</v>
      </c>
      <c r="AB738" s="49">
        <f t="shared" si="82"/>
        <v>0</v>
      </c>
      <c r="AC738" s="60">
        <f t="shared" si="83"/>
        <v>0</v>
      </c>
    </row>
    <row r="739" spans="1:29">
      <c r="A739" s="83" t="str">
        <f t="shared" si="77"/>
        <v/>
      </c>
      <c r="B739" s="83" t="str">
        <f t="shared" si="78"/>
        <v/>
      </c>
      <c r="U739" s="83" t="str">
        <f t="shared" si="79"/>
        <v/>
      </c>
      <c r="V739" s="83" t="str">
        <f t="shared" si="80"/>
        <v/>
      </c>
      <c r="AA739" s="60">
        <f t="shared" si="81"/>
        <v>0</v>
      </c>
      <c r="AB739" s="49">
        <f t="shared" si="82"/>
        <v>0</v>
      </c>
      <c r="AC739" s="60">
        <f t="shared" si="83"/>
        <v>0</v>
      </c>
    </row>
    <row r="740" spans="1:29">
      <c r="A740" s="83" t="str">
        <f t="shared" si="77"/>
        <v/>
      </c>
      <c r="B740" s="83" t="str">
        <f t="shared" si="78"/>
        <v/>
      </c>
      <c r="U740" s="83" t="str">
        <f t="shared" si="79"/>
        <v/>
      </c>
      <c r="V740" s="83" t="str">
        <f t="shared" si="80"/>
        <v/>
      </c>
      <c r="AA740" s="60">
        <f t="shared" si="81"/>
        <v>0</v>
      </c>
      <c r="AB740" s="49">
        <f t="shared" si="82"/>
        <v>0</v>
      </c>
      <c r="AC740" s="60">
        <f t="shared" si="83"/>
        <v>0</v>
      </c>
    </row>
    <row r="741" spans="1:29">
      <c r="A741" s="83" t="str">
        <f t="shared" si="77"/>
        <v/>
      </c>
      <c r="B741" s="83" t="str">
        <f t="shared" si="78"/>
        <v/>
      </c>
      <c r="U741" s="83" t="str">
        <f t="shared" si="79"/>
        <v/>
      </c>
      <c r="V741" s="83" t="str">
        <f t="shared" si="80"/>
        <v/>
      </c>
      <c r="AA741" s="60">
        <f t="shared" si="81"/>
        <v>0</v>
      </c>
      <c r="AB741" s="49">
        <f t="shared" si="82"/>
        <v>0</v>
      </c>
      <c r="AC741" s="60">
        <f t="shared" si="83"/>
        <v>0</v>
      </c>
    </row>
    <row r="742" spans="1:29">
      <c r="A742" s="83" t="str">
        <f t="shared" si="77"/>
        <v/>
      </c>
      <c r="B742" s="83" t="str">
        <f t="shared" si="78"/>
        <v/>
      </c>
      <c r="U742" s="83" t="str">
        <f t="shared" si="79"/>
        <v/>
      </c>
      <c r="V742" s="83" t="str">
        <f t="shared" si="80"/>
        <v/>
      </c>
      <c r="AA742" s="60">
        <f t="shared" si="81"/>
        <v>0</v>
      </c>
      <c r="AB742" s="49">
        <f t="shared" si="82"/>
        <v>0</v>
      </c>
      <c r="AC742" s="60">
        <f t="shared" si="83"/>
        <v>0</v>
      </c>
    </row>
    <row r="743" spans="1:29">
      <c r="A743" s="83" t="str">
        <f t="shared" si="77"/>
        <v/>
      </c>
      <c r="B743" s="83" t="str">
        <f t="shared" si="78"/>
        <v/>
      </c>
      <c r="U743" s="83" t="str">
        <f t="shared" si="79"/>
        <v/>
      </c>
      <c r="V743" s="83" t="str">
        <f t="shared" si="80"/>
        <v/>
      </c>
      <c r="AA743" s="60">
        <f t="shared" si="81"/>
        <v>0</v>
      </c>
      <c r="AB743" s="49">
        <f t="shared" si="82"/>
        <v>0</v>
      </c>
      <c r="AC743" s="60">
        <f t="shared" si="83"/>
        <v>0</v>
      </c>
    </row>
    <row r="744" spans="1:29">
      <c r="A744" s="83" t="str">
        <f t="shared" si="77"/>
        <v/>
      </c>
      <c r="B744" s="83" t="str">
        <f t="shared" si="78"/>
        <v/>
      </c>
      <c r="U744" s="83" t="str">
        <f t="shared" si="79"/>
        <v/>
      </c>
      <c r="V744" s="83" t="str">
        <f t="shared" si="80"/>
        <v/>
      </c>
      <c r="AA744" s="60">
        <f t="shared" si="81"/>
        <v>0</v>
      </c>
      <c r="AB744" s="49">
        <f t="shared" si="82"/>
        <v>0</v>
      </c>
      <c r="AC744" s="60">
        <f t="shared" si="83"/>
        <v>0</v>
      </c>
    </row>
    <row r="745" spans="1:29">
      <c r="A745" s="83" t="str">
        <f t="shared" si="77"/>
        <v/>
      </c>
      <c r="B745" s="83" t="str">
        <f t="shared" si="78"/>
        <v/>
      </c>
      <c r="U745" s="83" t="str">
        <f t="shared" si="79"/>
        <v/>
      </c>
      <c r="V745" s="83" t="str">
        <f t="shared" si="80"/>
        <v/>
      </c>
      <c r="AA745" s="60">
        <f t="shared" si="81"/>
        <v>0</v>
      </c>
      <c r="AB745" s="49">
        <f t="shared" si="82"/>
        <v>0</v>
      </c>
      <c r="AC745" s="60">
        <f t="shared" si="83"/>
        <v>0</v>
      </c>
    </row>
    <row r="746" spans="1:29">
      <c r="A746" s="83" t="str">
        <f t="shared" si="77"/>
        <v/>
      </c>
      <c r="B746" s="83" t="str">
        <f t="shared" si="78"/>
        <v/>
      </c>
      <c r="U746" s="83" t="str">
        <f t="shared" si="79"/>
        <v/>
      </c>
      <c r="V746" s="83" t="str">
        <f t="shared" si="80"/>
        <v/>
      </c>
      <c r="AA746" s="60">
        <f t="shared" si="81"/>
        <v>0</v>
      </c>
      <c r="AB746" s="49">
        <f t="shared" si="82"/>
        <v>0</v>
      </c>
      <c r="AC746" s="60">
        <f t="shared" si="83"/>
        <v>0</v>
      </c>
    </row>
    <row r="747" spans="1:29">
      <c r="A747" s="83" t="str">
        <f t="shared" si="77"/>
        <v/>
      </c>
      <c r="B747" s="83" t="str">
        <f t="shared" si="78"/>
        <v/>
      </c>
      <c r="U747" s="83" t="str">
        <f t="shared" si="79"/>
        <v/>
      </c>
      <c r="V747" s="83" t="str">
        <f t="shared" si="80"/>
        <v/>
      </c>
      <c r="AA747" s="60">
        <f t="shared" si="81"/>
        <v>0</v>
      </c>
      <c r="AB747" s="49">
        <f t="shared" si="82"/>
        <v>0</v>
      </c>
      <c r="AC747" s="60">
        <f t="shared" si="83"/>
        <v>0</v>
      </c>
    </row>
    <row r="748" spans="1:29">
      <c r="A748" s="83" t="str">
        <f t="shared" si="77"/>
        <v/>
      </c>
      <c r="B748" s="83" t="str">
        <f t="shared" si="78"/>
        <v/>
      </c>
      <c r="U748" s="83" t="str">
        <f t="shared" si="79"/>
        <v/>
      </c>
      <c r="V748" s="83" t="str">
        <f t="shared" si="80"/>
        <v/>
      </c>
      <c r="AA748" s="60">
        <f t="shared" si="81"/>
        <v>0</v>
      </c>
      <c r="AB748" s="49">
        <f t="shared" si="82"/>
        <v>0</v>
      </c>
      <c r="AC748" s="60">
        <f t="shared" si="83"/>
        <v>0</v>
      </c>
    </row>
    <row r="749" spans="1:29">
      <c r="A749" s="83" t="str">
        <f t="shared" si="77"/>
        <v/>
      </c>
      <c r="B749" s="83" t="str">
        <f t="shared" si="78"/>
        <v/>
      </c>
      <c r="U749" s="83" t="str">
        <f t="shared" si="79"/>
        <v/>
      </c>
      <c r="V749" s="83" t="str">
        <f t="shared" si="80"/>
        <v/>
      </c>
      <c r="AA749" s="60">
        <f t="shared" si="81"/>
        <v>0</v>
      </c>
      <c r="AB749" s="49">
        <f t="shared" si="82"/>
        <v>0</v>
      </c>
      <c r="AC749" s="60">
        <f t="shared" si="83"/>
        <v>0</v>
      </c>
    </row>
    <row r="750" spans="1:29">
      <c r="A750" s="83" t="str">
        <f t="shared" si="77"/>
        <v/>
      </c>
      <c r="B750" s="83" t="str">
        <f t="shared" si="78"/>
        <v/>
      </c>
      <c r="U750" s="83" t="str">
        <f t="shared" si="79"/>
        <v/>
      </c>
      <c r="V750" s="83" t="str">
        <f t="shared" si="80"/>
        <v/>
      </c>
      <c r="AA750" s="60">
        <f t="shared" si="81"/>
        <v>0</v>
      </c>
      <c r="AB750" s="49">
        <f t="shared" si="82"/>
        <v>0</v>
      </c>
      <c r="AC750" s="60">
        <f t="shared" si="83"/>
        <v>0</v>
      </c>
    </row>
    <row r="751" spans="1:29">
      <c r="A751" s="83" t="str">
        <f t="shared" si="77"/>
        <v/>
      </c>
      <c r="B751" s="83" t="str">
        <f t="shared" si="78"/>
        <v/>
      </c>
      <c r="U751" s="83" t="str">
        <f t="shared" si="79"/>
        <v/>
      </c>
      <c r="V751" s="83" t="str">
        <f t="shared" si="80"/>
        <v/>
      </c>
      <c r="AA751" s="60">
        <f t="shared" si="81"/>
        <v>0</v>
      </c>
      <c r="AB751" s="49">
        <f t="shared" si="82"/>
        <v>0</v>
      </c>
      <c r="AC751" s="60">
        <f t="shared" si="83"/>
        <v>0</v>
      </c>
    </row>
    <row r="752" spans="1:29">
      <c r="A752" s="83" t="str">
        <f t="shared" si="77"/>
        <v/>
      </c>
      <c r="B752" s="83" t="str">
        <f t="shared" si="78"/>
        <v/>
      </c>
      <c r="U752" s="83" t="str">
        <f t="shared" si="79"/>
        <v/>
      </c>
      <c r="V752" s="83" t="str">
        <f t="shared" si="80"/>
        <v/>
      </c>
      <c r="AA752" s="60">
        <f t="shared" si="81"/>
        <v>0</v>
      </c>
      <c r="AB752" s="49">
        <f t="shared" si="82"/>
        <v>0</v>
      </c>
      <c r="AC752" s="60">
        <f t="shared" si="83"/>
        <v>0</v>
      </c>
    </row>
    <row r="753" spans="1:29">
      <c r="A753" s="83" t="str">
        <f t="shared" si="77"/>
        <v/>
      </c>
      <c r="B753" s="83" t="str">
        <f t="shared" si="78"/>
        <v/>
      </c>
      <c r="U753" s="83" t="str">
        <f t="shared" si="79"/>
        <v/>
      </c>
      <c r="V753" s="83" t="str">
        <f t="shared" si="80"/>
        <v/>
      </c>
      <c r="AA753" s="60">
        <f t="shared" si="81"/>
        <v>0</v>
      </c>
      <c r="AB753" s="49">
        <f t="shared" si="82"/>
        <v>0</v>
      </c>
      <c r="AC753" s="60">
        <f t="shared" si="83"/>
        <v>0</v>
      </c>
    </row>
    <row r="754" spans="1:29">
      <c r="A754" s="83" t="str">
        <f t="shared" si="77"/>
        <v/>
      </c>
      <c r="B754" s="83" t="str">
        <f t="shared" si="78"/>
        <v/>
      </c>
      <c r="U754" s="83" t="str">
        <f t="shared" si="79"/>
        <v/>
      </c>
      <c r="V754" s="83" t="str">
        <f t="shared" si="80"/>
        <v/>
      </c>
      <c r="AA754" s="60">
        <f t="shared" si="81"/>
        <v>0</v>
      </c>
      <c r="AB754" s="49">
        <f t="shared" si="82"/>
        <v>0</v>
      </c>
      <c r="AC754" s="60">
        <f t="shared" si="83"/>
        <v>0</v>
      </c>
    </row>
    <row r="755" spans="1:29">
      <c r="A755" s="83" t="str">
        <f t="shared" si="77"/>
        <v/>
      </c>
      <c r="B755" s="83" t="str">
        <f t="shared" si="78"/>
        <v/>
      </c>
      <c r="U755" s="83" t="str">
        <f t="shared" si="79"/>
        <v/>
      </c>
      <c r="V755" s="83" t="str">
        <f t="shared" si="80"/>
        <v/>
      </c>
      <c r="AA755" s="60">
        <f t="shared" si="81"/>
        <v>0</v>
      </c>
      <c r="AB755" s="49">
        <f t="shared" si="82"/>
        <v>0</v>
      </c>
      <c r="AC755" s="60">
        <f t="shared" si="83"/>
        <v>0</v>
      </c>
    </row>
    <row r="756" spans="1:29">
      <c r="A756" s="83" t="str">
        <f t="shared" si="77"/>
        <v/>
      </c>
      <c r="B756" s="83" t="str">
        <f t="shared" si="78"/>
        <v/>
      </c>
      <c r="U756" s="83" t="str">
        <f t="shared" si="79"/>
        <v/>
      </c>
      <c r="V756" s="83" t="str">
        <f t="shared" si="80"/>
        <v/>
      </c>
      <c r="AA756" s="60">
        <f t="shared" si="81"/>
        <v>0</v>
      </c>
      <c r="AB756" s="49">
        <f t="shared" si="82"/>
        <v>0</v>
      </c>
      <c r="AC756" s="60">
        <f t="shared" si="83"/>
        <v>0</v>
      </c>
    </row>
    <row r="757" spans="1:29">
      <c r="A757" s="83" t="str">
        <f t="shared" si="77"/>
        <v/>
      </c>
      <c r="B757" s="83" t="str">
        <f t="shared" si="78"/>
        <v/>
      </c>
      <c r="U757" s="83" t="str">
        <f t="shared" si="79"/>
        <v/>
      </c>
      <c r="V757" s="83" t="str">
        <f t="shared" si="80"/>
        <v/>
      </c>
      <c r="AA757" s="60">
        <f t="shared" si="81"/>
        <v>0</v>
      </c>
      <c r="AB757" s="49">
        <f t="shared" si="82"/>
        <v>0</v>
      </c>
      <c r="AC757" s="60">
        <f t="shared" si="83"/>
        <v>0</v>
      </c>
    </row>
    <row r="758" spans="1:29">
      <c r="A758" s="83" t="str">
        <f t="shared" si="77"/>
        <v/>
      </c>
      <c r="B758" s="83" t="str">
        <f t="shared" si="78"/>
        <v/>
      </c>
      <c r="U758" s="83" t="str">
        <f t="shared" si="79"/>
        <v/>
      </c>
      <c r="V758" s="83" t="str">
        <f t="shared" si="80"/>
        <v/>
      </c>
      <c r="AA758" s="60">
        <f t="shared" si="81"/>
        <v>0</v>
      </c>
      <c r="AB758" s="49">
        <f t="shared" si="82"/>
        <v>0</v>
      </c>
      <c r="AC758" s="60">
        <f t="shared" si="83"/>
        <v>0</v>
      </c>
    </row>
    <row r="759" spans="1:29">
      <c r="A759" s="83" t="str">
        <f t="shared" si="77"/>
        <v/>
      </c>
      <c r="B759" s="83" t="str">
        <f t="shared" si="78"/>
        <v/>
      </c>
      <c r="U759" s="83" t="str">
        <f t="shared" si="79"/>
        <v/>
      </c>
      <c r="V759" s="83" t="str">
        <f t="shared" si="80"/>
        <v/>
      </c>
      <c r="AA759" s="60">
        <f t="shared" si="81"/>
        <v>0</v>
      </c>
      <c r="AB759" s="49">
        <f t="shared" si="82"/>
        <v>0</v>
      </c>
      <c r="AC759" s="60">
        <f t="shared" si="83"/>
        <v>0</v>
      </c>
    </row>
    <row r="760" spans="1:29">
      <c r="A760" s="83" t="str">
        <f t="shared" si="77"/>
        <v/>
      </c>
      <c r="B760" s="83" t="str">
        <f t="shared" si="78"/>
        <v/>
      </c>
      <c r="U760" s="83" t="str">
        <f t="shared" si="79"/>
        <v/>
      </c>
      <c r="V760" s="83" t="str">
        <f t="shared" si="80"/>
        <v/>
      </c>
      <c r="AA760" s="60">
        <f t="shared" si="81"/>
        <v>0</v>
      </c>
      <c r="AB760" s="49">
        <f t="shared" si="82"/>
        <v>0</v>
      </c>
      <c r="AC760" s="60">
        <f t="shared" si="83"/>
        <v>0</v>
      </c>
    </row>
    <row r="761" spans="1:29">
      <c r="A761" s="83" t="str">
        <f t="shared" si="77"/>
        <v/>
      </c>
      <c r="B761" s="83" t="str">
        <f t="shared" si="78"/>
        <v/>
      </c>
      <c r="U761" s="83" t="str">
        <f t="shared" si="79"/>
        <v/>
      </c>
      <c r="V761" s="83" t="str">
        <f t="shared" si="80"/>
        <v/>
      </c>
      <c r="AA761" s="60">
        <f t="shared" si="81"/>
        <v>0</v>
      </c>
      <c r="AB761" s="49">
        <f t="shared" si="82"/>
        <v>0</v>
      </c>
      <c r="AC761" s="60">
        <f t="shared" si="83"/>
        <v>0</v>
      </c>
    </row>
    <row r="762" spans="1:29">
      <c r="A762" s="83" t="str">
        <f t="shared" si="77"/>
        <v/>
      </c>
      <c r="B762" s="83" t="str">
        <f t="shared" si="78"/>
        <v/>
      </c>
      <c r="U762" s="83" t="str">
        <f t="shared" si="79"/>
        <v/>
      </c>
      <c r="V762" s="83" t="str">
        <f t="shared" si="80"/>
        <v/>
      </c>
      <c r="AA762" s="60">
        <f t="shared" si="81"/>
        <v>0</v>
      </c>
      <c r="AB762" s="49">
        <f t="shared" si="82"/>
        <v>0</v>
      </c>
      <c r="AC762" s="60">
        <f t="shared" si="83"/>
        <v>0</v>
      </c>
    </row>
    <row r="763" spans="1:29">
      <c r="A763" s="83" t="str">
        <f t="shared" si="77"/>
        <v/>
      </c>
      <c r="B763" s="83" t="str">
        <f t="shared" si="78"/>
        <v/>
      </c>
      <c r="U763" s="83" t="str">
        <f t="shared" si="79"/>
        <v/>
      </c>
      <c r="V763" s="83" t="str">
        <f t="shared" si="80"/>
        <v/>
      </c>
      <c r="AA763" s="60">
        <f t="shared" si="81"/>
        <v>0</v>
      </c>
      <c r="AB763" s="49">
        <f t="shared" si="82"/>
        <v>0</v>
      </c>
      <c r="AC763" s="60">
        <f t="shared" si="83"/>
        <v>0</v>
      </c>
    </row>
    <row r="764" spans="1:29">
      <c r="A764" s="83" t="str">
        <f t="shared" si="77"/>
        <v/>
      </c>
      <c r="B764" s="83" t="str">
        <f t="shared" si="78"/>
        <v/>
      </c>
      <c r="U764" s="83" t="str">
        <f t="shared" si="79"/>
        <v/>
      </c>
      <c r="V764" s="83" t="str">
        <f t="shared" si="80"/>
        <v/>
      </c>
      <c r="AA764" s="60">
        <f t="shared" si="81"/>
        <v>0</v>
      </c>
      <c r="AB764" s="49">
        <f t="shared" si="82"/>
        <v>0</v>
      </c>
      <c r="AC764" s="60">
        <f t="shared" si="83"/>
        <v>0</v>
      </c>
    </row>
    <row r="765" spans="1:29">
      <c r="A765" s="83" t="str">
        <f t="shared" si="77"/>
        <v/>
      </c>
      <c r="B765" s="83" t="str">
        <f t="shared" si="78"/>
        <v/>
      </c>
      <c r="U765" s="83" t="str">
        <f t="shared" si="79"/>
        <v/>
      </c>
      <c r="V765" s="83" t="str">
        <f t="shared" si="80"/>
        <v/>
      </c>
      <c r="AA765" s="60">
        <f t="shared" si="81"/>
        <v>0</v>
      </c>
      <c r="AB765" s="49">
        <f t="shared" si="82"/>
        <v>0</v>
      </c>
      <c r="AC765" s="60">
        <f t="shared" si="83"/>
        <v>0</v>
      </c>
    </row>
    <row r="766" spans="1:29">
      <c r="A766" s="83" t="str">
        <f t="shared" si="77"/>
        <v/>
      </c>
      <c r="B766" s="83" t="str">
        <f t="shared" si="78"/>
        <v/>
      </c>
      <c r="U766" s="83" t="str">
        <f t="shared" si="79"/>
        <v/>
      </c>
      <c r="V766" s="83" t="str">
        <f t="shared" si="80"/>
        <v/>
      </c>
      <c r="AA766" s="60">
        <f t="shared" si="81"/>
        <v>0</v>
      </c>
      <c r="AB766" s="49">
        <f t="shared" si="82"/>
        <v>0</v>
      </c>
      <c r="AC766" s="60">
        <f t="shared" si="83"/>
        <v>0</v>
      </c>
    </row>
    <row r="767" spans="1:29">
      <c r="A767" s="83" t="str">
        <f t="shared" si="77"/>
        <v/>
      </c>
      <c r="B767" s="83" t="str">
        <f t="shared" si="78"/>
        <v/>
      </c>
      <c r="U767" s="83" t="str">
        <f t="shared" si="79"/>
        <v/>
      </c>
      <c r="V767" s="83" t="str">
        <f t="shared" si="80"/>
        <v/>
      </c>
      <c r="AA767" s="60">
        <f t="shared" si="81"/>
        <v>0</v>
      </c>
      <c r="AB767" s="49">
        <f t="shared" si="82"/>
        <v>0</v>
      </c>
      <c r="AC767" s="60">
        <f t="shared" si="83"/>
        <v>0</v>
      </c>
    </row>
    <row r="768" spans="1:29">
      <c r="A768" s="83" t="str">
        <f t="shared" si="77"/>
        <v/>
      </c>
      <c r="B768" s="83" t="str">
        <f t="shared" si="78"/>
        <v/>
      </c>
      <c r="U768" s="83" t="str">
        <f t="shared" si="79"/>
        <v/>
      </c>
      <c r="V768" s="83" t="str">
        <f t="shared" si="80"/>
        <v/>
      </c>
      <c r="AA768" s="60">
        <f t="shared" si="81"/>
        <v>0</v>
      </c>
      <c r="AB768" s="49">
        <f t="shared" si="82"/>
        <v>0</v>
      </c>
      <c r="AC768" s="60">
        <f t="shared" si="83"/>
        <v>0</v>
      </c>
    </row>
    <row r="769" spans="1:29">
      <c r="A769" s="83" t="str">
        <f t="shared" si="77"/>
        <v/>
      </c>
      <c r="B769" s="83" t="str">
        <f t="shared" si="78"/>
        <v/>
      </c>
      <c r="U769" s="83" t="str">
        <f t="shared" si="79"/>
        <v/>
      </c>
      <c r="V769" s="83" t="str">
        <f t="shared" si="80"/>
        <v/>
      </c>
      <c r="AA769" s="60">
        <f t="shared" si="81"/>
        <v>0</v>
      </c>
      <c r="AB769" s="49">
        <f t="shared" si="82"/>
        <v>0</v>
      </c>
      <c r="AC769" s="60">
        <f t="shared" si="83"/>
        <v>0</v>
      </c>
    </row>
    <row r="770" spans="1:29">
      <c r="A770" s="83" t="str">
        <f t="shared" si="77"/>
        <v/>
      </c>
      <c r="B770" s="83" t="str">
        <f t="shared" si="78"/>
        <v/>
      </c>
      <c r="U770" s="83" t="str">
        <f t="shared" si="79"/>
        <v/>
      </c>
      <c r="V770" s="83" t="str">
        <f t="shared" si="80"/>
        <v/>
      </c>
      <c r="AA770" s="60">
        <f t="shared" si="81"/>
        <v>0</v>
      </c>
      <c r="AB770" s="49">
        <f t="shared" si="82"/>
        <v>0</v>
      </c>
      <c r="AC770" s="60">
        <f t="shared" si="83"/>
        <v>0</v>
      </c>
    </row>
    <row r="771" spans="1:29">
      <c r="A771" s="83" t="str">
        <f t="shared" ref="A771:A834" si="84">IF(G771&amp;Q771&lt;&gt;"",U771&amp;Q771,"")</f>
        <v/>
      </c>
      <c r="B771" s="83" t="str">
        <f t="shared" ref="B771:B834" si="85">IF(C771&lt;&gt;"",LEFT(C771,9),"")</f>
        <v/>
      </c>
      <c r="U771" s="83" t="str">
        <f t="shared" ref="U771:U834" si="86">IF(G771&lt;&gt;"",IF(StyleSpaceSplit,IFERROR(IF(FIND(" ",G771)&gt;=1,MID(G771,1,FIND(" ",G771)-1),G771),G771),G771),"")</f>
        <v/>
      </c>
      <c r="V771" s="83" t="str">
        <f t="shared" ref="V771:V834" si="87">IF(A771&lt;&gt;"",IFERROR(IF(FIND(" ",G771)&gt;=1,MID(G771,FIND(" ",G771)+1,LEN(G771)),""),G771),"")</f>
        <v/>
      </c>
      <c r="AA771" s="60">
        <f t="shared" ref="AA771:AA834" si="88">IFERROR(VALUE(MID($C771,1,2)),0)</f>
        <v>0</v>
      </c>
      <c r="AB771" s="49">
        <f t="shared" ref="AB771:AB834" si="89">IFERROR(VALUE(MID($C771,4,3)),0)</f>
        <v>0</v>
      </c>
      <c r="AC771" s="60">
        <f t="shared" ref="AC771:AC834" si="90">VALUE(RIGHT("00"&amp;AA771,2)&amp;RIGHT("000"&amp;AB771,3))</f>
        <v>0</v>
      </c>
    </row>
    <row r="772" spans="1:29">
      <c r="A772" s="83" t="str">
        <f t="shared" si="84"/>
        <v/>
      </c>
      <c r="B772" s="83" t="str">
        <f t="shared" si="85"/>
        <v/>
      </c>
      <c r="U772" s="83" t="str">
        <f t="shared" si="86"/>
        <v/>
      </c>
      <c r="V772" s="83" t="str">
        <f t="shared" si="87"/>
        <v/>
      </c>
      <c r="AA772" s="60">
        <f t="shared" si="88"/>
        <v>0</v>
      </c>
      <c r="AB772" s="49">
        <f t="shared" si="89"/>
        <v>0</v>
      </c>
      <c r="AC772" s="60">
        <f t="shared" si="90"/>
        <v>0</v>
      </c>
    </row>
    <row r="773" spans="1:29">
      <c r="A773" s="83" t="str">
        <f t="shared" si="84"/>
        <v/>
      </c>
      <c r="B773" s="83" t="str">
        <f t="shared" si="85"/>
        <v/>
      </c>
      <c r="U773" s="83" t="str">
        <f t="shared" si="86"/>
        <v/>
      </c>
      <c r="V773" s="83" t="str">
        <f t="shared" si="87"/>
        <v/>
      </c>
      <c r="AA773" s="60">
        <f t="shared" si="88"/>
        <v>0</v>
      </c>
      <c r="AB773" s="49">
        <f t="shared" si="89"/>
        <v>0</v>
      </c>
      <c r="AC773" s="60">
        <f t="shared" si="90"/>
        <v>0</v>
      </c>
    </row>
    <row r="774" spans="1:29">
      <c r="A774" s="83" t="str">
        <f t="shared" si="84"/>
        <v/>
      </c>
      <c r="B774" s="83" t="str">
        <f t="shared" si="85"/>
        <v/>
      </c>
      <c r="U774" s="83" t="str">
        <f t="shared" si="86"/>
        <v/>
      </c>
      <c r="V774" s="83" t="str">
        <f t="shared" si="87"/>
        <v/>
      </c>
      <c r="AA774" s="60">
        <f t="shared" si="88"/>
        <v>0</v>
      </c>
      <c r="AB774" s="49">
        <f t="shared" si="89"/>
        <v>0</v>
      </c>
      <c r="AC774" s="60">
        <f t="shared" si="90"/>
        <v>0</v>
      </c>
    </row>
    <row r="775" spans="1:29">
      <c r="A775" s="83" t="str">
        <f t="shared" si="84"/>
        <v/>
      </c>
      <c r="B775" s="83" t="str">
        <f t="shared" si="85"/>
        <v/>
      </c>
      <c r="U775" s="83" t="str">
        <f t="shared" si="86"/>
        <v/>
      </c>
      <c r="V775" s="83" t="str">
        <f t="shared" si="87"/>
        <v/>
      </c>
      <c r="AA775" s="60">
        <f t="shared" si="88"/>
        <v>0</v>
      </c>
      <c r="AB775" s="49">
        <f t="shared" si="89"/>
        <v>0</v>
      </c>
      <c r="AC775" s="60">
        <f t="shared" si="90"/>
        <v>0</v>
      </c>
    </row>
    <row r="776" spans="1:29">
      <c r="A776" s="83" t="str">
        <f t="shared" si="84"/>
        <v/>
      </c>
      <c r="B776" s="83" t="str">
        <f t="shared" si="85"/>
        <v/>
      </c>
      <c r="U776" s="83" t="str">
        <f t="shared" si="86"/>
        <v/>
      </c>
      <c r="V776" s="83" t="str">
        <f t="shared" si="87"/>
        <v/>
      </c>
      <c r="AA776" s="60">
        <f t="shared" si="88"/>
        <v>0</v>
      </c>
      <c r="AB776" s="49">
        <f t="shared" si="89"/>
        <v>0</v>
      </c>
      <c r="AC776" s="60">
        <f t="shared" si="90"/>
        <v>0</v>
      </c>
    </row>
    <row r="777" spans="1:29">
      <c r="A777" s="83" t="str">
        <f t="shared" si="84"/>
        <v/>
      </c>
      <c r="B777" s="83" t="str">
        <f t="shared" si="85"/>
        <v/>
      </c>
      <c r="U777" s="83" t="str">
        <f t="shared" si="86"/>
        <v/>
      </c>
      <c r="V777" s="83" t="str">
        <f t="shared" si="87"/>
        <v/>
      </c>
      <c r="AA777" s="60">
        <f t="shared" si="88"/>
        <v>0</v>
      </c>
      <c r="AB777" s="49">
        <f t="shared" si="89"/>
        <v>0</v>
      </c>
      <c r="AC777" s="60">
        <f t="shared" si="90"/>
        <v>0</v>
      </c>
    </row>
    <row r="778" spans="1:29">
      <c r="A778" s="83" t="str">
        <f t="shared" si="84"/>
        <v/>
      </c>
      <c r="B778" s="83" t="str">
        <f t="shared" si="85"/>
        <v/>
      </c>
      <c r="U778" s="83" t="str">
        <f t="shared" si="86"/>
        <v/>
      </c>
      <c r="V778" s="83" t="str">
        <f t="shared" si="87"/>
        <v/>
      </c>
      <c r="AA778" s="60">
        <f t="shared" si="88"/>
        <v>0</v>
      </c>
      <c r="AB778" s="49">
        <f t="shared" si="89"/>
        <v>0</v>
      </c>
      <c r="AC778" s="60">
        <f t="shared" si="90"/>
        <v>0</v>
      </c>
    </row>
    <row r="779" spans="1:29">
      <c r="A779" s="83" t="str">
        <f t="shared" si="84"/>
        <v/>
      </c>
      <c r="B779" s="83" t="str">
        <f t="shared" si="85"/>
        <v/>
      </c>
      <c r="U779" s="83" t="str">
        <f t="shared" si="86"/>
        <v/>
      </c>
      <c r="V779" s="83" t="str">
        <f t="shared" si="87"/>
        <v/>
      </c>
      <c r="AA779" s="60">
        <f t="shared" si="88"/>
        <v>0</v>
      </c>
      <c r="AB779" s="49">
        <f t="shared" si="89"/>
        <v>0</v>
      </c>
      <c r="AC779" s="60">
        <f t="shared" si="90"/>
        <v>0</v>
      </c>
    </row>
    <row r="780" spans="1:29">
      <c r="A780" s="83" t="str">
        <f t="shared" si="84"/>
        <v/>
      </c>
      <c r="B780" s="83" t="str">
        <f t="shared" si="85"/>
        <v/>
      </c>
      <c r="U780" s="83" t="str">
        <f t="shared" si="86"/>
        <v/>
      </c>
      <c r="V780" s="83" t="str">
        <f t="shared" si="87"/>
        <v/>
      </c>
      <c r="AA780" s="60">
        <f t="shared" si="88"/>
        <v>0</v>
      </c>
      <c r="AB780" s="49">
        <f t="shared" si="89"/>
        <v>0</v>
      </c>
      <c r="AC780" s="60">
        <f t="shared" si="90"/>
        <v>0</v>
      </c>
    </row>
    <row r="781" spans="1:29">
      <c r="A781" s="83" t="str">
        <f t="shared" si="84"/>
        <v/>
      </c>
      <c r="B781" s="83" t="str">
        <f t="shared" si="85"/>
        <v/>
      </c>
      <c r="U781" s="83" t="str">
        <f t="shared" si="86"/>
        <v/>
      </c>
      <c r="V781" s="83" t="str">
        <f t="shared" si="87"/>
        <v/>
      </c>
      <c r="AA781" s="60">
        <f t="shared" si="88"/>
        <v>0</v>
      </c>
      <c r="AB781" s="49">
        <f t="shared" si="89"/>
        <v>0</v>
      </c>
      <c r="AC781" s="60">
        <f t="shared" si="90"/>
        <v>0</v>
      </c>
    </row>
    <row r="782" spans="1:29">
      <c r="A782" s="83" t="str">
        <f t="shared" si="84"/>
        <v/>
      </c>
      <c r="B782" s="83" t="str">
        <f t="shared" si="85"/>
        <v/>
      </c>
      <c r="U782" s="83" t="str">
        <f t="shared" si="86"/>
        <v/>
      </c>
      <c r="V782" s="83" t="str">
        <f t="shared" si="87"/>
        <v/>
      </c>
      <c r="AA782" s="60">
        <f t="shared" si="88"/>
        <v>0</v>
      </c>
      <c r="AB782" s="49">
        <f t="shared" si="89"/>
        <v>0</v>
      </c>
      <c r="AC782" s="60">
        <f t="shared" si="90"/>
        <v>0</v>
      </c>
    </row>
    <row r="783" spans="1:29">
      <c r="A783" s="83" t="str">
        <f t="shared" si="84"/>
        <v/>
      </c>
      <c r="B783" s="83" t="str">
        <f t="shared" si="85"/>
        <v/>
      </c>
      <c r="U783" s="83" t="str">
        <f t="shared" si="86"/>
        <v/>
      </c>
      <c r="V783" s="83" t="str">
        <f t="shared" si="87"/>
        <v/>
      </c>
      <c r="AA783" s="60">
        <f t="shared" si="88"/>
        <v>0</v>
      </c>
      <c r="AB783" s="49">
        <f t="shared" si="89"/>
        <v>0</v>
      </c>
      <c r="AC783" s="60">
        <f t="shared" si="90"/>
        <v>0</v>
      </c>
    </row>
    <row r="784" spans="1:29">
      <c r="A784" s="83" t="str">
        <f t="shared" si="84"/>
        <v/>
      </c>
      <c r="B784" s="83" t="str">
        <f t="shared" si="85"/>
        <v/>
      </c>
      <c r="U784" s="83" t="str">
        <f t="shared" si="86"/>
        <v/>
      </c>
      <c r="V784" s="83" t="str">
        <f t="shared" si="87"/>
        <v/>
      </c>
      <c r="AA784" s="60">
        <f t="shared" si="88"/>
        <v>0</v>
      </c>
      <c r="AB784" s="49">
        <f t="shared" si="89"/>
        <v>0</v>
      </c>
      <c r="AC784" s="60">
        <f t="shared" si="90"/>
        <v>0</v>
      </c>
    </row>
    <row r="785" spans="1:29">
      <c r="A785" s="83" t="str">
        <f t="shared" si="84"/>
        <v/>
      </c>
      <c r="B785" s="83" t="str">
        <f t="shared" si="85"/>
        <v/>
      </c>
      <c r="U785" s="83" t="str">
        <f t="shared" si="86"/>
        <v/>
      </c>
      <c r="V785" s="83" t="str">
        <f t="shared" si="87"/>
        <v/>
      </c>
      <c r="AA785" s="60">
        <f t="shared" si="88"/>
        <v>0</v>
      </c>
      <c r="AB785" s="49">
        <f t="shared" si="89"/>
        <v>0</v>
      </c>
      <c r="AC785" s="60">
        <f t="shared" si="90"/>
        <v>0</v>
      </c>
    </row>
    <row r="786" spans="1:29">
      <c r="A786" s="83" t="str">
        <f t="shared" si="84"/>
        <v/>
      </c>
      <c r="B786" s="83" t="str">
        <f t="shared" si="85"/>
        <v/>
      </c>
      <c r="U786" s="83" t="str">
        <f t="shared" si="86"/>
        <v/>
      </c>
      <c r="V786" s="83" t="str">
        <f t="shared" si="87"/>
        <v/>
      </c>
      <c r="AA786" s="60">
        <f t="shared" si="88"/>
        <v>0</v>
      </c>
      <c r="AB786" s="49">
        <f t="shared" si="89"/>
        <v>0</v>
      </c>
      <c r="AC786" s="60">
        <f t="shared" si="90"/>
        <v>0</v>
      </c>
    </row>
    <row r="787" spans="1:29">
      <c r="A787" s="83" t="str">
        <f t="shared" si="84"/>
        <v/>
      </c>
      <c r="B787" s="83" t="str">
        <f t="shared" si="85"/>
        <v/>
      </c>
      <c r="U787" s="83" t="str">
        <f t="shared" si="86"/>
        <v/>
      </c>
      <c r="V787" s="83" t="str">
        <f t="shared" si="87"/>
        <v/>
      </c>
      <c r="AA787" s="60">
        <f t="shared" si="88"/>
        <v>0</v>
      </c>
      <c r="AB787" s="49">
        <f t="shared" si="89"/>
        <v>0</v>
      </c>
      <c r="AC787" s="60">
        <f t="shared" si="90"/>
        <v>0</v>
      </c>
    </row>
    <row r="788" spans="1:29">
      <c r="A788" s="83" t="str">
        <f t="shared" si="84"/>
        <v/>
      </c>
      <c r="B788" s="83" t="str">
        <f t="shared" si="85"/>
        <v/>
      </c>
      <c r="U788" s="83" t="str">
        <f t="shared" si="86"/>
        <v/>
      </c>
      <c r="V788" s="83" t="str">
        <f t="shared" si="87"/>
        <v/>
      </c>
      <c r="AA788" s="60">
        <f t="shared" si="88"/>
        <v>0</v>
      </c>
      <c r="AB788" s="49">
        <f t="shared" si="89"/>
        <v>0</v>
      </c>
      <c r="AC788" s="60">
        <f t="shared" si="90"/>
        <v>0</v>
      </c>
    </row>
    <row r="789" spans="1:29">
      <c r="A789" s="83" t="str">
        <f t="shared" si="84"/>
        <v/>
      </c>
      <c r="B789" s="83" t="str">
        <f t="shared" si="85"/>
        <v/>
      </c>
      <c r="U789" s="83" t="str">
        <f t="shared" si="86"/>
        <v/>
      </c>
      <c r="V789" s="83" t="str">
        <f t="shared" si="87"/>
        <v/>
      </c>
      <c r="AA789" s="60">
        <f t="shared" si="88"/>
        <v>0</v>
      </c>
      <c r="AB789" s="49">
        <f t="shared" si="89"/>
        <v>0</v>
      </c>
      <c r="AC789" s="60">
        <f t="shared" si="90"/>
        <v>0</v>
      </c>
    </row>
    <row r="790" spans="1:29">
      <c r="A790" s="83" t="str">
        <f t="shared" si="84"/>
        <v/>
      </c>
      <c r="B790" s="83" t="str">
        <f t="shared" si="85"/>
        <v/>
      </c>
      <c r="U790" s="83" t="str">
        <f t="shared" si="86"/>
        <v/>
      </c>
      <c r="V790" s="83" t="str">
        <f t="shared" si="87"/>
        <v/>
      </c>
      <c r="AA790" s="60">
        <f t="shared" si="88"/>
        <v>0</v>
      </c>
      <c r="AB790" s="49">
        <f t="shared" si="89"/>
        <v>0</v>
      </c>
      <c r="AC790" s="60">
        <f t="shared" si="90"/>
        <v>0</v>
      </c>
    </row>
    <row r="791" spans="1:29">
      <c r="A791" s="83" t="str">
        <f t="shared" si="84"/>
        <v/>
      </c>
      <c r="B791" s="83" t="str">
        <f t="shared" si="85"/>
        <v/>
      </c>
      <c r="U791" s="83" t="str">
        <f t="shared" si="86"/>
        <v/>
      </c>
      <c r="V791" s="83" t="str">
        <f t="shared" si="87"/>
        <v/>
      </c>
      <c r="AA791" s="60">
        <f t="shared" si="88"/>
        <v>0</v>
      </c>
      <c r="AB791" s="49">
        <f t="shared" si="89"/>
        <v>0</v>
      </c>
      <c r="AC791" s="60">
        <f t="shared" si="90"/>
        <v>0</v>
      </c>
    </row>
    <row r="792" spans="1:29">
      <c r="A792" s="83" t="str">
        <f t="shared" si="84"/>
        <v/>
      </c>
      <c r="B792" s="83" t="str">
        <f t="shared" si="85"/>
        <v/>
      </c>
      <c r="U792" s="83" t="str">
        <f t="shared" si="86"/>
        <v/>
      </c>
      <c r="V792" s="83" t="str">
        <f t="shared" si="87"/>
        <v/>
      </c>
      <c r="AA792" s="60">
        <f t="shared" si="88"/>
        <v>0</v>
      </c>
      <c r="AB792" s="49">
        <f t="shared" si="89"/>
        <v>0</v>
      </c>
      <c r="AC792" s="60">
        <f t="shared" si="90"/>
        <v>0</v>
      </c>
    </row>
    <row r="793" spans="1:29">
      <c r="A793" s="83" t="str">
        <f t="shared" si="84"/>
        <v/>
      </c>
      <c r="B793" s="83" t="str">
        <f t="shared" si="85"/>
        <v/>
      </c>
      <c r="U793" s="83" t="str">
        <f t="shared" si="86"/>
        <v/>
      </c>
      <c r="V793" s="83" t="str">
        <f t="shared" si="87"/>
        <v/>
      </c>
      <c r="AA793" s="60">
        <f t="shared" si="88"/>
        <v>0</v>
      </c>
      <c r="AB793" s="49">
        <f t="shared" si="89"/>
        <v>0</v>
      </c>
      <c r="AC793" s="60">
        <f t="shared" si="90"/>
        <v>0</v>
      </c>
    </row>
    <row r="794" spans="1:29">
      <c r="A794" s="83" t="str">
        <f t="shared" si="84"/>
        <v/>
      </c>
      <c r="B794" s="83" t="str">
        <f t="shared" si="85"/>
        <v/>
      </c>
      <c r="U794" s="83" t="str">
        <f t="shared" si="86"/>
        <v/>
      </c>
      <c r="V794" s="83" t="str">
        <f t="shared" si="87"/>
        <v/>
      </c>
      <c r="AA794" s="60">
        <f t="shared" si="88"/>
        <v>0</v>
      </c>
      <c r="AB794" s="49">
        <f t="shared" si="89"/>
        <v>0</v>
      </c>
      <c r="AC794" s="60">
        <f t="shared" si="90"/>
        <v>0</v>
      </c>
    </row>
    <row r="795" spans="1:29">
      <c r="A795" s="83" t="str">
        <f t="shared" si="84"/>
        <v/>
      </c>
      <c r="B795" s="83" t="str">
        <f t="shared" si="85"/>
        <v/>
      </c>
      <c r="U795" s="83" t="str">
        <f t="shared" si="86"/>
        <v/>
      </c>
      <c r="V795" s="83" t="str">
        <f t="shared" si="87"/>
        <v/>
      </c>
      <c r="AA795" s="60">
        <f t="shared" si="88"/>
        <v>0</v>
      </c>
      <c r="AB795" s="49">
        <f t="shared" si="89"/>
        <v>0</v>
      </c>
      <c r="AC795" s="60">
        <f t="shared" si="90"/>
        <v>0</v>
      </c>
    </row>
    <row r="796" spans="1:29">
      <c r="A796" s="83" t="str">
        <f t="shared" si="84"/>
        <v/>
      </c>
      <c r="B796" s="83" t="str">
        <f t="shared" si="85"/>
        <v/>
      </c>
      <c r="U796" s="83" t="str">
        <f t="shared" si="86"/>
        <v/>
      </c>
      <c r="V796" s="83" t="str">
        <f t="shared" si="87"/>
        <v/>
      </c>
      <c r="AA796" s="60">
        <f t="shared" si="88"/>
        <v>0</v>
      </c>
      <c r="AB796" s="49">
        <f t="shared" si="89"/>
        <v>0</v>
      </c>
      <c r="AC796" s="60">
        <f t="shared" si="90"/>
        <v>0</v>
      </c>
    </row>
    <row r="797" spans="1:29">
      <c r="A797" s="83" t="str">
        <f t="shared" si="84"/>
        <v/>
      </c>
      <c r="B797" s="83" t="str">
        <f t="shared" si="85"/>
        <v/>
      </c>
      <c r="U797" s="83" t="str">
        <f t="shared" si="86"/>
        <v/>
      </c>
      <c r="V797" s="83" t="str">
        <f t="shared" si="87"/>
        <v/>
      </c>
      <c r="AA797" s="60">
        <f t="shared" si="88"/>
        <v>0</v>
      </c>
      <c r="AB797" s="49">
        <f t="shared" si="89"/>
        <v>0</v>
      </c>
      <c r="AC797" s="60">
        <f t="shared" si="90"/>
        <v>0</v>
      </c>
    </row>
    <row r="798" spans="1:29">
      <c r="A798" s="83" t="str">
        <f t="shared" si="84"/>
        <v/>
      </c>
      <c r="B798" s="83" t="str">
        <f t="shared" si="85"/>
        <v/>
      </c>
      <c r="U798" s="83" t="str">
        <f t="shared" si="86"/>
        <v/>
      </c>
      <c r="V798" s="83" t="str">
        <f t="shared" si="87"/>
        <v/>
      </c>
      <c r="AA798" s="60">
        <f t="shared" si="88"/>
        <v>0</v>
      </c>
      <c r="AB798" s="49">
        <f t="shared" si="89"/>
        <v>0</v>
      </c>
      <c r="AC798" s="60">
        <f t="shared" si="90"/>
        <v>0</v>
      </c>
    </row>
    <row r="799" spans="1:29">
      <c r="A799" s="83" t="str">
        <f t="shared" si="84"/>
        <v/>
      </c>
      <c r="B799" s="83" t="str">
        <f t="shared" si="85"/>
        <v/>
      </c>
      <c r="U799" s="83" t="str">
        <f t="shared" si="86"/>
        <v/>
      </c>
      <c r="V799" s="83" t="str">
        <f t="shared" si="87"/>
        <v/>
      </c>
      <c r="AA799" s="60">
        <f t="shared" si="88"/>
        <v>0</v>
      </c>
      <c r="AB799" s="49">
        <f t="shared" si="89"/>
        <v>0</v>
      </c>
      <c r="AC799" s="60">
        <f t="shared" si="90"/>
        <v>0</v>
      </c>
    </row>
    <row r="800" spans="1:29">
      <c r="A800" s="83" t="str">
        <f t="shared" si="84"/>
        <v/>
      </c>
      <c r="B800" s="83" t="str">
        <f t="shared" si="85"/>
        <v/>
      </c>
      <c r="U800" s="83" t="str">
        <f t="shared" si="86"/>
        <v/>
      </c>
      <c r="V800" s="83" t="str">
        <f t="shared" si="87"/>
        <v/>
      </c>
      <c r="AA800" s="60">
        <f t="shared" si="88"/>
        <v>0</v>
      </c>
      <c r="AB800" s="49">
        <f t="shared" si="89"/>
        <v>0</v>
      </c>
      <c r="AC800" s="60">
        <f t="shared" si="90"/>
        <v>0</v>
      </c>
    </row>
    <row r="801" spans="1:29">
      <c r="A801" s="83" t="str">
        <f t="shared" si="84"/>
        <v/>
      </c>
      <c r="B801" s="83" t="str">
        <f t="shared" si="85"/>
        <v/>
      </c>
      <c r="U801" s="83" t="str">
        <f t="shared" si="86"/>
        <v/>
      </c>
      <c r="V801" s="83" t="str">
        <f t="shared" si="87"/>
        <v/>
      </c>
      <c r="AA801" s="60">
        <f t="shared" si="88"/>
        <v>0</v>
      </c>
      <c r="AB801" s="49">
        <f t="shared" si="89"/>
        <v>0</v>
      </c>
      <c r="AC801" s="60">
        <f t="shared" si="90"/>
        <v>0</v>
      </c>
    </row>
    <row r="802" spans="1:29">
      <c r="A802" s="83" t="str">
        <f t="shared" si="84"/>
        <v/>
      </c>
      <c r="B802" s="83" t="str">
        <f t="shared" si="85"/>
        <v/>
      </c>
      <c r="U802" s="83" t="str">
        <f t="shared" si="86"/>
        <v/>
      </c>
      <c r="V802" s="83" t="str">
        <f t="shared" si="87"/>
        <v/>
      </c>
      <c r="AA802" s="60">
        <f t="shared" si="88"/>
        <v>0</v>
      </c>
      <c r="AB802" s="49">
        <f t="shared" si="89"/>
        <v>0</v>
      </c>
      <c r="AC802" s="60">
        <f t="shared" si="90"/>
        <v>0</v>
      </c>
    </row>
    <row r="803" spans="1:29">
      <c r="A803" s="83" t="str">
        <f t="shared" si="84"/>
        <v/>
      </c>
      <c r="B803" s="83" t="str">
        <f t="shared" si="85"/>
        <v/>
      </c>
      <c r="U803" s="83" t="str">
        <f t="shared" si="86"/>
        <v/>
      </c>
      <c r="V803" s="83" t="str">
        <f t="shared" si="87"/>
        <v/>
      </c>
      <c r="AA803" s="60">
        <f t="shared" si="88"/>
        <v>0</v>
      </c>
      <c r="AB803" s="49">
        <f t="shared" si="89"/>
        <v>0</v>
      </c>
      <c r="AC803" s="60">
        <f t="shared" si="90"/>
        <v>0</v>
      </c>
    </row>
    <row r="804" spans="1:29">
      <c r="A804" s="83" t="str">
        <f t="shared" si="84"/>
        <v/>
      </c>
      <c r="B804" s="83" t="str">
        <f t="shared" si="85"/>
        <v/>
      </c>
      <c r="U804" s="83" t="str">
        <f t="shared" si="86"/>
        <v/>
      </c>
      <c r="V804" s="83" t="str">
        <f t="shared" si="87"/>
        <v/>
      </c>
      <c r="AA804" s="60">
        <f t="shared" si="88"/>
        <v>0</v>
      </c>
      <c r="AB804" s="49">
        <f t="shared" si="89"/>
        <v>0</v>
      </c>
      <c r="AC804" s="60">
        <f t="shared" si="90"/>
        <v>0</v>
      </c>
    </row>
    <row r="805" spans="1:29">
      <c r="A805" s="83" t="str">
        <f t="shared" si="84"/>
        <v/>
      </c>
      <c r="B805" s="83" t="str">
        <f t="shared" si="85"/>
        <v/>
      </c>
      <c r="U805" s="83" t="str">
        <f t="shared" si="86"/>
        <v/>
      </c>
      <c r="V805" s="83" t="str">
        <f t="shared" si="87"/>
        <v/>
      </c>
      <c r="AA805" s="60">
        <f t="shared" si="88"/>
        <v>0</v>
      </c>
      <c r="AB805" s="49">
        <f t="shared" si="89"/>
        <v>0</v>
      </c>
      <c r="AC805" s="60">
        <f t="shared" si="90"/>
        <v>0</v>
      </c>
    </row>
    <row r="806" spans="1:29">
      <c r="A806" s="83" t="str">
        <f t="shared" si="84"/>
        <v/>
      </c>
      <c r="B806" s="83" t="str">
        <f t="shared" si="85"/>
        <v/>
      </c>
      <c r="U806" s="83" t="str">
        <f t="shared" si="86"/>
        <v/>
      </c>
      <c r="V806" s="83" t="str">
        <f t="shared" si="87"/>
        <v/>
      </c>
      <c r="AA806" s="60">
        <f t="shared" si="88"/>
        <v>0</v>
      </c>
      <c r="AB806" s="49">
        <f t="shared" si="89"/>
        <v>0</v>
      </c>
      <c r="AC806" s="60">
        <f t="shared" si="90"/>
        <v>0</v>
      </c>
    </row>
    <row r="807" spans="1:29">
      <c r="A807" s="83" t="str">
        <f t="shared" si="84"/>
        <v/>
      </c>
      <c r="B807" s="83" t="str">
        <f t="shared" si="85"/>
        <v/>
      </c>
      <c r="U807" s="83" t="str">
        <f t="shared" si="86"/>
        <v/>
      </c>
      <c r="V807" s="83" t="str">
        <f t="shared" si="87"/>
        <v/>
      </c>
      <c r="AA807" s="60">
        <f t="shared" si="88"/>
        <v>0</v>
      </c>
      <c r="AB807" s="49">
        <f t="shared" si="89"/>
        <v>0</v>
      </c>
      <c r="AC807" s="60">
        <f t="shared" si="90"/>
        <v>0</v>
      </c>
    </row>
    <row r="808" spans="1:29">
      <c r="A808" s="83" t="str">
        <f t="shared" si="84"/>
        <v/>
      </c>
      <c r="B808" s="83" t="str">
        <f t="shared" si="85"/>
        <v/>
      </c>
      <c r="U808" s="83" t="str">
        <f t="shared" si="86"/>
        <v/>
      </c>
      <c r="V808" s="83" t="str">
        <f t="shared" si="87"/>
        <v/>
      </c>
      <c r="AA808" s="60">
        <f t="shared" si="88"/>
        <v>0</v>
      </c>
      <c r="AB808" s="49">
        <f t="shared" si="89"/>
        <v>0</v>
      </c>
      <c r="AC808" s="60">
        <f t="shared" si="90"/>
        <v>0</v>
      </c>
    </row>
    <row r="809" spans="1:29">
      <c r="A809" s="83" t="str">
        <f t="shared" si="84"/>
        <v/>
      </c>
      <c r="B809" s="83" t="str">
        <f t="shared" si="85"/>
        <v/>
      </c>
      <c r="U809" s="83" t="str">
        <f t="shared" si="86"/>
        <v/>
      </c>
      <c r="V809" s="83" t="str">
        <f t="shared" si="87"/>
        <v/>
      </c>
      <c r="AA809" s="60">
        <f t="shared" si="88"/>
        <v>0</v>
      </c>
      <c r="AB809" s="49">
        <f t="shared" si="89"/>
        <v>0</v>
      </c>
      <c r="AC809" s="60">
        <f t="shared" si="90"/>
        <v>0</v>
      </c>
    </row>
    <row r="810" spans="1:29">
      <c r="A810" s="83" t="str">
        <f t="shared" si="84"/>
        <v/>
      </c>
      <c r="B810" s="83" t="str">
        <f t="shared" si="85"/>
        <v/>
      </c>
      <c r="U810" s="83" t="str">
        <f t="shared" si="86"/>
        <v/>
      </c>
      <c r="V810" s="83" t="str">
        <f t="shared" si="87"/>
        <v/>
      </c>
      <c r="AA810" s="60">
        <f t="shared" si="88"/>
        <v>0</v>
      </c>
      <c r="AB810" s="49">
        <f t="shared" si="89"/>
        <v>0</v>
      </c>
      <c r="AC810" s="60">
        <f t="shared" si="90"/>
        <v>0</v>
      </c>
    </row>
    <row r="811" spans="1:29">
      <c r="A811" s="83" t="str">
        <f t="shared" si="84"/>
        <v/>
      </c>
      <c r="B811" s="83" t="str">
        <f t="shared" si="85"/>
        <v/>
      </c>
      <c r="U811" s="83" t="str">
        <f t="shared" si="86"/>
        <v/>
      </c>
      <c r="V811" s="83" t="str">
        <f t="shared" si="87"/>
        <v/>
      </c>
      <c r="AA811" s="60">
        <f t="shared" si="88"/>
        <v>0</v>
      </c>
      <c r="AB811" s="49">
        <f t="shared" si="89"/>
        <v>0</v>
      </c>
      <c r="AC811" s="60">
        <f t="shared" si="90"/>
        <v>0</v>
      </c>
    </row>
    <row r="812" spans="1:29">
      <c r="A812" s="83" t="str">
        <f t="shared" si="84"/>
        <v/>
      </c>
      <c r="B812" s="83" t="str">
        <f t="shared" si="85"/>
        <v/>
      </c>
      <c r="U812" s="83" t="str">
        <f t="shared" si="86"/>
        <v/>
      </c>
      <c r="V812" s="83" t="str">
        <f t="shared" si="87"/>
        <v/>
      </c>
      <c r="AA812" s="60">
        <f t="shared" si="88"/>
        <v>0</v>
      </c>
      <c r="AB812" s="49">
        <f t="shared" si="89"/>
        <v>0</v>
      </c>
      <c r="AC812" s="60">
        <f t="shared" si="90"/>
        <v>0</v>
      </c>
    </row>
    <row r="813" spans="1:29">
      <c r="A813" s="83" t="str">
        <f t="shared" si="84"/>
        <v/>
      </c>
      <c r="B813" s="83" t="str">
        <f t="shared" si="85"/>
        <v/>
      </c>
      <c r="U813" s="83" t="str">
        <f t="shared" si="86"/>
        <v/>
      </c>
      <c r="V813" s="83" t="str">
        <f t="shared" si="87"/>
        <v/>
      </c>
      <c r="AA813" s="60">
        <f t="shared" si="88"/>
        <v>0</v>
      </c>
      <c r="AB813" s="49">
        <f t="shared" si="89"/>
        <v>0</v>
      </c>
      <c r="AC813" s="60">
        <f t="shared" si="90"/>
        <v>0</v>
      </c>
    </row>
    <row r="814" spans="1:29">
      <c r="A814" s="83" t="str">
        <f t="shared" si="84"/>
        <v/>
      </c>
      <c r="B814" s="83" t="str">
        <f t="shared" si="85"/>
        <v/>
      </c>
      <c r="U814" s="83" t="str">
        <f t="shared" si="86"/>
        <v/>
      </c>
      <c r="V814" s="83" t="str">
        <f t="shared" si="87"/>
        <v/>
      </c>
      <c r="AA814" s="60">
        <f t="shared" si="88"/>
        <v>0</v>
      </c>
      <c r="AB814" s="49">
        <f t="shared" si="89"/>
        <v>0</v>
      </c>
      <c r="AC814" s="60">
        <f t="shared" si="90"/>
        <v>0</v>
      </c>
    </row>
    <row r="815" spans="1:29">
      <c r="A815" s="83" t="str">
        <f t="shared" si="84"/>
        <v/>
      </c>
      <c r="B815" s="83" t="str">
        <f t="shared" si="85"/>
        <v/>
      </c>
      <c r="U815" s="83" t="str">
        <f t="shared" si="86"/>
        <v/>
      </c>
      <c r="V815" s="83" t="str">
        <f t="shared" si="87"/>
        <v/>
      </c>
      <c r="AA815" s="60">
        <f t="shared" si="88"/>
        <v>0</v>
      </c>
      <c r="AB815" s="49">
        <f t="shared" si="89"/>
        <v>0</v>
      </c>
      <c r="AC815" s="60">
        <f t="shared" si="90"/>
        <v>0</v>
      </c>
    </row>
    <row r="816" spans="1:29">
      <c r="A816" s="83" t="str">
        <f t="shared" si="84"/>
        <v/>
      </c>
      <c r="B816" s="83" t="str">
        <f t="shared" si="85"/>
        <v/>
      </c>
      <c r="U816" s="83" t="str">
        <f t="shared" si="86"/>
        <v/>
      </c>
      <c r="V816" s="83" t="str">
        <f t="shared" si="87"/>
        <v/>
      </c>
      <c r="AA816" s="60">
        <f t="shared" si="88"/>
        <v>0</v>
      </c>
      <c r="AB816" s="49">
        <f t="shared" si="89"/>
        <v>0</v>
      </c>
      <c r="AC816" s="60">
        <f t="shared" si="90"/>
        <v>0</v>
      </c>
    </row>
    <row r="817" spans="1:29">
      <c r="A817" s="83" t="str">
        <f t="shared" si="84"/>
        <v/>
      </c>
      <c r="B817" s="83" t="str">
        <f t="shared" si="85"/>
        <v/>
      </c>
      <c r="U817" s="83" t="str">
        <f t="shared" si="86"/>
        <v/>
      </c>
      <c r="V817" s="83" t="str">
        <f t="shared" si="87"/>
        <v/>
      </c>
      <c r="AA817" s="60">
        <f t="shared" si="88"/>
        <v>0</v>
      </c>
      <c r="AB817" s="49">
        <f t="shared" si="89"/>
        <v>0</v>
      </c>
      <c r="AC817" s="60">
        <f t="shared" si="90"/>
        <v>0</v>
      </c>
    </row>
    <row r="818" spans="1:29">
      <c r="A818" s="83" t="str">
        <f t="shared" si="84"/>
        <v/>
      </c>
      <c r="B818" s="83" t="str">
        <f t="shared" si="85"/>
        <v/>
      </c>
      <c r="U818" s="83" t="str">
        <f t="shared" si="86"/>
        <v/>
      </c>
      <c r="V818" s="83" t="str">
        <f t="shared" si="87"/>
        <v/>
      </c>
      <c r="AA818" s="60">
        <f t="shared" si="88"/>
        <v>0</v>
      </c>
      <c r="AB818" s="49">
        <f t="shared" si="89"/>
        <v>0</v>
      </c>
      <c r="AC818" s="60">
        <f t="shared" si="90"/>
        <v>0</v>
      </c>
    </row>
    <row r="819" spans="1:29">
      <c r="A819" s="83" t="str">
        <f t="shared" si="84"/>
        <v/>
      </c>
      <c r="B819" s="83" t="str">
        <f t="shared" si="85"/>
        <v/>
      </c>
      <c r="U819" s="83" t="str">
        <f t="shared" si="86"/>
        <v/>
      </c>
      <c r="V819" s="83" t="str">
        <f t="shared" si="87"/>
        <v/>
      </c>
      <c r="AA819" s="60">
        <f t="shared" si="88"/>
        <v>0</v>
      </c>
      <c r="AB819" s="49">
        <f t="shared" si="89"/>
        <v>0</v>
      </c>
      <c r="AC819" s="60">
        <f t="shared" si="90"/>
        <v>0</v>
      </c>
    </row>
    <row r="820" spans="1:29">
      <c r="A820" s="83" t="str">
        <f t="shared" si="84"/>
        <v/>
      </c>
      <c r="B820" s="83" t="str">
        <f t="shared" si="85"/>
        <v/>
      </c>
      <c r="U820" s="83" t="str">
        <f t="shared" si="86"/>
        <v/>
      </c>
      <c r="V820" s="83" t="str">
        <f t="shared" si="87"/>
        <v/>
      </c>
      <c r="AA820" s="60">
        <f t="shared" si="88"/>
        <v>0</v>
      </c>
      <c r="AB820" s="49">
        <f t="shared" si="89"/>
        <v>0</v>
      </c>
      <c r="AC820" s="60">
        <f t="shared" si="90"/>
        <v>0</v>
      </c>
    </row>
    <row r="821" spans="1:29">
      <c r="A821" s="83" t="str">
        <f t="shared" si="84"/>
        <v/>
      </c>
      <c r="B821" s="83" t="str">
        <f t="shared" si="85"/>
        <v/>
      </c>
      <c r="U821" s="83" t="str">
        <f t="shared" si="86"/>
        <v/>
      </c>
      <c r="V821" s="83" t="str">
        <f t="shared" si="87"/>
        <v/>
      </c>
      <c r="AA821" s="60">
        <f t="shared" si="88"/>
        <v>0</v>
      </c>
      <c r="AB821" s="49">
        <f t="shared" si="89"/>
        <v>0</v>
      </c>
      <c r="AC821" s="60">
        <f t="shared" si="90"/>
        <v>0</v>
      </c>
    </row>
    <row r="822" spans="1:29">
      <c r="A822" s="83" t="str">
        <f t="shared" si="84"/>
        <v/>
      </c>
      <c r="B822" s="83" t="str">
        <f t="shared" si="85"/>
        <v/>
      </c>
      <c r="U822" s="83" t="str">
        <f t="shared" si="86"/>
        <v/>
      </c>
      <c r="V822" s="83" t="str">
        <f t="shared" si="87"/>
        <v/>
      </c>
      <c r="AA822" s="60">
        <f t="shared" si="88"/>
        <v>0</v>
      </c>
      <c r="AB822" s="49">
        <f t="shared" si="89"/>
        <v>0</v>
      </c>
      <c r="AC822" s="60">
        <f t="shared" si="90"/>
        <v>0</v>
      </c>
    </row>
    <row r="823" spans="1:29">
      <c r="A823" s="83" t="str">
        <f t="shared" si="84"/>
        <v/>
      </c>
      <c r="B823" s="83" t="str">
        <f t="shared" si="85"/>
        <v/>
      </c>
      <c r="U823" s="83" t="str">
        <f t="shared" si="86"/>
        <v/>
      </c>
      <c r="V823" s="83" t="str">
        <f t="shared" si="87"/>
        <v/>
      </c>
      <c r="AA823" s="60">
        <f t="shared" si="88"/>
        <v>0</v>
      </c>
      <c r="AB823" s="49">
        <f t="shared" si="89"/>
        <v>0</v>
      </c>
      <c r="AC823" s="60">
        <f t="shared" si="90"/>
        <v>0</v>
      </c>
    </row>
    <row r="824" spans="1:29">
      <c r="A824" s="83" t="str">
        <f t="shared" si="84"/>
        <v/>
      </c>
      <c r="B824" s="83" t="str">
        <f t="shared" si="85"/>
        <v/>
      </c>
      <c r="U824" s="83" t="str">
        <f t="shared" si="86"/>
        <v/>
      </c>
      <c r="V824" s="83" t="str">
        <f t="shared" si="87"/>
        <v/>
      </c>
      <c r="AA824" s="60">
        <f t="shared" si="88"/>
        <v>0</v>
      </c>
      <c r="AB824" s="49">
        <f t="shared" si="89"/>
        <v>0</v>
      </c>
      <c r="AC824" s="60">
        <f t="shared" si="90"/>
        <v>0</v>
      </c>
    </row>
    <row r="825" spans="1:29">
      <c r="A825" s="83" t="str">
        <f t="shared" si="84"/>
        <v/>
      </c>
      <c r="B825" s="83" t="str">
        <f t="shared" si="85"/>
        <v/>
      </c>
      <c r="U825" s="83" t="str">
        <f t="shared" si="86"/>
        <v/>
      </c>
      <c r="V825" s="83" t="str">
        <f t="shared" si="87"/>
        <v/>
      </c>
      <c r="AA825" s="60">
        <f t="shared" si="88"/>
        <v>0</v>
      </c>
      <c r="AB825" s="49">
        <f t="shared" si="89"/>
        <v>0</v>
      </c>
      <c r="AC825" s="60">
        <f t="shared" si="90"/>
        <v>0</v>
      </c>
    </row>
    <row r="826" spans="1:29">
      <c r="A826" s="83" t="str">
        <f t="shared" si="84"/>
        <v/>
      </c>
      <c r="B826" s="83" t="str">
        <f t="shared" si="85"/>
        <v/>
      </c>
      <c r="U826" s="83" t="str">
        <f t="shared" si="86"/>
        <v/>
      </c>
      <c r="V826" s="83" t="str">
        <f t="shared" si="87"/>
        <v/>
      </c>
      <c r="AA826" s="60">
        <f t="shared" si="88"/>
        <v>0</v>
      </c>
      <c r="AB826" s="49">
        <f t="shared" si="89"/>
        <v>0</v>
      </c>
      <c r="AC826" s="60">
        <f t="shared" si="90"/>
        <v>0</v>
      </c>
    </row>
    <row r="827" spans="1:29">
      <c r="A827" s="83" t="str">
        <f t="shared" si="84"/>
        <v/>
      </c>
      <c r="B827" s="83" t="str">
        <f t="shared" si="85"/>
        <v/>
      </c>
      <c r="U827" s="83" t="str">
        <f t="shared" si="86"/>
        <v/>
      </c>
      <c r="V827" s="83" t="str">
        <f t="shared" si="87"/>
        <v/>
      </c>
      <c r="AA827" s="60">
        <f t="shared" si="88"/>
        <v>0</v>
      </c>
      <c r="AB827" s="49">
        <f t="shared" si="89"/>
        <v>0</v>
      </c>
      <c r="AC827" s="60">
        <f t="shared" si="90"/>
        <v>0</v>
      </c>
    </row>
    <row r="828" spans="1:29">
      <c r="A828" s="83" t="str">
        <f t="shared" si="84"/>
        <v/>
      </c>
      <c r="B828" s="83" t="str">
        <f t="shared" si="85"/>
        <v/>
      </c>
      <c r="U828" s="83" t="str">
        <f t="shared" si="86"/>
        <v/>
      </c>
      <c r="V828" s="83" t="str">
        <f t="shared" si="87"/>
        <v/>
      </c>
      <c r="AA828" s="60">
        <f t="shared" si="88"/>
        <v>0</v>
      </c>
      <c r="AB828" s="49">
        <f t="shared" si="89"/>
        <v>0</v>
      </c>
      <c r="AC828" s="60">
        <f t="shared" si="90"/>
        <v>0</v>
      </c>
    </row>
    <row r="829" spans="1:29">
      <c r="A829" s="83" t="str">
        <f t="shared" si="84"/>
        <v/>
      </c>
      <c r="B829" s="83" t="str">
        <f t="shared" si="85"/>
        <v/>
      </c>
      <c r="U829" s="83" t="str">
        <f t="shared" si="86"/>
        <v/>
      </c>
      <c r="V829" s="83" t="str">
        <f t="shared" si="87"/>
        <v/>
      </c>
      <c r="AA829" s="60">
        <f t="shared" si="88"/>
        <v>0</v>
      </c>
      <c r="AB829" s="49">
        <f t="shared" si="89"/>
        <v>0</v>
      </c>
      <c r="AC829" s="60">
        <f t="shared" si="90"/>
        <v>0</v>
      </c>
    </row>
    <row r="830" spans="1:29">
      <c r="A830" s="83" t="str">
        <f t="shared" si="84"/>
        <v/>
      </c>
      <c r="B830" s="83" t="str">
        <f t="shared" si="85"/>
        <v/>
      </c>
      <c r="U830" s="83" t="str">
        <f t="shared" si="86"/>
        <v/>
      </c>
      <c r="V830" s="83" t="str">
        <f t="shared" si="87"/>
        <v/>
      </c>
      <c r="AA830" s="60">
        <f t="shared" si="88"/>
        <v>0</v>
      </c>
      <c r="AB830" s="49">
        <f t="shared" si="89"/>
        <v>0</v>
      </c>
      <c r="AC830" s="60">
        <f t="shared" si="90"/>
        <v>0</v>
      </c>
    </row>
    <row r="831" spans="1:29">
      <c r="A831" s="83" t="str">
        <f t="shared" si="84"/>
        <v/>
      </c>
      <c r="B831" s="83" t="str">
        <f t="shared" si="85"/>
        <v/>
      </c>
      <c r="U831" s="83" t="str">
        <f t="shared" si="86"/>
        <v/>
      </c>
      <c r="V831" s="83" t="str">
        <f t="shared" si="87"/>
        <v/>
      </c>
      <c r="AA831" s="60">
        <f t="shared" si="88"/>
        <v>0</v>
      </c>
      <c r="AB831" s="49">
        <f t="shared" si="89"/>
        <v>0</v>
      </c>
      <c r="AC831" s="60">
        <f t="shared" si="90"/>
        <v>0</v>
      </c>
    </row>
    <row r="832" spans="1:29">
      <c r="A832" s="83" t="str">
        <f t="shared" si="84"/>
        <v/>
      </c>
      <c r="B832" s="83" t="str">
        <f t="shared" si="85"/>
        <v/>
      </c>
      <c r="U832" s="83" t="str">
        <f t="shared" si="86"/>
        <v/>
      </c>
      <c r="V832" s="83" t="str">
        <f t="shared" si="87"/>
        <v/>
      </c>
      <c r="AA832" s="60">
        <f t="shared" si="88"/>
        <v>0</v>
      </c>
      <c r="AB832" s="49">
        <f t="shared" si="89"/>
        <v>0</v>
      </c>
      <c r="AC832" s="60">
        <f t="shared" si="90"/>
        <v>0</v>
      </c>
    </row>
    <row r="833" spans="1:29">
      <c r="A833" s="83" t="str">
        <f t="shared" si="84"/>
        <v/>
      </c>
      <c r="B833" s="83" t="str">
        <f t="shared" si="85"/>
        <v/>
      </c>
      <c r="U833" s="83" t="str">
        <f t="shared" si="86"/>
        <v/>
      </c>
      <c r="V833" s="83" t="str">
        <f t="shared" si="87"/>
        <v/>
      </c>
      <c r="AA833" s="60">
        <f t="shared" si="88"/>
        <v>0</v>
      </c>
      <c r="AB833" s="49">
        <f t="shared" si="89"/>
        <v>0</v>
      </c>
      <c r="AC833" s="60">
        <f t="shared" si="90"/>
        <v>0</v>
      </c>
    </row>
    <row r="834" spans="1:29">
      <c r="A834" s="83" t="str">
        <f t="shared" si="84"/>
        <v/>
      </c>
      <c r="B834" s="83" t="str">
        <f t="shared" si="85"/>
        <v/>
      </c>
      <c r="U834" s="83" t="str">
        <f t="shared" si="86"/>
        <v/>
      </c>
      <c r="V834" s="83" t="str">
        <f t="shared" si="87"/>
        <v/>
      </c>
      <c r="AA834" s="60">
        <f t="shared" si="88"/>
        <v>0</v>
      </c>
      <c r="AB834" s="49">
        <f t="shared" si="89"/>
        <v>0</v>
      </c>
      <c r="AC834" s="60">
        <f t="shared" si="90"/>
        <v>0</v>
      </c>
    </row>
    <row r="835" spans="1:29">
      <c r="A835" s="83" t="str">
        <f t="shared" ref="A835:A898" si="91">IF(G835&amp;Q835&lt;&gt;"",U835&amp;Q835,"")</f>
        <v/>
      </c>
      <c r="B835" s="83" t="str">
        <f t="shared" ref="B835:B898" si="92">IF(C835&lt;&gt;"",LEFT(C835,9),"")</f>
        <v/>
      </c>
      <c r="U835" s="83" t="str">
        <f t="shared" ref="U835:U898" si="93">IF(G835&lt;&gt;"",IF(StyleSpaceSplit,IFERROR(IF(FIND(" ",G835)&gt;=1,MID(G835,1,FIND(" ",G835)-1),G835),G835),G835),"")</f>
        <v/>
      </c>
      <c r="V835" s="83" t="str">
        <f t="shared" ref="V835:V898" si="94">IF(A835&lt;&gt;"",IFERROR(IF(FIND(" ",G835)&gt;=1,MID(G835,FIND(" ",G835)+1,LEN(G835)),""),G835),"")</f>
        <v/>
      </c>
      <c r="AA835" s="60">
        <f t="shared" ref="AA835:AA898" si="95">IFERROR(VALUE(MID($C835,1,2)),0)</f>
        <v>0</v>
      </c>
      <c r="AB835" s="49">
        <f t="shared" ref="AB835:AB898" si="96">IFERROR(VALUE(MID($C835,4,3)),0)</f>
        <v>0</v>
      </c>
      <c r="AC835" s="60">
        <f t="shared" ref="AC835:AC898" si="97">VALUE(RIGHT("00"&amp;AA835,2)&amp;RIGHT("000"&amp;AB835,3))</f>
        <v>0</v>
      </c>
    </row>
    <row r="836" spans="1:29">
      <c r="A836" s="83" t="str">
        <f t="shared" si="91"/>
        <v/>
      </c>
      <c r="B836" s="83" t="str">
        <f t="shared" si="92"/>
        <v/>
      </c>
      <c r="U836" s="83" t="str">
        <f t="shared" si="93"/>
        <v/>
      </c>
      <c r="V836" s="83" t="str">
        <f t="shared" si="94"/>
        <v/>
      </c>
      <c r="AA836" s="60">
        <f t="shared" si="95"/>
        <v>0</v>
      </c>
      <c r="AB836" s="49">
        <f t="shared" si="96"/>
        <v>0</v>
      </c>
      <c r="AC836" s="60">
        <f t="shared" si="97"/>
        <v>0</v>
      </c>
    </row>
    <row r="837" spans="1:29">
      <c r="A837" s="83" t="str">
        <f t="shared" si="91"/>
        <v/>
      </c>
      <c r="B837" s="83" t="str">
        <f t="shared" si="92"/>
        <v/>
      </c>
      <c r="U837" s="83" t="str">
        <f t="shared" si="93"/>
        <v/>
      </c>
      <c r="V837" s="83" t="str">
        <f t="shared" si="94"/>
        <v/>
      </c>
      <c r="AA837" s="60">
        <f t="shared" si="95"/>
        <v>0</v>
      </c>
      <c r="AB837" s="49">
        <f t="shared" si="96"/>
        <v>0</v>
      </c>
      <c r="AC837" s="60">
        <f t="shared" si="97"/>
        <v>0</v>
      </c>
    </row>
    <row r="838" spans="1:29">
      <c r="A838" s="83" t="str">
        <f t="shared" si="91"/>
        <v/>
      </c>
      <c r="B838" s="83" t="str">
        <f t="shared" si="92"/>
        <v/>
      </c>
      <c r="U838" s="83" t="str">
        <f t="shared" si="93"/>
        <v/>
      </c>
      <c r="V838" s="83" t="str">
        <f t="shared" si="94"/>
        <v/>
      </c>
      <c r="AA838" s="60">
        <f t="shared" si="95"/>
        <v>0</v>
      </c>
      <c r="AB838" s="49">
        <f t="shared" si="96"/>
        <v>0</v>
      </c>
      <c r="AC838" s="60">
        <f t="shared" si="97"/>
        <v>0</v>
      </c>
    </row>
    <row r="839" spans="1:29">
      <c r="A839" s="83" t="str">
        <f t="shared" si="91"/>
        <v/>
      </c>
      <c r="B839" s="83" t="str">
        <f t="shared" si="92"/>
        <v/>
      </c>
      <c r="U839" s="83" t="str">
        <f t="shared" si="93"/>
        <v/>
      </c>
      <c r="V839" s="83" t="str">
        <f t="shared" si="94"/>
        <v/>
      </c>
      <c r="AA839" s="60">
        <f t="shared" si="95"/>
        <v>0</v>
      </c>
      <c r="AB839" s="49">
        <f t="shared" si="96"/>
        <v>0</v>
      </c>
      <c r="AC839" s="60">
        <f t="shared" si="97"/>
        <v>0</v>
      </c>
    </row>
    <row r="840" spans="1:29">
      <c r="A840" s="83" t="str">
        <f t="shared" si="91"/>
        <v/>
      </c>
      <c r="B840" s="83" t="str">
        <f t="shared" si="92"/>
        <v/>
      </c>
      <c r="U840" s="83" t="str">
        <f t="shared" si="93"/>
        <v/>
      </c>
      <c r="V840" s="83" t="str">
        <f t="shared" si="94"/>
        <v/>
      </c>
      <c r="AA840" s="60">
        <f t="shared" si="95"/>
        <v>0</v>
      </c>
      <c r="AB840" s="49">
        <f t="shared" si="96"/>
        <v>0</v>
      </c>
      <c r="AC840" s="60">
        <f t="shared" si="97"/>
        <v>0</v>
      </c>
    </row>
    <row r="841" spans="1:29">
      <c r="A841" s="83" t="str">
        <f t="shared" si="91"/>
        <v/>
      </c>
      <c r="B841" s="83" t="str">
        <f t="shared" si="92"/>
        <v/>
      </c>
      <c r="U841" s="83" t="str">
        <f t="shared" si="93"/>
        <v/>
      </c>
      <c r="V841" s="83" t="str">
        <f t="shared" si="94"/>
        <v/>
      </c>
      <c r="AA841" s="60">
        <f t="shared" si="95"/>
        <v>0</v>
      </c>
      <c r="AB841" s="49">
        <f t="shared" si="96"/>
        <v>0</v>
      </c>
      <c r="AC841" s="60">
        <f t="shared" si="97"/>
        <v>0</v>
      </c>
    </row>
    <row r="842" spans="1:29">
      <c r="A842" s="83" t="str">
        <f t="shared" si="91"/>
        <v/>
      </c>
      <c r="B842" s="83" t="str">
        <f t="shared" si="92"/>
        <v/>
      </c>
      <c r="U842" s="83" t="str">
        <f t="shared" si="93"/>
        <v/>
      </c>
      <c r="V842" s="83" t="str">
        <f t="shared" si="94"/>
        <v/>
      </c>
      <c r="AA842" s="60">
        <f t="shared" si="95"/>
        <v>0</v>
      </c>
      <c r="AB842" s="49">
        <f t="shared" si="96"/>
        <v>0</v>
      </c>
      <c r="AC842" s="60">
        <f t="shared" si="97"/>
        <v>0</v>
      </c>
    </row>
    <row r="843" spans="1:29">
      <c r="A843" s="83" t="str">
        <f t="shared" si="91"/>
        <v/>
      </c>
      <c r="B843" s="83" t="str">
        <f t="shared" si="92"/>
        <v/>
      </c>
      <c r="U843" s="83" t="str">
        <f t="shared" si="93"/>
        <v/>
      </c>
      <c r="V843" s="83" t="str">
        <f t="shared" si="94"/>
        <v/>
      </c>
      <c r="AA843" s="60">
        <f t="shared" si="95"/>
        <v>0</v>
      </c>
      <c r="AB843" s="49">
        <f t="shared" si="96"/>
        <v>0</v>
      </c>
      <c r="AC843" s="60">
        <f t="shared" si="97"/>
        <v>0</v>
      </c>
    </row>
    <row r="844" spans="1:29">
      <c r="A844" s="83" t="str">
        <f t="shared" si="91"/>
        <v/>
      </c>
      <c r="B844" s="83" t="str">
        <f t="shared" si="92"/>
        <v/>
      </c>
      <c r="U844" s="83" t="str">
        <f t="shared" si="93"/>
        <v/>
      </c>
      <c r="V844" s="83" t="str">
        <f t="shared" si="94"/>
        <v/>
      </c>
      <c r="AA844" s="60">
        <f t="shared" si="95"/>
        <v>0</v>
      </c>
      <c r="AB844" s="49">
        <f t="shared" si="96"/>
        <v>0</v>
      </c>
      <c r="AC844" s="60">
        <f t="shared" si="97"/>
        <v>0</v>
      </c>
    </row>
    <row r="845" spans="1:29">
      <c r="A845" s="83" t="str">
        <f t="shared" si="91"/>
        <v/>
      </c>
      <c r="B845" s="83" t="str">
        <f t="shared" si="92"/>
        <v/>
      </c>
      <c r="U845" s="83" t="str">
        <f t="shared" si="93"/>
        <v/>
      </c>
      <c r="V845" s="83" t="str">
        <f t="shared" si="94"/>
        <v/>
      </c>
      <c r="AA845" s="60">
        <f t="shared" si="95"/>
        <v>0</v>
      </c>
      <c r="AB845" s="49">
        <f t="shared" si="96"/>
        <v>0</v>
      </c>
      <c r="AC845" s="60">
        <f t="shared" si="97"/>
        <v>0</v>
      </c>
    </row>
    <row r="846" spans="1:29">
      <c r="A846" s="83" t="str">
        <f t="shared" si="91"/>
        <v/>
      </c>
      <c r="B846" s="83" t="str">
        <f t="shared" si="92"/>
        <v/>
      </c>
      <c r="U846" s="83" t="str">
        <f t="shared" si="93"/>
        <v/>
      </c>
      <c r="V846" s="83" t="str">
        <f t="shared" si="94"/>
        <v/>
      </c>
      <c r="AA846" s="60">
        <f t="shared" si="95"/>
        <v>0</v>
      </c>
      <c r="AB846" s="49">
        <f t="shared" si="96"/>
        <v>0</v>
      </c>
      <c r="AC846" s="60">
        <f t="shared" si="97"/>
        <v>0</v>
      </c>
    </row>
    <row r="847" spans="1:29">
      <c r="A847" s="83" t="str">
        <f t="shared" si="91"/>
        <v/>
      </c>
      <c r="B847" s="83" t="str">
        <f t="shared" si="92"/>
        <v/>
      </c>
      <c r="U847" s="83" t="str">
        <f t="shared" si="93"/>
        <v/>
      </c>
      <c r="V847" s="83" t="str">
        <f t="shared" si="94"/>
        <v/>
      </c>
      <c r="AA847" s="60">
        <f t="shared" si="95"/>
        <v>0</v>
      </c>
      <c r="AB847" s="49">
        <f t="shared" si="96"/>
        <v>0</v>
      </c>
      <c r="AC847" s="60">
        <f t="shared" si="97"/>
        <v>0</v>
      </c>
    </row>
    <row r="848" spans="1:29">
      <c r="A848" s="83" t="str">
        <f t="shared" si="91"/>
        <v/>
      </c>
      <c r="B848" s="83" t="str">
        <f t="shared" si="92"/>
        <v/>
      </c>
      <c r="U848" s="83" t="str">
        <f t="shared" si="93"/>
        <v/>
      </c>
      <c r="V848" s="83" t="str">
        <f t="shared" si="94"/>
        <v/>
      </c>
      <c r="AA848" s="60">
        <f t="shared" si="95"/>
        <v>0</v>
      </c>
      <c r="AB848" s="49">
        <f t="shared" si="96"/>
        <v>0</v>
      </c>
      <c r="AC848" s="60">
        <f t="shared" si="97"/>
        <v>0</v>
      </c>
    </row>
    <row r="849" spans="1:29">
      <c r="A849" s="83" t="str">
        <f t="shared" si="91"/>
        <v/>
      </c>
      <c r="B849" s="83" t="str">
        <f t="shared" si="92"/>
        <v/>
      </c>
      <c r="U849" s="83" t="str">
        <f t="shared" si="93"/>
        <v/>
      </c>
      <c r="V849" s="83" t="str">
        <f t="shared" si="94"/>
        <v/>
      </c>
      <c r="AA849" s="60">
        <f t="shared" si="95"/>
        <v>0</v>
      </c>
      <c r="AB849" s="49">
        <f t="shared" si="96"/>
        <v>0</v>
      </c>
      <c r="AC849" s="60">
        <f t="shared" si="97"/>
        <v>0</v>
      </c>
    </row>
    <row r="850" spans="1:29">
      <c r="A850" s="83" t="str">
        <f t="shared" si="91"/>
        <v/>
      </c>
      <c r="B850" s="83" t="str">
        <f t="shared" si="92"/>
        <v/>
      </c>
      <c r="U850" s="83" t="str">
        <f t="shared" si="93"/>
        <v/>
      </c>
      <c r="V850" s="83" t="str">
        <f t="shared" si="94"/>
        <v/>
      </c>
      <c r="AA850" s="60">
        <f t="shared" si="95"/>
        <v>0</v>
      </c>
      <c r="AB850" s="49">
        <f t="shared" si="96"/>
        <v>0</v>
      </c>
      <c r="AC850" s="60">
        <f t="shared" si="97"/>
        <v>0</v>
      </c>
    </row>
    <row r="851" spans="1:29">
      <c r="A851" s="83" t="str">
        <f t="shared" si="91"/>
        <v/>
      </c>
      <c r="B851" s="83" t="str">
        <f t="shared" si="92"/>
        <v/>
      </c>
      <c r="U851" s="83" t="str">
        <f t="shared" si="93"/>
        <v/>
      </c>
      <c r="V851" s="83" t="str">
        <f t="shared" si="94"/>
        <v/>
      </c>
      <c r="AA851" s="60">
        <f t="shared" si="95"/>
        <v>0</v>
      </c>
      <c r="AB851" s="49">
        <f t="shared" si="96"/>
        <v>0</v>
      </c>
      <c r="AC851" s="60">
        <f t="shared" si="97"/>
        <v>0</v>
      </c>
    </row>
    <row r="852" spans="1:29">
      <c r="A852" s="83" t="str">
        <f t="shared" si="91"/>
        <v/>
      </c>
      <c r="B852" s="83" t="str">
        <f t="shared" si="92"/>
        <v/>
      </c>
      <c r="U852" s="83" t="str">
        <f t="shared" si="93"/>
        <v/>
      </c>
      <c r="V852" s="83" t="str">
        <f t="shared" si="94"/>
        <v/>
      </c>
      <c r="AA852" s="60">
        <f t="shared" si="95"/>
        <v>0</v>
      </c>
      <c r="AB852" s="49">
        <f t="shared" si="96"/>
        <v>0</v>
      </c>
      <c r="AC852" s="60">
        <f t="shared" si="97"/>
        <v>0</v>
      </c>
    </row>
    <row r="853" spans="1:29">
      <c r="A853" s="83" t="str">
        <f t="shared" si="91"/>
        <v/>
      </c>
      <c r="B853" s="83" t="str">
        <f t="shared" si="92"/>
        <v/>
      </c>
      <c r="U853" s="83" t="str">
        <f t="shared" si="93"/>
        <v/>
      </c>
      <c r="V853" s="83" t="str">
        <f t="shared" si="94"/>
        <v/>
      </c>
      <c r="AA853" s="60">
        <f t="shared" si="95"/>
        <v>0</v>
      </c>
      <c r="AB853" s="49">
        <f t="shared" si="96"/>
        <v>0</v>
      </c>
      <c r="AC853" s="60">
        <f t="shared" si="97"/>
        <v>0</v>
      </c>
    </row>
    <row r="854" spans="1:29">
      <c r="A854" s="83" t="str">
        <f t="shared" si="91"/>
        <v/>
      </c>
      <c r="B854" s="83" t="str">
        <f t="shared" si="92"/>
        <v/>
      </c>
      <c r="U854" s="83" t="str">
        <f t="shared" si="93"/>
        <v/>
      </c>
      <c r="V854" s="83" t="str">
        <f t="shared" si="94"/>
        <v/>
      </c>
      <c r="AA854" s="60">
        <f t="shared" si="95"/>
        <v>0</v>
      </c>
      <c r="AB854" s="49">
        <f t="shared" si="96"/>
        <v>0</v>
      </c>
      <c r="AC854" s="60">
        <f t="shared" si="97"/>
        <v>0</v>
      </c>
    </row>
    <row r="855" spans="1:29">
      <c r="A855" s="83" t="str">
        <f t="shared" si="91"/>
        <v/>
      </c>
      <c r="B855" s="83" t="str">
        <f t="shared" si="92"/>
        <v/>
      </c>
      <c r="U855" s="83" t="str">
        <f t="shared" si="93"/>
        <v/>
      </c>
      <c r="V855" s="83" t="str">
        <f t="shared" si="94"/>
        <v/>
      </c>
      <c r="AA855" s="60">
        <f t="shared" si="95"/>
        <v>0</v>
      </c>
      <c r="AB855" s="49">
        <f t="shared" si="96"/>
        <v>0</v>
      </c>
      <c r="AC855" s="60">
        <f t="shared" si="97"/>
        <v>0</v>
      </c>
    </row>
    <row r="856" spans="1:29">
      <c r="A856" s="83" t="str">
        <f t="shared" si="91"/>
        <v/>
      </c>
      <c r="B856" s="83" t="str">
        <f t="shared" si="92"/>
        <v/>
      </c>
      <c r="U856" s="83" t="str">
        <f t="shared" si="93"/>
        <v/>
      </c>
      <c r="V856" s="83" t="str">
        <f t="shared" si="94"/>
        <v/>
      </c>
      <c r="AA856" s="60">
        <f t="shared" si="95"/>
        <v>0</v>
      </c>
      <c r="AB856" s="49">
        <f t="shared" si="96"/>
        <v>0</v>
      </c>
      <c r="AC856" s="60">
        <f t="shared" si="97"/>
        <v>0</v>
      </c>
    </row>
    <row r="857" spans="1:29">
      <c r="A857" s="83" t="str">
        <f t="shared" si="91"/>
        <v/>
      </c>
      <c r="B857" s="83" t="str">
        <f t="shared" si="92"/>
        <v/>
      </c>
      <c r="U857" s="83" t="str">
        <f t="shared" si="93"/>
        <v/>
      </c>
      <c r="V857" s="83" t="str">
        <f t="shared" si="94"/>
        <v/>
      </c>
      <c r="AA857" s="60">
        <f t="shared" si="95"/>
        <v>0</v>
      </c>
      <c r="AB857" s="49">
        <f t="shared" si="96"/>
        <v>0</v>
      </c>
      <c r="AC857" s="60">
        <f t="shared" si="97"/>
        <v>0</v>
      </c>
    </row>
    <row r="858" spans="1:29">
      <c r="A858" s="83" t="str">
        <f t="shared" si="91"/>
        <v/>
      </c>
      <c r="B858" s="83" t="str">
        <f t="shared" si="92"/>
        <v/>
      </c>
      <c r="U858" s="83" t="str">
        <f t="shared" si="93"/>
        <v/>
      </c>
      <c r="V858" s="83" t="str">
        <f t="shared" si="94"/>
        <v/>
      </c>
      <c r="AA858" s="60">
        <f t="shared" si="95"/>
        <v>0</v>
      </c>
      <c r="AB858" s="49">
        <f t="shared" si="96"/>
        <v>0</v>
      </c>
      <c r="AC858" s="60">
        <f t="shared" si="97"/>
        <v>0</v>
      </c>
    </row>
    <row r="859" spans="1:29">
      <c r="A859" s="83" t="str">
        <f t="shared" si="91"/>
        <v/>
      </c>
      <c r="B859" s="83" t="str">
        <f t="shared" si="92"/>
        <v/>
      </c>
      <c r="U859" s="83" t="str">
        <f t="shared" si="93"/>
        <v/>
      </c>
      <c r="V859" s="83" t="str">
        <f t="shared" si="94"/>
        <v/>
      </c>
      <c r="AA859" s="60">
        <f t="shared" si="95"/>
        <v>0</v>
      </c>
      <c r="AB859" s="49">
        <f t="shared" si="96"/>
        <v>0</v>
      </c>
      <c r="AC859" s="60">
        <f t="shared" si="97"/>
        <v>0</v>
      </c>
    </row>
    <row r="860" spans="1:29">
      <c r="A860" s="83" t="str">
        <f t="shared" si="91"/>
        <v/>
      </c>
      <c r="B860" s="83" t="str">
        <f t="shared" si="92"/>
        <v/>
      </c>
      <c r="U860" s="83" t="str">
        <f t="shared" si="93"/>
        <v/>
      </c>
      <c r="V860" s="83" t="str">
        <f t="shared" si="94"/>
        <v/>
      </c>
      <c r="AA860" s="60">
        <f t="shared" si="95"/>
        <v>0</v>
      </c>
      <c r="AB860" s="49">
        <f t="shared" si="96"/>
        <v>0</v>
      </c>
      <c r="AC860" s="60">
        <f t="shared" si="97"/>
        <v>0</v>
      </c>
    </row>
    <row r="861" spans="1:29">
      <c r="A861" s="83" t="str">
        <f t="shared" si="91"/>
        <v/>
      </c>
      <c r="B861" s="83" t="str">
        <f t="shared" si="92"/>
        <v/>
      </c>
      <c r="U861" s="83" t="str">
        <f t="shared" si="93"/>
        <v/>
      </c>
      <c r="V861" s="83" t="str">
        <f t="shared" si="94"/>
        <v/>
      </c>
      <c r="AA861" s="60">
        <f t="shared" si="95"/>
        <v>0</v>
      </c>
      <c r="AB861" s="49">
        <f t="shared" si="96"/>
        <v>0</v>
      </c>
      <c r="AC861" s="60">
        <f t="shared" si="97"/>
        <v>0</v>
      </c>
    </row>
    <row r="862" spans="1:29">
      <c r="A862" s="83" t="str">
        <f t="shared" si="91"/>
        <v/>
      </c>
      <c r="B862" s="83" t="str">
        <f t="shared" si="92"/>
        <v/>
      </c>
      <c r="U862" s="83" t="str">
        <f t="shared" si="93"/>
        <v/>
      </c>
      <c r="V862" s="83" t="str">
        <f t="shared" si="94"/>
        <v/>
      </c>
      <c r="AA862" s="60">
        <f t="shared" si="95"/>
        <v>0</v>
      </c>
      <c r="AB862" s="49">
        <f t="shared" si="96"/>
        <v>0</v>
      </c>
      <c r="AC862" s="60">
        <f t="shared" si="97"/>
        <v>0</v>
      </c>
    </row>
    <row r="863" spans="1:29">
      <c r="A863" s="83" t="str">
        <f t="shared" si="91"/>
        <v/>
      </c>
      <c r="B863" s="83" t="str">
        <f t="shared" si="92"/>
        <v/>
      </c>
      <c r="U863" s="83" t="str">
        <f t="shared" si="93"/>
        <v/>
      </c>
      <c r="V863" s="83" t="str">
        <f t="shared" si="94"/>
        <v/>
      </c>
      <c r="AA863" s="60">
        <f t="shared" si="95"/>
        <v>0</v>
      </c>
      <c r="AB863" s="49">
        <f t="shared" si="96"/>
        <v>0</v>
      </c>
      <c r="AC863" s="60">
        <f t="shared" si="97"/>
        <v>0</v>
      </c>
    </row>
    <row r="864" spans="1:29">
      <c r="A864" s="83" t="str">
        <f t="shared" si="91"/>
        <v/>
      </c>
      <c r="B864" s="83" t="str">
        <f t="shared" si="92"/>
        <v/>
      </c>
      <c r="U864" s="83" t="str">
        <f t="shared" si="93"/>
        <v/>
      </c>
      <c r="V864" s="83" t="str">
        <f t="shared" si="94"/>
        <v/>
      </c>
      <c r="AA864" s="60">
        <f t="shared" si="95"/>
        <v>0</v>
      </c>
      <c r="AB864" s="49">
        <f t="shared" si="96"/>
        <v>0</v>
      </c>
      <c r="AC864" s="60">
        <f t="shared" si="97"/>
        <v>0</v>
      </c>
    </row>
    <row r="865" spans="1:29">
      <c r="A865" s="83" t="str">
        <f t="shared" si="91"/>
        <v/>
      </c>
      <c r="B865" s="83" t="str">
        <f t="shared" si="92"/>
        <v/>
      </c>
      <c r="U865" s="83" t="str">
        <f t="shared" si="93"/>
        <v/>
      </c>
      <c r="V865" s="83" t="str">
        <f t="shared" si="94"/>
        <v/>
      </c>
      <c r="AA865" s="60">
        <f t="shared" si="95"/>
        <v>0</v>
      </c>
      <c r="AB865" s="49">
        <f t="shared" si="96"/>
        <v>0</v>
      </c>
      <c r="AC865" s="60">
        <f t="shared" si="97"/>
        <v>0</v>
      </c>
    </row>
    <row r="866" spans="1:29">
      <c r="A866" s="83" t="str">
        <f t="shared" si="91"/>
        <v/>
      </c>
      <c r="B866" s="83" t="str">
        <f t="shared" si="92"/>
        <v/>
      </c>
      <c r="U866" s="83" t="str">
        <f t="shared" si="93"/>
        <v/>
      </c>
      <c r="V866" s="83" t="str">
        <f t="shared" si="94"/>
        <v/>
      </c>
      <c r="AA866" s="60">
        <f t="shared" si="95"/>
        <v>0</v>
      </c>
      <c r="AB866" s="49">
        <f t="shared" si="96"/>
        <v>0</v>
      </c>
      <c r="AC866" s="60">
        <f t="shared" si="97"/>
        <v>0</v>
      </c>
    </row>
    <row r="867" spans="1:29">
      <c r="A867" s="83" t="str">
        <f t="shared" si="91"/>
        <v/>
      </c>
      <c r="B867" s="83" t="str">
        <f t="shared" si="92"/>
        <v/>
      </c>
      <c r="U867" s="83" t="str">
        <f t="shared" si="93"/>
        <v/>
      </c>
      <c r="V867" s="83" t="str">
        <f t="shared" si="94"/>
        <v/>
      </c>
      <c r="AA867" s="60">
        <f t="shared" si="95"/>
        <v>0</v>
      </c>
      <c r="AB867" s="49">
        <f t="shared" si="96"/>
        <v>0</v>
      </c>
      <c r="AC867" s="60">
        <f t="shared" si="97"/>
        <v>0</v>
      </c>
    </row>
    <row r="868" spans="1:29">
      <c r="A868" s="83" t="str">
        <f t="shared" si="91"/>
        <v/>
      </c>
      <c r="B868" s="83" t="str">
        <f t="shared" si="92"/>
        <v/>
      </c>
      <c r="U868" s="83" t="str">
        <f t="shared" si="93"/>
        <v/>
      </c>
      <c r="V868" s="83" t="str">
        <f t="shared" si="94"/>
        <v/>
      </c>
      <c r="AA868" s="60">
        <f t="shared" si="95"/>
        <v>0</v>
      </c>
      <c r="AB868" s="49">
        <f t="shared" si="96"/>
        <v>0</v>
      </c>
      <c r="AC868" s="60">
        <f t="shared" si="97"/>
        <v>0</v>
      </c>
    </row>
    <row r="869" spans="1:29">
      <c r="A869" s="83" t="str">
        <f t="shared" si="91"/>
        <v/>
      </c>
      <c r="B869" s="83" t="str">
        <f t="shared" si="92"/>
        <v/>
      </c>
      <c r="U869" s="83" t="str">
        <f t="shared" si="93"/>
        <v/>
      </c>
      <c r="V869" s="83" t="str">
        <f t="shared" si="94"/>
        <v/>
      </c>
      <c r="AA869" s="60">
        <f t="shared" si="95"/>
        <v>0</v>
      </c>
      <c r="AB869" s="49">
        <f t="shared" si="96"/>
        <v>0</v>
      </c>
      <c r="AC869" s="60">
        <f t="shared" si="97"/>
        <v>0</v>
      </c>
    </row>
    <row r="870" spans="1:29">
      <c r="A870" s="83" t="str">
        <f t="shared" si="91"/>
        <v/>
      </c>
      <c r="B870" s="83" t="str">
        <f t="shared" si="92"/>
        <v/>
      </c>
      <c r="U870" s="83" t="str">
        <f t="shared" si="93"/>
        <v/>
      </c>
      <c r="V870" s="83" t="str">
        <f t="shared" si="94"/>
        <v/>
      </c>
      <c r="AA870" s="60">
        <f t="shared" si="95"/>
        <v>0</v>
      </c>
      <c r="AB870" s="49">
        <f t="shared" si="96"/>
        <v>0</v>
      </c>
      <c r="AC870" s="60">
        <f t="shared" si="97"/>
        <v>0</v>
      </c>
    </row>
    <row r="871" spans="1:29">
      <c r="A871" s="83" t="str">
        <f t="shared" si="91"/>
        <v/>
      </c>
      <c r="B871" s="83" t="str">
        <f t="shared" si="92"/>
        <v/>
      </c>
      <c r="U871" s="83" t="str">
        <f t="shared" si="93"/>
        <v/>
      </c>
      <c r="V871" s="83" t="str">
        <f t="shared" si="94"/>
        <v/>
      </c>
      <c r="AA871" s="60">
        <f t="shared" si="95"/>
        <v>0</v>
      </c>
      <c r="AB871" s="49">
        <f t="shared" si="96"/>
        <v>0</v>
      </c>
      <c r="AC871" s="60">
        <f t="shared" si="97"/>
        <v>0</v>
      </c>
    </row>
    <row r="872" spans="1:29">
      <c r="A872" s="83" t="str">
        <f t="shared" si="91"/>
        <v/>
      </c>
      <c r="B872" s="83" t="str">
        <f t="shared" si="92"/>
        <v/>
      </c>
      <c r="U872" s="83" t="str">
        <f t="shared" si="93"/>
        <v/>
      </c>
      <c r="V872" s="83" t="str">
        <f t="shared" si="94"/>
        <v/>
      </c>
      <c r="AA872" s="60">
        <f t="shared" si="95"/>
        <v>0</v>
      </c>
      <c r="AB872" s="49">
        <f t="shared" si="96"/>
        <v>0</v>
      </c>
      <c r="AC872" s="60">
        <f t="shared" si="97"/>
        <v>0</v>
      </c>
    </row>
    <row r="873" spans="1:29">
      <c r="A873" s="83" t="str">
        <f t="shared" si="91"/>
        <v/>
      </c>
      <c r="B873" s="83" t="str">
        <f t="shared" si="92"/>
        <v/>
      </c>
      <c r="U873" s="83" t="str">
        <f t="shared" si="93"/>
        <v/>
      </c>
      <c r="V873" s="83" t="str">
        <f t="shared" si="94"/>
        <v/>
      </c>
      <c r="AA873" s="60">
        <f t="shared" si="95"/>
        <v>0</v>
      </c>
      <c r="AB873" s="49">
        <f t="shared" si="96"/>
        <v>0</v>
      </c>
      <c r="AC873" s="60">
        <f t="shared" si="97"/>
        <v>0</v>
      </c>
    </row>
    <row r="874" spans="1:29">
      <c r="A874" s="83" t="str">
        <f t="shared" si="91"/>
        <v/>
      </c>
      <c r="B874" s="83" t="str">
        <f t="shared" si="92"/>
        <v/>
      </c>
      <c r="U874" s="83" t="str">
        <f t="shared" si="93"/>
        <v/>
      </c>
      <c r="V874" s="83" t="str">
        <f t="shared" si="94"/>
        <v/>
      </c>
      <c r="AA874" s="60">
        <f t="shared" si="95"/>
        <v>0</v>
      </c>
      <c r="AB874" s="49">
        <f t="shared" si="96"/>
        <v>0</v>
      </c>
      <c r="AC874" s="60">
        <f t="shared" si="97"/>
        <v>0</v>
      </c>
    </row>
    <row r="875" spans="1:29">
      <c r="A875" s="83" t="str">
        <f t="shared" si="91"/>
        <v/>
      </c>
      <c r="B875" s="83" t="str">
        <f t="shared" si="92"/>
        <v/>
      </c>
      <c r="U875" s="83" t="str">
        <f t="shared" si="93"/>
        <v/>
      </c>
      <c r="V875" s="83" t="str">
        <f t="shared" si="94"/>
        <v/>
      </c>
      <c r="AA875" s="60">
        <f t="shared" si="95"/>
        <v>0</v>
      </c>
      <c r="AB875" s="49">
        <f t="shared" si="96"/>
        <v>0</v>
      </c>
      <c r="AC875" s="60">
        <f t="shared" si="97"/>
        <v>0</v>
      </c>
    </row>
    <row r="876" spans="1:29">
      <c r="A876" s="83" t="str">
        <f t="shared" si="91"/>
        <v/>
      </c>
      <c r="B876" s="83" t="str">
        <f t="shared" si="92"/>
        <v/>
      </c>
      <c r="U876" s="83" t="str">
        <f t="shared" si="93"/>
        <v/>
      </c>
      <c r="V876" s="83" t="str">
        <f t="shared" si="94"/>
        <v/>
      </c>
      <c r="AA876" s="60">
        <f t="shared" si="95"/>
        <v>0</v>
      </c>
      <c r="AB876" s="49">
        <f t="shared" si="96"/>
        <v>0</v>
      </c>
      <c r="AC876" s="60">
        <f t="shared" si="97"/>
        <v>0</v>
      </c>
    </row>
    <row r="877" spans="1:29">
      <c r="A877" s="83" t="str">
        <f t="shared" si="91"/>
        <v/>
      </c>
      <c r="B877" s="83" t="str">
        <f t="shared" si="92"/>
        <v/>
      </c>
      <c r="U877" s="83" t="str">
        <f t="shared" si="93"/>
        <v/>
      </c>
      <c r="V877" s="83" t="str">
        <f t="shared" si="94"/>
        <v/>
      </c>
      <c r="AA877" s="60">
        <f t="shared" si="95"/>
        <v>0</v>
      </c>
      <c r="AB877" s="49">
        <f t="shared" si="96"/>
        <v>0</v>
      </c>
      <c r="AC877" s="60">
        <f t="shared" si="97"/>
        <v>0</v>
      </c>
    </row>
    <row r="878" spans="1:29">
      <c r="A878" s="83" t="str">
        <f t="shared" si="91"/>
        <v/>
      </c>
      <c r="B878" s="83" t="str">
        <f t="shared" si="92"/>
        <v/>
      </c>
      <c r="U878" s="83" t="str">
        <f t="shared" si="93"/>
        <v/>
      </c>
      <c r="V878" s="83" t="str">
        <f t="shared" si="94"/>
        <v/>
      </c>
      <c r="AA878" s="60">
        <f t="shared" si="95"/>
        <v>0</v>
      </c>
      <c r="AB878" s="49">
        <f t="shared" si="96"/>
        <v>0</v>
      </c>
      <c r="AC878" s="60">
        <f t="shared" si="97"/>
        <v>0</v>
      </c>
    </row>
    <row r="879" spans="1:29">
      <c r="A879" s="83" t="str">
        <f t="shared" si="91"/>
        <v/>
      </c>
      <c r="B879" s="83" t="str">
        <f t="shared" si="92"/>
        <v/>
      </c>
      <c r="U879" s="83" t="str">
        <f t="shared" si="93"/>
        <v/>
      </c>
      <c r="V879" s="83" t="str">
        <f t="shared" si="94"/>
        <v/>
      </c>
      <c r="AA879" s="60">
        <f t="shared" si="95"/>
        <v>0</v>
      </c>
      <c r="AB879" s="49">
        <f t="shared" si="96"/>
        <v>0</v>
      </c>
      <c r="AC879" s="60">
        <f t="shared" si="97"/>
        <v>0</v>
      </c>
    </row>
    <row r="880" spans="1:29">
      <c r="A880" s="83" t="str">
        <f t="shared" si="91"/>
        <v/>
      </c>
      <c r="B880" s="83" t="str">
        <f t="shared" si="92"/>
        <v/>
      </c>
      <c r="U880" s="83" t="str">
        <f t="shared" si="93"/>
        <v/>
      </c>
      <c r="V880" s="83" t="str">
        <f t="shared" si="94"/>
        <v/>
      </c>
      <c r="AA880" s="60">
        <f t="shared" si="95"/>
        <v>0</v>
      </c>
      <c r="AB880" s="49">
        <f t="shared" si="96"/>
        <v>0</v>
      </c>
      <c r="AC880" s="60">
        <f t="shared" si="97"/>
        <v>0</v>
      </c>
    </row>
    <row r="881" spans="1:29">
      <c r="A881" s="83" t="str">
        <f t="shared" si="91"/>
        <v/>
      </c>
      <c r="B881" s="83" t="str">
        <f t="shared" si="92"/>
        <v/>
      </c>
      <c r="U881" s="83" t="str">
        <f t="shared" si="93"/>
        <v/>
      </c>
      <c r="V881" s="83" t="str">
        <f t="shared" si="94"/>
        <v/>
      </c>
      <c r="AA881" s="60">
        <f t="shared" si="95"/>
        <v>0</v>
      </c>
      <c r="AB881" s="49">
        <f t="shared" si="96"/>
        <v>0</v>
      </c>
      <c r="AC881" s="60">
        <f t="shared" si="97"/>
        <v>0</v>
      </c>
    </row>
    <row r="882" spans="1:29">
      <c r="A882" s="83" t="str">
        <f t="shared" si="91"/>
        <v/>
      </c>
      <c r="B882" s="83" t="str">
        <f t="shared" si="92"/>
        <v/>
      </c>
      <c r="U882" s="83" t="str">
        <f t="shared" si="93"/>
        <v/>
      </c>
      <c r="V882" s="83" t="str">
        <f t="shared" si="94"/>
        <v/>
      </c>
      <c r="AA882" s="60">
        <f t="shared" si="95"/>
        <v>0</v>
      </c>
      <c r="AB882" s="49">
        <f t="shared" si="96"/>
        <v>0</v>
      </c>
      <c r="AC882" s="60">
        <f t="shared" si="97"/>
        <v>0</v>
      </c>
    </row>
    <row r="883" spans="1:29">
      <c r="A883" s="83" t="str">
        <f t="shared" si="91"/>
        <v/>
      </c>
      <c r="B883" s="83" t="str">
        <f t="shared" si="92"/>
        <v/>
      </c>
      <c r="U883" s="83" t="str">
        <f t="shared" si="93"/>
        <v/>
      </c>
      <c r="V883" s="83" t="str">
        <f t="shared" si="94"/>
        <v/>
      </c>
      <c r="AA883" s="60">
        <f t="shared" si="95"/>
        <v>0</v>
      </c>
      <c r="AB883" s="49">
        <f t="shared" si="96"/>
        <v>0</v>
      </c>
      <c r="AC883" s="60">
        <f t="shared" si="97"/>
        <v>0</v>
      </c>
    </row>
    <row r="884" spans="1:29">
      <c r="A884" s="83" t="str">
        <f t="shared" si="91"/>
        <v/>
      </c>
      <c r="B884" s="83" t="str">
        <f t="shared" si="92"/>
        <v/>
      </c>
      <c r="U884" s="83" t="str">
        <f t="shared" si="93"/>
        <v/>
      </c>
      <c r="V884" s="83" t="str">
        <f t="shared" si="94"/>
        <v/>
      </c>
      <c r="AA884" s="60">
        <f t="shared" si="95"/>
        <v>0</v>
      </c>
      <c r="AB884" s="49">
        <f t="shared" si="96"/>
        <v>0</v>
      </c>
      <c r="AC884" s="60">
        <f t="shared" si="97"/>
        <v>0</v>
      </c>
    </row>
    <row r="885" spans="1:29">
      <c r="A885" s="83" t="str">
        <f t="shared" si="91"/>
        <v/>
      </c>
      <c r="B885" s="83" t="str">
        <f t="shared" si="92"/>
        <v/>
      </c>
      <c r="U885" s="83" t="str">
        <f t="shared" si="93"/>
        <v/>
      </c>
      <c r="V885" s="83" t="str">
        <f t="shared" si="94"/>
        <v/>
      </c>
      <c r="AA885" s="60">
        <f t="shared" si="95"/>
        <v>0</v>
      </c>
      <c r="AB885" s="49">
        <f t="shared" si="96"/>
        <v>0</v>
      </c>
      <c r="AC885" s="60">
        <f t="shared" si="97"/>
        <v>0</v>
      </c>
    </row>
    <row r="886" spans="1:29">
      <c r="A886" s="83" t="str">
        <f t="shared" si="91"/>
        <v/>
      </c>
      <c r="B886" s="83" t="str">
        <f t="shared" si="92"/>
        <v/>
      </c>
      <c r="U886" s="83" t="str">
        <f t="shared" si="93"/>
        <v/>
      </c>
      <c r="V886" s="83" t="str">
        <f t="shared" si="94"/>
        <v/>
      </c>
      <c r="AA886" s="60">
        <f t="shared" si="95"/>
        <v>0</v>
      </c>
      <c r="AB886" s="49">
        <f t="shared" si="96"/>
        <v>0</v>
      </c>
      <c r="AC886" s="60">
        <f t="shared" si="97"/>
        <v>0</v>
      </c>
    </row>
    <row r="887" spans="1:29">
      <c r="A887" s="83" t="str">
        <f t="shared" si="91"/>
        <v/>
      </c>
      <c r="B887" s="83" t="str">
        <f t="shared" si="92"/>
        <v/>
      </c>
      <c r="U887" s="83" t="str">
        <f t="shared" si="93"/>
        <v/>
      </c>
      <c r="V887" s="83" t="str">
        <f t="shared" si="94"/>
        <v/>
      </c>
      <c r="AA887" s="60">
        <f t="shared" si="95"/>
        <v>0</v>
      </c>
      <c r="AB887" s="49">
        <f t="shared" si="96"/>
        <v>0</v>
      </c>
      <c r="AC887" s="60">
        <f t="shared" si="97"/>
        <v>0</v>
      </c>
    </row>
    <row r="888" spans="1:29">
      <c r="A888" s="83" t="str">
        <f t="shared" si="91"/>
        <v/>
      </c>
      <c r="B888" s="83" t="str">
        <f t="shared" si="92"/>
        <v/>
      </c>
      <c r="U888" s="83" t="str">
        <f t="shared" si="93"/>
        <v/>
      </c>
      <c r="V888" s="83" t="str">
        <f t="shared" si="94"/>
        <v/>
      </c>
      <c r="AA888" s="60">
        <f t="shared" si="95"/>
        <v>0</v>
      </c>
      <c r="AB888" s="49">
        <f t="shared" si="96"/>
        <v>0</v>
      </c>
      <c r="AC888" s="60">
        <f t="shared" si="97"/>
        <v>0</v>
      </c>
    </row>
    <row r="889" spans="1:29">
      <c r="A889" s="83" t="str">
        <f t="shared" si="91"/>
        <v/>
      </c>
      <c r="B889" s="83" t="str">
        <f t="shared" si="92"/>
        <v/>
      </c>
      <c r="U889" s="83" t="str">
        <f t="shared" si="93"/>
        <v/>
      </c>
      <c r="V889" s="83" t="str">
        <f t="shared" si="94"/>
        <v/>
      </c>
      <c r="AA889" s="60">
        <f t="shared" si="95"/>
        <v>0</v>
      </c>
      <c r="AB889" s="49">
        <f t="shared" si="96"/>
        <v>0</v>
      </c>
      <c r="AC889" s="60">
        <f t="shared" si="97"/>
        <v>0</v>
      </c>
    </row>
    <row r="890" spans="1:29">
      <c r="A890" s="83" t="str">
        <f t="shared" si="91"/>
        <v/>
      </c>
      <c r="B890" s="83" t="str">
        <f t="shared" si="92"/>
        <v/>
      </c>
      <c r="U890" s="83" t="str">
        <f t="shared" si="93"/>
        <v/>
      </c>
      <c r="V890" s="83" t="str">
        <f t="shared" si="94"/>
        <v/>
      </c>
      <c r="AA890" s="60">
        <f t="shared" si="95"/>
        <v>0</v>
      </c>
      <c r="AB890" s="49">
        <f t="shared" si="96"/>
        <v>0</v>
      </c>
      <c r="AC890" s="60">
        <f t="shared" si="97"/>
        <v>0</v>
      </c>
    </row>
    <row r="891" spans="1:29">
      <c r="A891" s="83" t="str">
        <f t="shared" si="91"/>
        <v/>
      </c>
      <c r="B891" s="83" t="str">
        <f t="shared" si="92"/>
        <v/>
      </c>
      <c r="U891" s="83" t="str">
        <f t="shared" si="93"/>
        <v/>
      </c>
      <c r="V891" s="83" t="str">
        <f t="shared" si="94"/>
        <v/>
      </c>
      <c r="AA891" s="60">
        <f t="shared" si="95"/>
        <v>0</v>
      </c>
      <c r="AB891" s="49">
        <f t="shared" si="96"/>
        <v>0</v>
      </c>
      <c r="AC891" s="60">
        <f t="shared" si="97"/>
        <v>0</v>
      </c>
    </row>
    <row r="892" spans="1:29">
      <c r="A892" s="83" t="str">
        <f t="shared" si="91"/>
        <v/>
      </c>
      <c r="B892" s="83" t="str">
        <f t="shared" si="92"/>
        <v/>
      </c>
      <c r="U892" s="83" t="str">
        <f t="shared" si="93"/>
        <v/>
      </c>
      <c r="V892" s="83" t="str">
        <f t="shared" si="94"/>
        <v/>
      </c>
      <c r="AA892" s="60">
        <f t="shared" si="95"/>
        <v>0</v>
      </c>
      <c r="AB892" s="49">
        <f t="shared" si="96"/>
        <v>0</v>
      </c>
      <c r="AC892" s="60">
        <f t="shared" si="97"/>
        <v>0</v>
      </c>
    </row>
    <row r="893" spans="1:29">
      <c r="A893" s="83" t="str">
        <f t="shared" si="91"/>
        <v/>
      </c>
      <c r="B893" s="83" t="str">
        <f t="shared" si="92"/>
        <v/>
      </c>
      <c r="U893" s="83" t="str">
        <f t="shared" si="93"/>
        <v/>
      </c>
      <c r="V893" s="83" t="str">
        <f t="shared" si="94"/>
        <v/>
      </c>
      <c r="AA893" s="60">
        <f t="shared" si="95"/>
        <v>0</v>
      </c>
      <c r="AB893" s="49">
        <f t="shared" si="96"/>
        <v>0</v>
      </c>
      <c r="AC893" s="60">
        <f t="shared" si="97"/>
        <v>0</v>
      </c>
    </row>
    <row r="894" spans="1:29">
      <c r="A894" s="83" t="str">
        <f t="shared" si="91"/>
        <v/>
      </c>
      <c r="B894" s="83" t="str">
        <f t="shared" si="92"/>
        <v/>
      </c>
      <c r="U894" s="83" t="str">
        <f t="shared" si="93"/>
        <v/>
      </c>
      <c r="V894" s="83" t="str">
        <f t="shared" si="94"/>
        <v/>
      </c>
      <c r="AA894" s="60">
        <f t="shared" si="95"/>
        <v>0</v>
      </c>
      <c r="AB894" s="49">
        <f t="shared" si="96"/>
        <v>0</v>
      </c>
      <c r="AC894" s="60">
        <f t="shared" si="97"/>
        <v>0</v>
      </c>
    </row>
    <row r="895" spans="1:29">
      <c r="A895" s="83" t="str">
        <f t="shared" si="91"/>
        <v/>
      </c>
      <c r="B895" s="83" t="str">
        <f t="shared" si="92"/>
        <v/>
      </c>
      <c r="U895" s="83" t="str">
        <f t="shared" si="93"/>
        <v/>
      </c>
      <c r="V895" s="83" t="str">
        <f t="shared" si="94"/>
        <v/>
      </c>
      <c r="AA895" s="60">
        <f t="shared" si="95"/>
        <v>0</v>
      </c>
      <c r="AB895" s="49">
        <f t="shared" si="96"/>
        <v>0</v>
      </c>
      <c r="AC895" s="60">
        <f t="shared" si="97"/>
        <v>0</v>
      </c>
    </row>
    <row r="896" spans="1:29">
      <c r="A896" s="83" t="str">
        <f t="shared" si="91"/>
        <v/>
      </c>
      <c r="B896" s="83" t="str">
        <f t="shared" si="92"/>
        <v/>
      </c>
      <c r="U896" s="83" t="str">
        <f t="shared" si="93"/>
        <v/>
      </c>
      <c r="V896" s="83" t="str">
        <f t="shared" si="94"/>
        <v/>
      </c>
      <c r="AA896" s="60">
        <f t="shared" si="95"/>
        <v>0</v>
      </c>
      <c r="AB896" s="49">
        <f t="shared" si="96"/>
        <v>0</v>
      </c>
      <c r="AC896" s="60">
        <f t="shared" si="97"/>
        <v>0</v>
      </c>
    </row>
    <row r="897" spans="1:29">
      <c r="A897" s="83" t="str">
        <f t="shared" si="91"/>
        <v/>
      </c>
      <c r="B897" s="83" t="str">
        <f t="shared" si="92"/>
        <v/>
      </c>
      <c r="U897" s="83" t="str">
        <f t="shared" si="93"/>
        <v/>
      </c>
      <c r="V897" s="83" t="str">
        <f t="shared" si="94"/>
        <v/>
      </c>
      <c r="AA897" s="60">
        <f t="shared" si="95"/>
        <v>0</v>
      </c>
      <c r="AB897" s="49">
        <f t="shared" si="96"/>
        <v>0</v>
      </c>
      <c r="AC897" s="60">
        <f t="shared" si="97"/>
        <v>0</v>
      </c>
    </row>
    <row r="898" spans="1:29">
      <c r="A898" s="83" t="str">
        <f t="shared" si="91"/>
        <v/>
      </c>
      <c r="B898" s="83" t="str">
        <f t="shared" si="92"/>
        <v/>
      </c>
      <c r="U898" s="83" t="str">
        <f t="shared" si="93"/>
        <v/>
      </c>
      <c r="V898" s="83" t="str">
        <f t="shared" si="94"/>
        <v/>
      </c>
      <c r="AA898" s="60">
        <f t="shared" si="95"/>
        <v>0</v>
      </c>
      <c r="AB898" s="49">
        <f t="shared" si="96"/>
        <v>0</v>
      </c>
      <c r="AC898" s="60">
        <f t="shared" si="97"/>
        <v>0</v>
      </c>
    </row>
    <row r="899" spans="1:29">
      <c r="A899" s="83" t="str">
        <f t="shared" ref="A899:A962" si="98">IF(G899&amp;Q899&lt;&gt;"",U899&amp;Q899,"")</f>
        <v/>
      </c>
      <c r="B899" s="83" t="str">
        <f t="shared" ref="B899:B962" si="99">IF(C899&lt;&gt;"",LEFT(C899,9),"")</f>
        <v/>
      </c>
      <c r="U899" s="83" t="str">
        <f t="shared" ref="U899:U962" si="100">IF(G899&lt;&gt;"",IF(StyleSpaceSplit,IFERROR(IF(FIND(" ",G899)&gt;=1,MID(G899,1,FIND(" ",G899)-1),G899),G899),G899),"")</f>
        <v/>
      </c>
      <c r="V899" s="83" t="str">
        <f t="shared" ref="V899:V962" si="101">IF(A899&lt;&gt;"",IFERROR(IF(FIND(" ",G899)&gt;=1,MID(G899,FIND(" ",G899)+1,LEN(G899)),""),G899),"")</f>
        <v/>
      </c>
      <c r="AA899" s="60">
        <f t="shared" ref="AA899:AA962" si="102">IFERROR(VALUE(MID($C899,1,2)),0)</f>
        <v>0</v>
      </c>
      <c r="AB899" s="49">
        <f t="shared" ref="AB899:AB962" si="103">IFERROR(VALUE(MID($C899,4,3)),0)</f>
        <v>0</v>
      </c>
      <c r="AC899" s="60">
        <f t="shared" ref="AC899:AC962" si="104">VALUE(RIGHT("00"&amp;AA899,2)&amp;RIGHT("000"&amp;AB899,3))</f>
        <v>0</v>
      </c>
    </row>
    <row r="900" spans="1:29">
      <c r="A900" s="83" t="str">
        <f t="shared" si="98"/>
        <v/>
      </c>
      <c r="B900" s="83" t="str">
        <f t="shared" si="99"/>
        <v/>
      </c>
      <c r="U900" s="83" t="str">
        <f t="shared" si="100"/>
        <v/>
      </c>
      <c r="V900" s="83" t="str">
        <f t="shared" si="101"/>
        <v/>
      </c>
      <c r="AA900" s="60">
        <f t="shared" si="102"/>
        <v>0</v>
      </c>
      <c r="AB900" s="49">
        <f t="shared" si="103"/>
        <v>0</v>
      </c>
      <c r="AC900" s="60">
        <f t="shared" si="104"/>
        <v>0</v>
      </c>
    </row>
    <row r="901" spans="1:29">
      <c r="A901" s="83" t="str">
        <f t="shared" si="98"/>
        <v/>
      </c>
      <c r="B901" s="83" t="str">
        <f t="shared" si="99"/>
        <v/>
      </c>
      <c r="U901" s="83" t="str">
        <f t="shared" si="100"/>
        <v/>
      </c>
      <c r="V901" s="83" t="str">
        <f t="shared" si="101"/>
        <v/>
      </c>
      <c r="AA901" s="60">
        <f t="shared" si="102"/>
        <v>0</v>
      </c>
      <c r="AB901" s="49">
        <f t="shared" si="103"/>
        <v>0</v>
      </c>
      <c r="AC901" s="60">
        <f t="shared" si="104"/>
        <v>0</v>
      </c>
    </row>
    <row r="902" spans="1:29">
      <c r="A902" s="83" t="str">
        <f t="shared" si="98"/>
        <v/>
      </c>
      <c r="B902" s="83" t="str">
        <f t="shared" si="99"/>
        <v/>
      </c>
      <c r="U902" s="83" t="str">
        <f t="shared" si="100"/>
        <v/>
      </c>
      <c r="V902" s="83" t="str">
        <f t="shared" si="101"/>
        <v/>
      </c>
      <c r="AA902" s="60">
        <f t="shared" si="102"/>
        <v>0</v>
      </c>
      <c r="AB902" s="49">
        <f t="shared" si="103"/>
        <v>0</v>
      </c>
      <c r="AC902" s="60">
        <f t="shared" si="104"/>
        <v>0</v>
      </c>
    </row>
    <row r="903" spans="1:29">
      <c r="A903" s="83" t="str">
        <f t="shared" si="98"/>
        <v/>
      </c>
      <c r="B903" s="83" t="str">
        <f t="shared" si="99"/>
        <v/>
      </c>
      <c r="U903" s="83" t="str">
        <f t="shared" si="100"/>
        <v/>
      </c>
      <c r="V903" s="83" t="str">
        <f t="shared" si="101"/>
        <v/>
      </c>
      <c r="AA903" s="60">
        <f t="shared" si="102"/>
        <v>0</v>
      </c>
      <c r="AB903" s="49">
        <f t="shared" si="103"/>
        <v>0</v>
      </c>
      <c r="AC903" s="60">
        <f t="shared" si="104"/>
        <v>0</v>
      </c>
    </row>
    <row r="904" spans="1:29">
      <c r="A904" s="83" t="str">
        <f t="shared" si="98"/>
        <v/>
      </c>
      <c r="B904" s="83" t="str">
        <f t="shared" si="99"/>
        <v/>
      </c>
      <c r="U904" s="83" t="str">
        <f t="shared" si="100"/>
        <v/>
      </c>
      <c r="V904" s="83" t="str">
        <f t="shared" si="101"/>
        <v/>
      </c>
      <c r="AA904" s="60">
        <f t="shared" si="102"/>
        <v>0</v>
      </c>
      <c r="AB904" s="49">
        <f t="shared" si="103"/>
        <v>0</v>
      </c>
      <c r="AC904" s="60">
        <f t="shared" si="104"/>
        <v>0</v>
      </c>
    </row>
    <row r="905" spans="1:29">
      <c r="A905" s="83" t="str">
        <f t="shared" si="98"/>
        <v/>
      </c>
      <c r="B905" s="83" t="str">
        <f t="shared" si="99"/>
        <v/>
      </c>
      <c r="U905" s="83" t="str">
        <f t="shared" si="100"/>
        <v/>
      </c>
      <c r="V905" s="83" t="str">
        <f t="shared" si="101"/>
        <v/>
      </c>
      <c r="AA905" s="60">
        <f t="shared" si="102"/>
        <v>0</v>
      </c>
      <c r="AB905" s="49">
        <f t="shared" si="103"/>
        <v>0</v>
      </c>
      <c r="AC905" s="60">
        <f t="shared" si="104"/>
        <v>0</v>
      </c>
    </row>
    <row r="906" spans="1:29">
      <c r="A906" s="83" t="str">
        <f t="shared" si="98"/>
        <v/>
      </c>
      <c r="B906" s="83" t="str">
        <f t="shared" si="99"/>
        <v/>
      </c>
      <c r="U906" s="83" t="str">
        <f t="shared" si="100"/>
        <v/>
      </c>
      <c r="V906" s="83" t="str">
        <f t="shared" si="101"/>
        <v/>
      </c>
      <c r="AA906" s="60">
        <f t="shared" si="102"/>
        <v>0</v>
      </c>
      <c r="AB906" s="49">
        <f t="shared" si="103"/>
        <v>0</v>
      </c>
      <c r="AC906" s="60">
        <f t="shared" si="104"/>
        <v>0</v>
      </c>
    </row>
    <row r="907" spans="1:29">
      <c r="A907" s="83" t="str">
        <f t="shared" si="98"/>
        <v/>
      </c>
      <c r="B907" s="83" t="str">
        <f t="shared" si="99"/>
        <v/>
      </c>
      <c r="U907" s="83" t="str">
        <f t="shared" si="100"/>
        <v/>
      </c>
      <c r="V907" s="83" t="str">
        <f t="shared" si="101"/>
        <v/>
      </c>
      <c r="AA907" s="60">
        <f t="shared" si="102"/>
        <v>0</v>
      </c>
      <c r="AB907" s="49">
        <f t="shared" si="103"/>
        <v>0</v>
      </c>
      <c r="AC907" s="60">
        <f t="shared" si="104"/>
        <v>0</v>
      </c>
    </row>
    <row r="908" spans="1:29">
      <c r="A908" s="83" t="str">
        <f t="shared" si="98"/>
        <v/>
      </c>
      <c r="B908" s="83" t="str">
        <f t="shared" si="99"/>
        <v/>
      </c>
      <c r="U908" s="83" t="str">
        <f t="shared" si="100"/>
        <v/>
      </c>
      <c r="V908" s="83" t="str">
        <f t="shared" si="101"/>
        <v/>
      </c>
      <c r="AA908" s="60">
        <f t="shared" si="102"/>
        <v>0</v>
      </c>
      <c r="AB908" s="49">
        <f t="shared" si="103"/>
        <v>0</v>
      </c>
      <c r="AC908" s="60">
        <f t="shared" si="104"/>
        <v>0</v>
      </c>
    </row>
    <row r="909" spans="1:29">
      <c r="A909" s="83" t="str">
        <f t="shared" si="98"/>
        <v/>
      </c>
      <c r="B909" s="83" t="str">
        <f t="shared" si="99"/>
        <v/>
      </c>
      <c r="U909" s="83" t="str">
        <f t="shared" si="100"/>
        <v/>
      </c>
      <c r="V909" s="83" t="str">
        <f t="shared" si="101"/>
        <v/>
      </c>
      <c r="AA909" s="60">
        <f t="shared" si="102"/>
        <v>0</v>
      </c>
      <c r="AB909" s="49">
        <f t="shared" si="103"/>
        <v>0</v>
      </c>
      <c r="AC909" s="60">
        <f t="shared" si="104"/>
        <v>0</v>
      </c>
    </row>
    <row r="910" spans="1:29">
      <c r="A910" s="83" t="str">
        <f t="shared" si="98"/>
        <v/>
      </c>
      <c r="B910" s="83" t="str">
        <f t="shared" si="99"/>
        <v/>
      </c>
      <c r="U910" s="83" t="str">
        <f t="shared" si="100"/>
        <v/>
      </c>
      <c r="V910" s="83" t="str">
        <f t="shared" si="101"/>
        <v/>
      </c>
      <c r="AA910" s="60">
        <f t="shared" si="102"/>
        <v>0</v>
      </c>
      <c r="AB910" s="49">
        <f t="shared" si="103"/>
        <v>0</v>
      </c>
      <c r="AC910" s="60">
        <f t="shared" si="104"/>
        <v>0</v>
      </c>
    </row>
    <row r="911" spans="1:29">
      <c r="A911" s="83" t="str">
        <f t="shared" si="98"/>
        <v/>
      </c>
      <c r="B911" s="83" t="str">
        <f t="shared" si="99"/>
        <v/>
      </c>
      <c r="U911" s="83" t="str">
        <f t="shared" si="100"/>
        <v/>
      </c>
      <c r="V911" s="83" t="str">
        <f t="shared" si="101"/>
        <v/>
      </c>
      <c r="AA911" s="60">
        <f t="shared" si="102"/>
        <v>0</v>
      </c>
      <c r="AB911" s="49">
        <f t="shared" si="103"/>
        <v>0</v>
      </c>
      <c r="AC911" s="60">
        <f t="shared" si="104"/>
        <v>0</v>
      </c>
    </row>
    <row r="912" spans="1:29">
      <c r="A912" s="83" t="str">
        <f t="shared" si="98"/>
        <v/>
      </c>
      <c r="B912" s="83" t="str">
        <f t="shared" si="99"/>
        <v/>
      </c>
      <c r="U912" s="83" t="str">
        <f t="shared" si="100"/>
        <v/>
      </c>
      <c r="V912" s="83" t="str">
        <f t="shared" si="101"/>
        <v/>
      </c>
      <c r="AA912" s="60">
        <f t="shared" si="102"/>
        <v>0</v>
      </c>
      <c r="AB912" s="49">
        <f t="shared" si="103"/>
        <v>0</v>
      </c>
      <c r="AC912" s="60">
        <f t="shared" si="104"/>
        <v>0</v>
      </c>
    </row>
    <row r="913" spans="1:29">
      <c r="A913" s="83" t="str">
        <f t="shared" si="98"/>
        <v/>
      </c>
      <c r="B913" s="83" t="str">
        <f t="shared" si="99"/>
        <v/>
      </c>
      <c r="U913" s="83" t="str">
        <f t="shared" si="100"/>
        <v/>
      </c>
      <c r="V913" s="83" t="str">
        <f t="shared" si="101"/>
        <v/>
      </c>
      <c r="AA913" s="60">
        <f t="shared" si="102"/>
        <v>0</v>
      </c>
      <c r="AB913" s="49">
        <f t="shared" si="103"/>
        <v>0</v>
      </c>
      <c r="AC913" s="60">
        <f t="shared" si="104"/>
        <v>0</v>
      </c>
    </row>
    <row r="914" spans="1:29">
      <c r="A914" s="83" t="str">
        <f t="shared" si="98"/>
        <v/>
      </c>
      <c r="B914" s="83" t="str">
        <f t="shared" si="99"/>
        <v/>
      </c>
      <c r="U914" s="83" t="str">
        <f t="shared" si="100"/>
        <v/>
      </c>
      <c r="V914" s="83" t="str">
        <f t="shared" si="101"/>
        <v/>
      </c>
      <c r="AA914" s="60">
        <f t="shared" si="102"/>
        <v>0</v>
      </c>
      <c r="AB914" s="49">
        <f t="shared" si="103"/>
        <v>0</v>
      </c>
      <c r="AC914" s="60">
        <f t="shared" si="104"/>
        <v>0</v>
      </c>
    </row>
    <row r="915" spans="1:29">
      <c r="A915" s="83" t="str">
        <f t="shared" si="98"/>
        <v/>
      </c>
      <c r="B915" s="83" t="str">
        <f t="shared" si="99"/>
        <v/>
      </c>
      <c r="U915" s="83" t="str">
        <f t="shared" si="100"/>
        <v/>
      </c>
      <c r="V915" s="83" t="str">
        <f t="shared" si="101"/>
        <v/>
      </c>
      <c r="AA915" s="60">
        <f t="shared" si="102"/>
        <v>0</v>
      </c>
      <c r="AB915" s="49">
        <f t="shared" si="103"/>
        <v>0</v>
      </c>
      <c r="AC915" s="60">
        <f t="shared" si="104"/>
        <v>0</v>
      </c>
    </row>
    <row r="916" spans="1:29">
      <c r="A916" s="83" t="str">
        <f t="shared" si="98"/>
        <v/>
      </c>
      <c r="B916" s="83" t="str">
        <f t="shared" si="99"/>
        <v/>
      </c>
      <c r="U916" s="83" t="str">
        <f t="shared" si="100"/>
        <v/>
      </c>
      <c r="V916" s="83" t="str">
        <f t="shared" si="101"/>
        <v/>
      </c>
      <c r="AA916" s="60">
        <f t="shared" si="102"/>
        <v>0</v>
      </c>
      <c r="AB916" s="49">
        <f t="shared" si="103"/>
        <v>0</v>
      </c>
      <c r="AC916" s="60">
        <f t="shared" si="104"/>
        <v>0</v>
      </c>
    </row>
    <row r="917" spans="1:29">
      <c r="A917" s="83" t="str">
        <f t="shared" si="98"/>
        <v/>
      </c>
      <c r="B917" s="83" t="str">
        <f t="shared" si="99"/>
        <v/>
      </c>
      <c r="U917" s="83" t="str">
        <f t="shared" si="100"/>
        <v/>
      </c>
      <c r="V917" s="83" t="str">
        <f t="shared" si="101"/>
        <v/>
      </c>
      <c r="AA917" s="60">
        <f t="shared" si="102"/>
        <v>0</v>
      </c>
      <c r="AB917" s="49">
        <f t="shared" si="103"/>
        <v>0</v>
      </c>
      <c r="AC917" s="60">
        <f t="shared" si="104"/>
        <v>0</v>
      </c>
    </row>
    <row r="918" spans="1:29">
      <c r="A918" s="83" t="str">
        <f t="shared" si="98"/>
        <v/>
      </c>
      <c r="B918" s="83" t="str">
        <f t="shared" si="99"/>
        <v/>
      </c>
      <c r="U918" s="83" t="str">
        <f t="shared" si="100"/>
        <v/>
      </c>
      <c r="V918" s="83" t="str">
        <f t="shared" si="101"/>
        <v/>
      </c>
      <c r="AA918" s="60">
        <f t="shared" si="102"/>
        <v>0</v>
      </c>
      <c r="AB918" s="49">
        <f t="shared" si="103"/>
        <v>0</v>
      </c>
      <c r="AC918" s="60">
        <f t="shared" si="104"/>
        <v>0</v>
      </c>
    </row>
    <row r="919" spans="1:29">
      <c r="A919" s="83" t="str">
        <f t="shared" si="98"/>
        <v/>
      </c>
      <c r="B919" s="83" t="str">
        <f t="shared" si="99"/>
        <v/>
      </c>
      <c r="U919" s="83" t="str">
        <f t="shared" si="100"/>
        <v/>
      </c>
      <c r="V919" s="83" t="str">
        <f t="shared" si="101"/>
        <v/>
      </c>
      <c r="AA919" s="60">
        <f t="shared" si="102"/>
        <v>0</v>
      </c>
      <c r="AB919" s="49">
        <f t="shared" si="103"/>
        <v>0</v>
      </c>
      <c r="AC919" s="60">
        <f t="shared" si="104"/>
        <v>0</v>
      </c>
    </row>
    <row r="920" spans="1:29">
      <c r="A920" s="83" t="str">
        <f t="shared" si="98"/>
        <v/>
      </c>
      <c r="B920" s="83" t="str">
        <f t="shared" si="99"/>
        <v/>
      </c>
      <c r="U920" s="83" t="str">
        <f t="shared" si="100"/>
        <v/>
      </c>
      <c r="V920" s="83" t="str">
        <f t="shared" si="101"/>
        <v/>
      </c>
      <c r="AA920" s="60">
        <f t="shared" si="102"/>
        <v>0</v>
      </c>
      <c r="AB920" s="49">
        <f t="shared" si="103"/>
        <v>0</v>
      </c>
      <c r="AC920" s="60">
        <f t="shared" si="104"/>
        <v>0</v>
      </c>
    </row>
    <row r="921" spans="1:29">
      <c r="A921" s="83" t="str">
        <f t="shared" si="98"/>
        <v/>
      </c>
      <c r="B921" s="83" t="str">
        <f t="shared" si="99"/>
        <v/>
      </c>
      <c r="U921" s="83" t="str">
        <f t="shared" si="100"/>
        <v/>
      </c>
      <c r="V921" s="83" t="str">
        <f t="shared" si="101"/>
        <v/>
      </c>
      <c r="AA921" s="60">
        <f t="shared" si="102"/>
        <v>0</v>
      </c>
      <c r="AB921" s="49">
        <f t="shared" si="103"/>
        <v>0</v>
      </c>
      <c r="AC921" s="60">
        <f t="shared" si="104"/>
        <v>0</v>
      </c>
    </row>
    <row r="922" spans="1:29">
      <c r="A922" s="83" t="str">
        <f t="shared" si="98"/>
        <v/>
      </c>
      <c r="B922" s="83" t="str">
        <f t="shared" si="99"/>
        <v/>
      </c>
      <c r="U922" s="83" t="str">
        <f t="shared" si="100"/>
        <v/>
      </c>
      <c r="V922" s="83" t="str">
        <f t="shared" si="101"/>
        <v/>
      </c>
      <c r="AA922" s="60">
        <f t="shared" si="102"/>
        <v>0</v>
      </c>
      <c r="AB922" s="49">
        <f t="shared" si="103"/>
        <v>0</v>
      </c>
      <c r="AC922" s="60">
        <f t="shared" si="104"/>
        <v>0</v>
      </c>
    </row>
    <row r="923" spans="1:29">
      <c r="A923" s="83" t="str">
        <f t="shared" si="98"/>
        <v/>
      </c>
      <c r="B923" s="83" t="str">
        <f t="shared" si="99"/>
        <v/>
      </c>
      <c r="U923" s="83" t="str">
        <f t="shared" si="100"/>
        <v/>
      </c>
      <c r="V923" s="83" t="str">
        <f t="shared" si="101"/>
        <v/>
      </c>
      <c r="AA923" s="60">
        <f t="shared" si="102"/>
        <v>0</v>
      </c>
      <c r="AB923" s="49">
        <f t="shared" si="103"/>
        <v>0</v>
      </c>
      <c r="AC923" s="60">
        <f t="shared" si="104"/>
        <v>0</v>
      </c>
    </row>
    <row r="924" spans="1:29">
      <c r="A924" s="83" t="str">
        <f t="shared" si="98"/>
        <v/>
      </c>
      <c r="B924" s="83" t="str">
        <f t="shared" si="99"/>
        <v/>
      </c>
      <c r="U924" s="83" t="str">
        <f t="shared" si="100"/>
        <v/>
      </c>
      <c r="V924" s="83" t="str">
        <f t="shared" si="101"/>
        <v/>
      </c>
      <c r="AA924" s="60">
        <f t="shared" si="102"/>
        <v>0</v>
      </c>
      <c r="AB924" s="49">
        <f t="shared" si="103"/>
        <v>0</v>
      </c>
      <c r="AC924" s="60">
        <f t="shared" si="104"/>
        <v>0</v>
      </c>
    </row>
    <row r="925" spans="1:29">
      <c r="A925" s="83" t="str">
        <f t="shared" si="98"/>
        <v/>
      </c>
      <c r="B925" s="83" t="str">
        <f t="shared" si="99"/>
        <v/>
      </c>
      <c r="U925" s="83" t="str">
        <f t="shared" si="100"/>
        <v/>
      </c>
      <c r="V925" s="83" t="str">
        <f t="shared" si="101"/>
        <v/>
      </c>
      <c r="AA925" s="60">
        <f t="shared" si="102"/>
        <v>0</v>
      </c>
      <c r="AB925" s="49">
        <f t="shared" si="103"/>
        <v>0</v>
      </c>
      <c r="AC925" s="60">
        <f t="shared" si="104"/>
        <v>0</v>
      </c>
    </row>
    <row r="926" spans="1:29">
      <c r="A926" s="83" t="str">
        <f t="shared" si="98"/>
        <v/>
      </c>
      <c r="B926" s="83" t="str">
        <f t="shared" si="99"/>
        <v/>
      </c>
      <c r="U926" s="83" t="str">
        <f t="shared" si="100"/>
        <v/>
      </c>
      <c r="V926" s="83" t="str">
        <f t="shared" si="101"/>
        <v/>
      </c>
      <c r="AA926" s="60">
        <f t="shared" si="102"/>
        <v>0</v>
      </c>
      <c r="AB926" s="49">
        <f t="shared" si="103"/>
        <v>0</v>
      </c>
      <c r="AC926" s="60">
        <f t="shared" si="104"/>
        <v>0</v>
      </c>
    </row>
    <row r="927" spans="1:29">
      <c r="A927" s="83" t="str">
        <f t="shared" si="98"/>
        <v/>
      </c>
      <c r="B927" s="83" t="str">
        <f t="shared" si="99"/>
        <v/>
      </c>
      <c r="U927" s="83" t="str">
        <f t="shared" si="100"/>
        <v/>
      </c>
      <c r="V927" s="83" t="str">
        <f t="shared" si="101"/>
        <v/>
      </c>
      <c r="AA927" s="60">
        <f t="shared" si="102"/>
        <v>0</v>
      </c>
      <c r="AB927" s="49">
        <f t="shared" si="103"/>
        <v>0</v>
      </c>
      <c r="AC927" s="60">
        <f t="shared" si="104"/>
        <v>0</v>
      </c>
    </row>
    <row r="928" spans="1:29">
      <c r="A928" s="83" t="str">
        <f t="shared" si="98"/>
        <v/>
      </c>
      <c r="B928" s="83" t="str">
        <f t="shared" si="99"/>
        <v/>
      </c>
      <c r="U928" s="83" t="str">
        <f t="shared" si="100"/>
        <v/>
      </c>
      <c r="V928" s="83" t="str">
        <f t="shared" si="101"/>
        <v/>
      </c>
      <c r="AA928" s="60">
        <f t="shared" si="102"/>
        <v>0</v>
      </c>
      <c r="AB928" s="49">
        <f t="shared" si="103"/>
        <v>0</v>
      </c>
      <c r="AC928" s="60">
        <f t="shared" si="104"/>
        <v>0</v>
      </c>
    </row>
    <row r="929" spans="1:29">
      <c r="A929" s="83" t="str">
        <f t="shared" si="98"/>
        <v/>
      </c>
      <c r="B929" s="83" t="str">
        <f t="shared" si="99"/>
        <v/>
      </c>
      <c r="U929" s="83" t="str">
        <f t="shared" si="100"/>
        <v/>
      </c>
      <c r="V929" s="83" t="str">
        <f t="shared" si="101"/>
        <v/>
      </c>
      <c r="AA929" s="60">
        <f t="shared" si="102"/>
        <v>0</v>
      </c>
      <c r="AB929" s="49">
        <f t="shared" si="103"/>
        <v>0</v>
      </c>
      <c r="AC929" s="60">
        <f t="shared" si="104"/>
        <v>0</v>
      </c>
    </row>
    <row r="930" spans="1:29">
      <c r="A930" s="83" t="str">
        <f t="shared" si="98"/>
        <v/>
      </c>
      <c r="B930" s="83" t="str">
        <f t="shared" si="99"/>
        <v/>
      </c>
      <c r="U930" s="83" t="str">
        <f t="shared" si="100"/>
        <v/>
      </c>
      <c r="V930" s="83" t="str">
        <f t="shared" si="101"/>
        <v/>
      </c>
      <c r="AA930" s="60">
        <f t="shared" si="102"/>
        <v>0</v>
      </c>
      <c r="AB930" s="49">
        <f t="shared" si="103"/>
        <v>0</v>
      </c>
      <c r="AC930" s="60">
        <f t="shared" si="104"/>
        <v>0</v>
      </c>
    </row>
    <row r="931" spans="1:29">
      <c r="A931" s="83" t="str">
        <f t="shared" si="98"/>
        <v/>
      </c>
      <c r="B931" s="83" t="str">
        <f t="shared" si="99"/>
        <v/>
      </c>
      <c r="U931" s="83" t="str">
        <f t="shared" si="100"/>
        <v/>
      </c>
      <c r="V931" s="83" t="str">
        <f t="shared" si="101"/>
        <v/>
      </c>
      <c r="AA931" s="60">
        <f t="shared" si="102"/>
        <v>0</v>
      </c>
      <c r="AB931" s="49">
        <f t="shared" si="103"/>
        <v>0</v>
      </c>
      <c r="AC931" s="60">
        <f t="shared" si="104"/>
        <v>0</v>
      </c>
    </row>
    <row r="932" spans="1:29">
      <c r="A932" s="83" t="str">
        <f t="shared" si="98"/>
        <v/>
      </c>
      <c r="B932" s="83" t="str">
        <f t="shared" si="99"/>
        <v/>
      </c>
      <c r="U932" s="83" t="str">
        <f t="shared" si="100"/>
        <v/>
      </c>
      <c r="V932" s="83" t="str">
        <f t="shared" si="101"/>
        <v/>
      </c>
      <c r="AA932" s="60">
        <f t="shared" si="102"/>
        <v>0</v>
      </c>
      <c r="AB932" s="49">
        <f t="shared" si="103"/>
        <v>0</v>
      </c>
      <c r="AC932" s="60">
        <f t="shared" si="104"/>
        <v>0</v>
      </c>
    </row>
    <row r="933" spans="1:29">
      <c r="A933" s="83" t="str">
        <f t="shared" si="98"/>
        <v/>
      </c>
      <c r="B933" s="83" t="str">
        <f t="shared" si="99"/>
        <v/>
      </c>
      <c r="U933" s="83" t="str">
        <f t="shared" si="100"/>
        <v/>
      </c>
      <c r="V933" s="83" t="str">
        <f t="shared" si="101"/>
        <v/>
      </c>
      <c r="AA933" s="60">
        <f t="shared" si="102"/>
        <v>0</v>
      </c>
      <c r="AB933" s="49">
        <f t="shared" si="103"/>
        <v>0</v>
      </c>
      <c r="AC933" s="60">
        <f t="shared" si="104"/>
        <v>0</v>
      </c>
    </row>
    <row r="934" spans="1:29">
      <c r="A934" s="83" t="str">
        <f t="shared" si="98"/>
        <v/>
      </c>
      <c r="B934" s="83" t="str">
        <f t="shared" si="99"/>
        <v/>
      </c>
      <c r="U934" s="83" t="str">
        <f t="shared" si="100"/>
        <v/>
      </c>
      <c r="V934" s="83" t="str">
        <f t="shared" si="101"/>
        <v/>
      </c>
      <c r="AA934" s="60">
        <f t="shared" si="102"/>
        <v>0</v>
      </c>
      <c r="AB934" s="49">
        <f t="shared" si="103"/>
        <v>0</v>
      </c>
      <c r="AC934" s="60">
        <f t="shared" si="104"/>
        <v>0</v>
      </c>
    </row>
    <row r="935" spans="1:29">
      <c r="A935" s="83" t="str">
        <f t="shared" si="98"/>
        <v/>
      </c>
      <c r="B935" s="83" t="str">
        <f t="shared" si="99"/>
        <v/>
      </c>
      <c r="U935" s="83" t="str">
        <f t="shared" si="100"/>
        <v/>
      </c>
      <c r="V935" s="83" t="str">
        <f t="shared" si="101"/>
        <v/>
      </c>
      <c r="AA935" s="60">
        <f t="shared" si="102"/>
        <v>0</v>
      </c>
      <c r="AB935" s="49">
        <f t="shared" si="103"/>
        <v>0</v>
      </c>
      <c r="AC935" s="60">
        <f t="shared" si="104"/>
        <v>0</v>
      </c>
    </row>
    <row r="936" spans="1:29">
      <c r="A936" s="83" t="str">
        <f t="shared" si="98"/>
        <v/>
      </c>
      <c r="B936" s="83" t="str">
        <f t="shared" si="99"/>
        <v/>
      </c>
      <c r="U936" s="83" t="str">
        <f t="shared" si="100"/>
        <v/>
      </c>
      <c r="V936" s="83" t="str">
        <f t="shared" si="101"/>
        <v/>
      </c>
      <c r="AA936" s="60">
        <f t="shared" si="102"/>
        <v>0</v>
      </c>
      <c r="AB936" s="49">
        <f t="shared" si="103"/>
        <v>0</v>
      </c>
      <c r="AC936" s="60">
        <f t="shared" si="104"/>
        <v>0</v>
      </c>
    </row>
    <row r="937" spans="1:29">
      <c r="A937" s="83" t="str">
        <f t="shared" si="98"/>
        <v/>
      </c>
      <c r="B937" s="83" t="str">
        <f t="shared" si="99"/>
        <v/>
      </c>
      <c r="U937" s="83" t="str">
        <f t="shared" si="100"/>
        <v/>
      </c>
      <c r="V937" s="83" t="str">
        <f t="shared" si="101"/>
        <v/>
      </c>
      <c r="AA937" s="60">
        <f t="shared" si="102"/>
        <v>0</v>
      </c>
      <c r="AB937" s="49">
        <f t="shared" si="103"/>
        <v>0</v>
      </c>
      <c r="AC937" s="60">
        <f t="shared" si="104"/>
        <v>0</v>
      </c>
    </row>
    <row r="938" spans="1:29">
      <c r="A938" s="83" t="str">
        <f t="shared" si="98"/>
        <v/>
      </c>
      <c r="B938" s="83" t="str">
        <f t="shared" si="99"/>
        <v/>
      </c>
      <c r="U938" s="83" t="str">
        <f t="shared" si="100"/>
        <v/>
      </c>
      <c r="V938" s="83" t="str">
        <f t="shared" si="101"/>
        <v/>
      </c>
      <c r="AA938" s="60">
        <f t="shared" si="102"/>
        <v>0</v>
      </c>
      <c r="AB938" s="49">
        <f t="shared" si="103"/>
        <v>0</v>
      </c>
      <c r="AC938" s="60">
        <f t="shared" si="104"/>
        <v>0</v>
      </c>
    </row>
    <row r="939" spans="1:29">
      <c r="A939" s="83" t="str">
        <f t="shared" si="98"/>
        <v/>
      </c>
      <c r="B939" s="83" t="str">
        <f t="shared" si="99"/>
        <v/>
      </c>
      <c r="U939" s="83" t="str">
        <f t="shared" si="100"/>
        <v/>
      </c>
      <c r="V939" s="83" t="str">
        <f t="shared" si="101"/>
        <v/>
      </c>
      <c r="AA939" s="60">
        <f t="shared" si="102"/>
        <v>0</v>
      </c>
      <c r="AB939" s="49">
        <f t="shared" si="103"/>
        <v>0</v>
      </c>
      <c r="AC939" s="60">
        <f t="shared" si="104"/>
        <v>0</v>
      </c>
    </row>
    <row r="940" spans="1:29">
      <c r="A940" s="83" t="str">
        <f t="shared" si="98"/>
        <v/>
      </c>
      <c r="B940" s="83" t="str">
        <f t="shared" si="99"/>
        <v/>
      </c>
      <c r="U940" s="83" t="str">
        <f t="shared" si="100"/>
        <v/>
      </c>
      <c r="V940" s="83" t="str">
        <f t="shared" si="101"/>
        <v/>
      </c>
      <c r="AA940" s="60">
        <f t="shared" si="102"/>
        <v>0</v>
      </c>
      <c r="AB940" s="49">
        <f t="shared" si="103"/>
        <v>0</v>
      </c>
      <c r="AC940" s="60">
        <f t="shared" si="104"/>
        <v>0</v>
      </c>
    </row>
    <row r="941" spans="1:29">
      <c r="A941" s="83" t="str">
        <f t="shared" si="98"/>
        <v/>
      </c>
      <c r="B941" s="83" t="str">
        <f t="shared" si="99"/>
        <v/>
      </c>
      <c r="U941" s="83" t="str">
        <f t="shared" si="100"/>
        <v/>
      </c>
      <c r="V941" s="83" t="str">
        <f t="shared" si="101"/>
        <v/>
      </c>
      <c r="AA941" s="60">
        <f t="shared" si="102"/>
        <v>0</v>
      </c>
      <c r="AB941" s="49">
        <f t="shared" si="103"/>
        <v>0</v>
      </c>
      <c r="AC941" s="60">
        <f t="shared" si="104"/>
        <v>0</v>
      </c>
    </row>
    <row r="942" spans="1:29">
      <c r="A942" s="83" t="str">
        <f t="shared" si="98"/>
        <v/>
      </c>
      <c r="B942" s="83" t="str">
        <f t="shared" si="99"/>
        <v/>
      </c>
      <c r="U942" s="83" t="str">
        <f t="shared" si="100"/>
        <v/>
      </c>
      <c r="V942" s="83" t="str">
        <f t="shared" si="101"/>
        <v/>
      </c>
      <c r="AA942" s="60">
        <f t="shared" si="102"/>
        <v>0</v>
      </c>
      <c r="AB942" s="49">
        <f t="shared" si="103"/>
        <v>0</v>
      </c>
      <c r="AC942" s="60">
        <f t="shared" si="104"/>
        <v>0</v>
      </c>
    </row>
    <row r="943" spans="1:29">
      <c r="A943" s="83" t="str">
        <f t="shared" si="98"/>
        <v/>
      </c>
      <c r="B943" s="83" t="str">
        <f t="shared" si="99"/>
        <v/>
      </c>
      <c r="U943" s="83" t="str">
        <f t="shared" si="100"/>
        <v/>
      </c>
      <c r="V943" s="83" t="str">
        <f t="shared" si="101"/>
        <v/>
      </c>
      <c r="AA943" s="60">
        <f t="shared" si="102"/>
        <v>0</v>
      </c>
      <c r="AB943" s="49">
        <f t="shared" si="103"/>
        <v>0</v>
      </c>
      <c r="AC943" s="60">
        <f t="shared" si="104"/>
        <v>0</v>
      </c>
    </row>
    <row r="944" spans="1:29">
      <c r="A944" s="83" t="str">
        <f t="shared" si="98"/>
        <v/>
      </c>
      <c r="B944" s="83" t="str">
        <f t="shared" si="99"/>
        <v/>
      </c>
      <c r="U944" s="83" t="str">
        <f t="shared" si="100"/>
        <v/>
      </c>
      <c r="V944" s="83" t="str">
        <f t="shared" si="101"/>
        <v/>
      </c>
      <c r="AA944" s="60">
        <f t="shared" si="102"/>
        <v>0</v>
      </c>
      <c r="AB944" s="49">
        <f t="shared" si="103"/>
        <v>0</v>
      </c>
      <c r="AC944" s="60">
        <f t="shared" si="104"/>
        <v>0</v>
      </c>
    </row>
    <row r="945" spans="1:29">
      <c r="A945" s="83" t="str">
        <f t="shared" si="98"/>
        <v/>
      </c>
      <c r="B945" s="83" t="str">
        <f t="shared" si="99"/>
        <v/>
      </c>
      <c r="U945" s="83" t="str">
        <f t="shared" si="100"/>
        <v/>
      </c>
      <c r="V945" s="83" t="str">
        <f t="shared" si="101"/>
        <v/>
      </c>
      <c r="AA945" s="60">
        <f t="shared" si="102"/>
        <v>0</v>
      </c>
      <c r="AB945" s="49">
        <f t="shared" si="103"/>
        <v>0</v>
      </c>
      <c r="AC945" s="60">
        <f t="shared" si="104"/>
        <v>0</v>
      </c>
    </row>
    <row r="946" spans="1:29">
      <c r="A946" s="83" t="str">
        <f t="shared" si="98"/>
        <v/>
      </c>
      <c r="B946" s="83" t="str">
        <f t="shared" si="99"/>
        <v/>
      </c>
      <c r="U946" s="83" t="str">
        <f t="shared" si="100"/>
        <v/>
      </c>
      <c r="V946" s="83" t="str">
        <f t="shared" si="101"/>
        <v/>
      </c>
      <c r="AA946" s="60">
        <f t="shared" si="102"/>
        <v>0</v>
      </c>
      <c r="AB946" s="49">
        <f t="shared" si="103"/>
        <v>0</v>
      </c>
      <c r="AC946" s="60">
        <f t="shared" si="104"/>
        <v>0</v>
      </c>
    </row>
    <row r="947" spans="1:29">
      <c r="A947" s="83" t="str">
        <f t="shared" si="98"/>
        <v/>
      </c>
      <c r="B947" s="83" t="str">
        <f t="shared" si="99"/>
        <v/>
      </c>
      <c r="U947" s="83" t="str">
        <f t="shared" si="100"/>
        <v/>
      </c>
      <c r="V947" s="83" t="str">
        <f t="shared" si="101"/>
        <v/>
      </c>
      <c r="AA947" s="60">
        <f t="shared" si="102"/>
        <v>0</v>
      </c>
      <c r="AB947" s="49">
        <f t="shared" si="103"/>
        <v>0</v>
      </c>
      <c r="AC947" s="60">
        <f t="shared" si="104"/>
        <v>0</v>
      </c>
    </row>
    <row r="948" spans="1:29">
      <c r="A948" s="83" t="str">
        <f t="shared" si="98"/>
        <v/>
      </c>
      <c r="B948" s="83" t="str">
        <f t="shared" si="99"/>
        <v/>
      </c>
      <c r="U948" s="83" t="str">
        <f t="shared" si="100"/>
        <v/>
      </c>
      <c r="V948" s="83" t="str">
        <f t="shared" si="101"/>
        <v/>
      </c>
      <c r="AA948" s="60">
        <f t="shared" si="102"/>
        <v>0</v>
      </c>
      <c r="AB948" s="49">
        <f t="shared" si="103"/>
        <v>0</v>
      </c>
      <c r="AC948" s="60">
        <f t="shared" si="104"/>
        <v>0</v>
      </c>
    </row>
    <row r="949" spans="1:29">
      <c r="A949" s="83" t="str">
        <f t="shared" si="98"/>
        <v/>
      </c>
      <c r="B949" s="83" t="str">
        <f t="shared" si="99"/>
        <v/>
      </c>
      <c r="U949" s="83" t="str">
        <f t="shared" si="100"/>
        <v/>
      </c>
      <c r="V949" s="83" t="str">
        <f t="shared" si="101"/>
        <v/>
      </c>
      <c r="AA949" s="60">
        <f t="shared" si="102"/>
        <v>0</v>
      </c>
      <c r="AB949" s="49">
        <f t="shared" si="103"/>
        <v>0</v>
      </c>
      <c r="AC949" s="60">
        <f t="shared" si="104"/>
        <v>0</v>
      </c>
    </row>
    <row r="950" spans="1:29">
      <c r="A950" s="83" t="str">
        <f t="shared" si="98"/>
        <v/>
      </c>
      <c r="B950" s="83" t="str">
        <f t="shared" si="99"/>
        <v/>
      </c>
      <c r="U950" s="83" t="str">
        <f t="shared" si="100"/>
        <v/>
      </c>
      <c r="V950" s="83" t="str">
        <f t="shared" si="101"/>
        <v/>
      </c>
      <c r="AA950" s="60">
        <f t="shared" si="102"/>
        <v>0</v>
      </c>
      <c r="AB950" s="49">
        <f t="shared" si="103"/>
        <v>0</v>
      </c>
      <c r="AC950" s="60">
        <f t="shared" si="104"/>
        <v>0</v>
      </c>
    </row>
    <row r="951" spans="1:29">
      <c r="A951" s="83" t="str">
        <f t="shared" si="98"/>
        <v/>
      </c>
      <c r="B951" s="83" t="str">
        <f t="shared" si="99"/>
        <v/>
      </c>
      <c r="U951" s="83" t="str">
        <f t="shared" si="100"/>
        <v/>
      </c>
      <c r="V951" s="83" t="str">
        <f t="shared" si="101"/>
        <v/>
      </c>
      <c r="AA951" s="60">
        <f t="shared" si="102"/>
        <v>0</v>
      </c>
      <c r="AB951" s="49">
        <f t="shared" si="103"/>
        <v>0</v>
      </c>
      <c r="AC951" s="60">
        <f t="shared" si="104"/>
        <v>0</v>
      </c>
    </row>
    <row r="952" spans="1:29">
      <c r="A952" s="83" t="str">
        <f t="shared" si="98"/>
        <v/>
      </c>
      <c r="B952" s="83" t="str">
        <f t="shared" si="99"/>
        <v/>
      </c>
      <c r="U952" s="83" t="str">
        <f t="shared" si="100"/>
        <v/>
      </c>
      <c r="V952" s="83" t="str">
        <f t="shared" si="101"/>
        <v/>
      </c>
      <c r="AA952" s="60">
        <f t="shared" si="102"/>
        <v>0</v>
      </c>
      <c r="AB952" s="49">
        <f t="shared" si="103"/>
        <v>0</v>
      </c>
      <c r="AC952" s="60">
        <f t="shared" si="104"/>
        <v>0</v>
      </c>
    </row>
    <row r="953" spans="1:29">
      <c r="A953" s="83" t="str">
        <f t="shared" si="98"/>
        <v/>
      </c>
      <c r="B953" s="83" t="str">
        <f t="shared" si="99"/>
        <v/>
      </c>
      <c r="U953" s="83" t="str">
        <f t="shared" si="100"/>
        <v/>
      </c>
      <c r="V953" s="83" t="str">
        <f t="shared" si="101"/>
        <v/>
      </c>
      <c r="AA953" s="60">
        <f t="shared" si="102"/>
        <v>0</v>
      </c>
      <c r="AB953" s="49">
        <f t="shared" si="103"/>
        <v>0</v>
      </c>
      <c r="AC953" s="60">
        <f t="shared" si="104"/>
        <v>0</v>
      </c>
    </row>
    <row r="954" spans="1:29">
      <c r="A954" s="83" t="str">
        <f t="shared" si="98"/>
        <v/>
      </c>
      <c r="B954" s="83" t="str">
        <f t="shared" si="99"/>
        <v/>
      </c>
      <c r="U954" s="83" t="str">
        <f t="shared" si="100"/>
        <v/>
      </c>
      <c r="V954" s="83" t="str">
        <f t="shared" si="101"/>
        <v/>
      </c>
      <c r="AA954" s="60">
        <f t="shared" si="102"/>
        <v>0</v>
      </c>
      <c r="AB954" s="49">
        <f t="shared" si="103"/>
        <v>0</v>
      </c>
      <c r="AC954" s="60">
        <f t="shared" si="104"/>
        <v>0</v>
      </c>
    </row>
    <row r="955" spans="1:29">
      <c r="A955" s="83" t="str">
        <f t="shared" si="98"/>
        <v/>
      </c>
      <c r="B955" s="83" t="str">
        <f t="shared" si="99"/>
        <v/>
      </c>
      <c r="U955" s="83" t="str">
        <f t="shared" si="100"/>
        <v/>
      </c>
      <c r="V955" s="83" t="str">
        <f t="shared" si="101"/>
        <v/>
      </c>
      <c r="AA955" s="60">
        <f t="shared" si="102"/>
        <v>0</v>
      </c>
      <c r="AB955" s="49">
        <f t="shared" si="103"/>
        <v>0</v>
      </c>
      <c r="AC955" s="60">
        <f t="shared" si="104"/>
        <v>0</v>
      </c>
    </row>
    <row r="956" spans="1:29">
      <c r="A956" s="83" t="str">
        <f t="shared" si="98"/>
        <v/>
      </c>
      <c r="B956" s="83" t="str">
        <f t="shared" si="99"/>
        <v/>
      </c>
      <c r="U956" s="83" t="str">
        <f t="shared" si="100"/>
        <v/>
      </c>
      <c r="V956" s="83" t="str">
        <f t="shared" si="101"/>
        <v/>
      </c>
      <c r="AA956" s="60">
        <f t="shared" si="102"/>
        <v>0</v>
      </c>
      <c r="AB956" s="49">
        <f t="shared" si="103"/>
        <v>0</v>
      </c>
      <c r="AC956" s="60">
        <f t="shared" si="104"/>
        <v>0</v>
      </c>
    </row>
    <row r="957" spans="1:29">
      <c r="A957" s="83" t="str">
        <f t="shared" si="98"/>
        <v/>
      </c>
      <c r="B957" s="83" t="str">
        <f t="shared" si="99"/>
        <v/>
      </c>
      <c r="U957" s="83" t="str">
        <f t="shared" si="100"/>
        <v/>
      </c>
      <c r="V957" s="83" t="str">
        <f t="shared" si="101"/>
        <v/>
      </c>
      <c r="AA957" s="60">
        <f t="shared" si="102"/>
        <v>0</v>
      </c>
      <c r="AB957" s="49">
        <f t="shared" si="103"/>
        <v>0</v>
      </c>
      <c r="AC957" s="60">
        <f t="shared" si="104"/>
        <v>0</v>
      </c>
    </row>
    <row r="958" spans="1:29">
      <c r="A958" s="83" t="str">
        <f t="shared" si="98"/>
        <v/>
      </c>
      <c r="B958" s="83" t="str">
        <f t="shared" si="99"/>
        <v/>
      </c>
      <c r="U958" s="83" t="str">
        <f t="shared" si="100"/>
        <v/>
      </c>
      <c r="V958" s="83" t="str">
        <f t="shared" si="101"/>
        <v/>
      </c>
      <c r="AA958" s="60">
        <f t="shared" si="102"/>
        <v>0</v>
      </c>
      <c r="AB958" s="49">
        <f t="shared" si="103"/>
        <v>0</v>
      </c>
      <c r="AC958" s="60">
        <f t="shared" si="104"/>
        <v>0</v>
      </c>
    </row>
    <row r="959" spans="1:29">
      <c r="A959" s="83" t="str">
        <f t="shared" si="98"/>
        <v/>
      </c>
      <c r="B959" s="83" t="str">
        <f t="shared" si="99"/>
        <v/>
      </c>
      <c r="U959" s="83" t="str">
        <f t="shared" si="100"/>
        <v/>
      </c>
      <c r="V959" s="83" t="str">
        <f t="shared" si="101"/>
        <v/>
      </c>
      <c r="AA959" s="60">
        <f t="shared" si="102"/>
        <v>0</v>
      </c>
      <c r="AB959" s="49">
        <f t="shared" si="103"/>
        <v>0</v>
      </c>
      <c r="AC959" s="60">
        <f t="shared" si="104"/>
        <v>0</v>
      </c>
    </row>
    <row r="960" spans="1:29">
      <c r="A960" s="83" t="str">
        <f t="shared" si="98"/>
        <v/>
      </c>
      <c r="B960" s="83" t="str">
        <f t="shared" si="99"/>
        <v/>
      </c>
      <c r="U960" s="83" t="str">
        <f t="shared" si="100"/>
        <v/>
      </c>
      <c r="V960" s="83" t="str">
        <f t="shared" si="101"/>
        <v/>
      </c>
      <c r="AA960" s="60">
        <f t="shared" si="102"/>
        <v>0</v>
      </c>
      <c r="AB960" s="49">
        <f t="shared" si="103"/>
        <v>0</v>
      </c>
      <c r="AC960" s="60">
        <f t="shared" si="104"/>
        <v>0</v>
      </c>
    </row>
    <row r="961" spans="1:29">
      <c r="A961" s="83" t="str">
        <f t="shared" si="98"/>
        <v/>
      </c>
      <c r="B961" s="83" t="str">
        <f t="shared" si="99"/>
        <v/>
      </c>
      <c r="U961" s="83" t="str">
        <f t="shared" si="100"/>
        <v/>
      </c>
      <c r="V961" s="83" t="str">
        <f t="shared" si="101"/>
        <v/>
      </c>
      <c r="AA961" s="60">
        <f t="shared" si="102"/>
        <v>0</v>
      </c>
      <c r="AB961" s="49">
        <f t="shared" si="103"/>
        <v>0</v>
      </c>
      <c r="AC961" s="60">
        <f t="shared" si="104"/>
        <v>0</v>
      </c>
    </row>
    <row r="962" spans="1:29">
      <c r="A962" s="83" t="str">
        <f t="shared" si="98"/>
        <v/>
      </c>
      <c r="B962" s="83" t="str">
        <f t="shared" si="99"/>
        <v/>
      </c>
      <c r="U962" s="83" t="str">
        <f t="shared" si="100"/>
        <v/>
      </c>
      <c r="V962" s="83" t="str">
        <f t="shared" si="101"/>
        <v/>
      </c>
      <c r="AA962" s="60">
        <f t="shared" si="102"/>
        <v>0</v>
      </c>
      <c r="AB962" s="49">
        <f t="shared" si="103"/>
        <v>0</v>
      </c>
      <c r="AC962" s="60">
        <f t="shared" si="104"/>
        <v>0</v>
      </c>
    </row>
    <row r="963" spans="1:29">
      <c r="A963" s="83" t="str">
        <f t="shared" ref="A963:A1026" si="105">IF(G963&amp;Q963&lt;&gt;"",U963&amp;Q963,"")</f>
        <v/>
      </c>
      <c r="B963" s="83" t="str">
        <f t="shared" ref="B963:B1026" si="106">IF(C963&lt;&gt;"",LEFT(C963,9),"")</f>
        <v/>
      </c>
      <c r="U963" s="83" t="str">
        <f t="shared" ref="U963:U1026" si="107">IF(G963&lt;&gt;"",IF(StyleSpaceSplit,IFERROR(IF(FIND(" ",G963)&gt;=1,MID(G963,1,FIND(" ",G963)-1),G963),G963),G963),"")</f>
        <v/>
      </c>
      <c r="V963" s="83" t="str">
        <f t="shared" ref="V963:V1026" si="108">IF(A963&lt;&gt;"",IFERROR(IF(FIND(" ",G963)&gt;=1,MID(G963,FIND(" ",G963)+1,LEN(G963)),""),G963),"")</f>
        <v/>
      </c>
      <c r="AA963" s="60">
        <f t="shared" ref="AA963:AA1026" si="109">IFERROR(VALUE(MID($C963,1,2)),0)</f>
        <v>0</v>
      </c>
      <c r="AB963" s="49">
        <f t="shared" ref="AB963:AB1026" si="110">IFERROR(VALUE(MID($C963,4,3)),0)</f>
        <v>0</v>
      </c>
      <c r="AC963" s="60">
        <f t="shared" ref="AC963:AC1026" si="111">VALUE(RIGHT("00"&amp;AA963,2)&amp;RIGHT("000"&amp;AB963,3))</f>
        <v>0</v>
      </c>
    </row>
    <row r="964" spans="1:29">
      <c r="A964" s="83" t="str">
        <f t="shared" si="105"/>
        <v/>
      </c>
      <c r="B964" s="83" t="str">
        <f t="shared" si="106"/>
        <v/>
      </c>
      <c r="U964" s="83" t="str">
        <f t="shared" si="107"/>
        <v/>
      </c>
      <c r="V964" s="83" t="str">
        <f t="shared" si="108"/>
        <v/>
      </c>
      <c r="AA964" s="60">
        <f t="shared" si="109"/>
        <v>0</v>
      </c>
      <c r="AB964" s="49">
        <f t="shared" si="110"/>
        <v>0</v>
      </c>
      <c r="AC964" s="60">
        <f t="shared" si="111"/>
        <v>0</v>
      </c>
    </row>
    <row r="965" spans="1:29">
      <c r="A965" s="83" t="str">
        <f t="shared" si="105"/>
        <v/>
      </c>
      <c r="B965" s="83" t="str">
        <f t="shared" si="106"/>
        <v/>
      </c>
      <c r="U965" s="83" t="str">
        <f t="shared" si="107"/>
        <v/>
      </c>
      <c r="V965" s="83" t="str">
        <f t="shared" si="108"/>
        <v/>
      </c>
      <c r="AA965" s="60">
        <f t="shared" si="109"/>
        <v>0</v>
      </c>
      <c r="AB965" s="49">
        <f t="shared" si="110"/>
        <v>0</v>
      </c>
      <c r="AC965" s="60">
        <f t="shared" si="111"/>
        <v>0</v>
      </c>
    </row>
    <row r="966" spans="1:29">
      <c r="A966" s="83" t="str">
        <f t="shared" si="105"/>
        <v/>
      </c>
      <c r="B966" s="83" t="str">
        <f t="shared" si="106"/>
        <v/>
      </c>
      <c r="U966" s="83" t="str">
        <f t="shared" si="107"/>
        <v/>
      </c>
      <c r="V966" s="83" t="str">
        <f t="shared" si="108"/>
        <v/>
      </c>
      <c r="AA966" s="60">
        <f t="shared" si="109"/>
        <v>0</v>
      </c>
      <c r="AB966" s="49">
        <f t="shared" si="110"/>
        <v>0</v>
      </c>
      <c r="AC966" s="60">
        <f t="shared" si="111"/>
        <v>0</v>
      </c>
    </row>
    <row r="967" spans="1:29">
      <c r="A967" s="83" t="str">
        <f t="shared" si="105"/>
        <v/>
      </c>
      <c r="B967" s="83" t="str">
        <f t="shared" si="106"/>
        <v/>
      </c>
      <c r="U967" s="83" t="str">
        <f t="shared" si="107"/>
        <v/>
      </c>
      <c r="V967" s="83" t="str">
        <f t="shared" si="108"/>
        <v/>
      </c>
      <c r="AA967" s="60">
        <f t="shared" si="109"/>
        <v>0</v>
      </c>
      <c r="AB967" s="49">
        <f t="shared" si="110"/>
        <v>0</v>
      </c>
      <c r="AC967" s="60">
        <f t="shared" si="111"/>
        <v>0</v>
      </c>
    </row>
    <row r="968" spans="1:29">
      <c r="A968" s="83" t="str">
        <f t="shared" si="105"/>
        <v/>
      </c>
      <c r="B968" s="83" t="str">
        <f t="shared" si="106"/>
        <v/>
      </c>
      <c r="U968" s="83" t="str">
        <f t="shared" si="107"/>
        <v/>
      </c>
      <c r="V968" s="83" t="str">
        <f t="shared" si="108"/>
        <v/>
      </c>
      <c r="AA968" s="60">
        <f t="shared" si="109"/>
        <v>0</v>
      </c>
      <c r="AB968" s="49">
        <f t="shared" si="110"/>
        <v>0</v>
      </c>
      <c r="AC968" s="60">
        <f t="shared" si="111"/>
        <v>0</v>
      </c>
    </row>
    <row r="969" spans="1:29">
      <c r="A969" s="83" t="str">
        <f t="shared" si="105"/>
        <v/>
      </c>
      <c r="B969" s="83" t="str">
        <f t="shared" si="106"/>
        <v/>
      </c>
      <c r="U969" s="83" t="str">
        <f t="shared" si="107"/>
        <v/>
      </c>
      <c r="V969" s="83" t="str">
        <f t="shared" si="108"/>
        <v/>
      </c>
      <c r="AA969" s="60">
        <f t="shared" si="109"/>
        <v>0</v>
      </c>
      <c r="AB969" s="49">
        <f t="shared" si="110"/>
        <v>0</v>
      </c>
      <c r="AC969" s="60">
        <f t="shared" si="111"/>
        <v>0</v>
      </c>
    </row>
    <row r="970" spans="1:29">
      <c r="A970" s="83" t="str">
        <f t="shared" si="105"/>
        <v/>
      </c>
      <c r="B970" s="83" t="str">
        <f t="shared" si="106"/>
        <v/>
      </c>
      <c r="U970" s="83" t="str">
        <f t="shared" si="107"/>
        <v/>
      </c>
      <c r="V970" s="83" t="str">
        <f t="shared" si="108"/>
        <v/>
      </c>
      <c r="AA970" s="60">
        <f t="shared" si="109"/>
        <v>0</v>
      </c>
      <c r="AB970" s="49">
        <f t="shared" si="110"/>
        <v>0</v>
      </c>
      <c r="AC970" s="60">
        <f t="shared" si="111"/>
        <v>0</v>
      </c>
    </row>
    <row r="971" spans="1:29">
      <c r="A971" s="83" t="str">
        <f t="shared" si="105"/>
        <v/>
      </c>
      <c r="B971" s="83" t="str">
        <f t="shared" si="106"/>
        <v/>
      </c>
      <c r="U971" s="83" t="str">
        <f t="shared" si="107"/>
        <v/>
      </c>
      <c r="V971" s="83" t="str">
        <f t="shared" si="108"/>
        <v/>
      </c>
      <c r="AA971" s="60">
        <f t="shared" si="109"/>
        <v>0</v>
      </c>
      <c r="AB971" s="49">
        <f t="shared" si="110"/>
        <v>0</v>
      </c>
      <c r="AC971" s="60">
        <f t="shared" si="111"/>
        <v>0</v>
      </c>
    </row>
    <row r="972" spans="1:29">
      <c r="A972" s="83" t="str">
        <f t="shared" si="105"/>
        <v/>
      </c>
      <c r="B972" s="83" t="str">
        <f t="shared" si="106"/>
        <v/>
      </c>
      <c r="U972" s="83" t="str">
        <f t="shared" si="107"/>
        <v/>
      </c>
      <c r="V972" s="83" t="str">
        <f t="shared" si="108"/>
        <v/>
      </c>
      <c r="AA972" s="60">
        <f t="shared" si="109"/>
        <v>0</v>
      </c>
      <c r="AB972" s="49">
        <f t="shared" si="110"/>
        <v>0</v>
      </c>
      <c r="AC972" s="60">
        <f t="shared" si="111"/>
        <v>0</v>
      </c>
    </row>
    <row r="973" spans="1:29">
      <c r="A973" s="83" t="str">
        <f t="shared" si="105"/>
        <v/>
      </c>
      <c r="B973" s="83" t="str">
        <f t="shared" si="106"/>
        <v/>
      </c>
      <c r="U973" s="83" t="str">
        <f t="shared" si="107"/>
        <v/>
      </c>
      <c r="V973" s="83" t="str">
        <f t="shared" si="108"/>
        <v/>
      </c>
      <c r="AA973" s="60">
        <f t="shared" si="109"/>
        <v>0</v>
      </c>
      <c r="AB973" s="49">
        <f t="shared" si="110"/>
        <v>0</v>
      </c>
      <c r="AC973" s="60">
        <f t="shared" si="111"/>
        <v>0</v>
      </c>
    </row>
    <row r="974" spans="1:29">
      <c r="A974" s="83" t="str">
        <f t="shared" si="105"/>
        <v/>
      </c>
      <c r="B974" s="83" t="str">
        <f t="shared" si="106"/>
        <v/>
      </c>
      <c r="U974" s="83" t="str">
        <f t="shared" si="107"/>
        <v/>
      </c>
      <c r="V974" s="83" t="str">
        <f t="shared" si="108"/>
        <v/>
      </c>
      <c r="AA974" s="60">
        <f t="shared" si="109"/>
        <v>0</v>
      </c>
      <c r="AB974" s="49">
        <f t="shared" si="110"/>
        <v>0</v>
      </c>
      <c r="AC974" s="60">
        <f t="shared" si="111"/>
        <v>0</v>
      </c>
    </row>
    <row r="975" spans="1:29">
      <c r="A975" s="83" t="str">
        <f t="shared" si="105"/>
        <v/>
      </c>
      <c r="B975" s="83" t="str">
        <f t="shared" si="106"/>
        <v/>
      </c>
      <c r="U975" s="83" t="str">
        <f t="shared" si="107"/>
        <v/>
      </c>
      <c r="V975" s="83" t="str">
        <f t="shared" si="108"/>
        <v/>
      </c>
      <c r="AA975" s="60">
        <f t="shared" si="109"/>
        <v>0</v>
      </c>
      <c r="AB975" s="49">
        <f t="shared" si="110"/>
        <v>0</v>
      </c>
      <c r="AC975" s="60">
        <f t="shared" si="111"/>
        <v>0</v>
      </c>
    </row>
    <row r="976" spans="1:29">
      <c r="A976" s="83" t="str">
        <f t="shared" si="105"/>
        <v/>
      </c>
      <c r="B976" s="83" t="str">
        <f t="shared" si="106"/>
        <v/>
      </c>
      <c r="U976" s="83" t="str">
        <f t="shared" si="107"/>
        <v/>
      </c>
      <c r="V976" s="83" t="str">
        <f t="shared" si="108"/>
        <v/>
      </c>
      <c r="AA976" s="60">
        <f t="shared" si="109"/>
        <v>0</v>
      </c>
      <c r="AB976" s="49">
        <f t="shared" si="110"/>
        <v>0</v>
      </c>
      <c r="AC976" s="60">
        <f t="shared" si="111"/>
        <v>0</v>
      </c>
    </row>
    <row r="977" spans="1:29">
      <c r="A977" s="83" t="str">
        <f t="shared" si="105"/>
        <v/>
      </c>
      <c r="B977" s="83" t="str">
        <f t="shared" si="106"/>
        <v/>
      </c>
      <c r="U977" s="83" t="str">
        <f t="shared" si="107"/>
        <v/>
      </c>
      <c r="V977" s="83" t="str">
        <f t="shared" si="108"/>
        <v/>
      </c>
      <c r="AA977" s="60">
        <f t="shared" si="109"/>
        <v>0</v>
      </c>
      <c r="AB977" s="49">
        <f t="shared" si="110"/>
        <v>0</v>
      </c>
      <c r="AC977" s="60">
        <f t="shared" si="111"/>
        <v>0</v>
      </c>
    </row>
    <row r="978" spans="1:29">
      <c r="A978" s="83" t="str">
        <f t="shared" si="105"/>
        <v/>
      </c>
      <c r="B978" s="83" t="str">
        <f t="shared" si="106"/>
        <v/>
      </c>
      <c r="U978" s="83" t="str">
        <f t="shared" si="107"/>
        <v/>
      </c>
      <c r="V978" s="83" t="str">
        <f t="shared" si="108"/>
        <v/>
      </c>
      <c r="AA978" s="60">
        <f t="shared" si="109"/>
        <v>0</v>
      </c>
      <c r="AB978" s="49">
        <f t="shared" si="110"/>
        <v>0</v>
      </c>
      <c r="AC978" s="60">
        <f t="shared" si="111"/>
        <v>0</v>
      </c>
    </row>
    <row r="979" spans="1:29">
      <c r="A979" s="83" t="str">
        <f t="shared" si="105"/>
        <v/>
      </c>
      <c r="B979" s="83" t="str">
        <f t="shared" si="106"/>
        <v/>
      </c>
      <c r="U979" s="83" t="str">
        <f t="shared" si="107"/>
        <v/>
      </c>
      <c r="V979" s="83" t="str">
        <f t="shared" si="108"/>
        <v/>
      </c>
      <c r="AA979" s="60">
        <f t="shared" si="109"/>
        <v>0</v>
      </c>
      <c r="AB979" s="49">
        <f t="shared" si="110"/>
        <v>0</v>
      </c>
      <c r="AC979" s="60">
        <f t="shared" si="111"/>
        <v>0</v>
      </c>
    </row>
    <row r="980" spans="1:29">
      <c r="A980" s="83" t="str">
        <f t="shared" si="105"/>
        <v/>
      </c>
      <c r="B980" s="83" t="str">
        <f t="shared" si="106"/>
        <v/>
      </c>
      <c r="U980" s="83" t="str">
        <f t="shared" si="107"/>
        <v/>
      </c>
      <c r="V980" s="83" t="str">
        <f t="shared" si="108"/>
        <v/>
      </c>
      <c r="AA980" s="60">
        <f t="shared" si="109"/>
        <v>0</v>
      </c>
      <c r="AB980" s="49">
        <f t="shared" si="110"/>
        <v>0</v>
      </c>
      <c r="AC980" s="60">
        <f t="shared" si="111"/>
        <v>0</v>
      </c>
    </row>
    <row r="981" spans="1:29">
      <c r="A981" s="83" t="str">
        <f t="shared" si="105"/>
        <v/>
      </c>
      <c r="B981" s="83" t="str">
        <f t="shared" si="106"/>
        <v/>
      </c>
      <c r="U981" s="83" t="str">
        <f t="shared" si="107"/>
        <v/>
      </c>
      <c r="V981" s="83" t="str">
        <f t="shared" si="108"/>
        <v/>
      </c>
      <c r="AA981" s="60">
        <f t="shared" si="109"/>
        <v>0</v>
      </c>
      <c r="AB981" s="49">
        <f t="shared" si="110"/>
        <v>0</v>
      </c>
      <c r="AC981" s="60">
        <f t="shared" si="111"/>
        <v>0</v>
      </c>
    </row>
    <row r="982" spans="1:29">
      <c r="A982" s="83" t="str">
        <f t="shared" si="105"/>
        <v/>
      </c>
      <c r="B982" s="83" t="str">
        <f t="shared" si="106"/>
        <v/>
      </c>
      <c r="U982" s="83" t="str">
        <f t="shared" si="107"/>
        <v/>
      </c>
      <c r="V982" s="83" t="str">
        <f t="shared" si="108"/>
        <v/>
      </c>
      <c r="AA982" s="60">
        <f t="shared" si="109"/>
        <v>0</v>
      </c>
      <c r="AB982" s="49">
        <f t="shared" si="110"/>
        <v>0</v>
      </c>
      <c r="AC982" s="60">
        <f t="shared" si="111"/>
        <v>0</v>
      </c>
    </row>
    <row r="983" spans="1:29">
      <c r="A983" s="83" t="str">
        <f t="shared" si="105"/>
        <v/>
      </c>
      <c r="B983" s="83" t="str">
        <f t="shared" si="106"/>
        <v/>
      </c>
      <c r="U983" s="83" t="str">
        <f t="shared" si="107"/>
        <v/>
      </c>
      <c r="V983" s="83" t="str">
        <f t="shared" si="108"/>
        <v/>
      </c>
      <c r="AA983" s="60">
        <f t="shared" si="109"/>
        <v>0</v>
      </c>
      <c r="AB983" s="49">
        <f t="shared" si="110"/>
        <v>0</v>
      </c>
      <c r="AC983" s="60">
        <f t="shared" si="111"/>
        <v>0</v>
      </c>
    </row>
    <row r="984" spans="1:29">
      <c r="A984" s="83" t="str">
        <f t="shared" si="105"/>
        <v/>
      </c>
      <c r="B984" s="83" t="str">
        <f t="shared" si="106"/>
        <v/>
      </c>
      <c r="U984" s="83" t="str">
        <f t="shared" si="107"/>
        <v/>
      </c>
      <c r="V984" s="83" t="str">
        <f t="shared" si="108"/>
        <v/>
      </c>
      <c r="AA984" s="60">
        <f t="shared" si="109"/>
        <v>0</v>
      </c>
      <c r="AB984" s="49">
        <f t="shared" si="110"/>
        <v>0</v>
      </c>
      <c r="AC984" s="60">
        <f t="shared" si="111"/>
        <v>0</v>
      </c>
    </row>
    <row r="985" spans="1:29">
      <c r="A985" s="83" t="str">
        <f t="shared" si="105"/>
        <v/>
      </c>
      <c r="B985" s="83" t="str">
        <f t="shared" si="106"/>
        <v/>
      </c>
      <c r="U985" s="83" t="str">
        <f t="shared" si="107"/>
        <v/>
      </c>
      <c r="V985" s="83" t="str">
        <f t="shared" si="108"/>
        <v/>
      </c>
      <c r="AA985" s="60">
        <f t="shared" si="109"/>
        <v>0</v>
      </c>
      <c r="AB985" s="49">
        <f t="shared" si="110"/>
        <v>0</v>
      </c>
      <c r="AC985" s="60">
        <f t="shared" si="111"/>
        <v>0</v>
      </c>
    </row>
    <row r="986" spans="1:29">
      <c r="A986" s="83" t="str">
        <f t="shared" si="105"/>
        <v/>
      </c>
      <c r="B986" s="83" t="str">
        <f t="shared" si="106"/>
        <v/>
      </c>
      <c r="U986" s="83" t="str">
        <f t="shared" si="107"/>
        <v/>
      </c>
      <c r="V986" s="83" t="str">
        <f t="shared" si="108"/>
        <v/>
      </c>
      <c r="AA986" s="60">
        <f t="shared" si="109"/>
        <v>0</v>
      </c>
      <c r="AB986" s="49">
        <f t="shared" si="110"/>
        <v>0</v>
      </c>
      <c r="AC986" s="60">
        <f t="shared" si="111"/>
        <v>0</v>
      </c>
    </row>
    <row r="987" spans="1:29">
      <c r="A987" s="83" t="str">
        <f t="shared" si="105"/>
        <v/>
      </c>
      <c r="B987" s="83" t="str">
        <f t="shared" si="106"/>
        <v/>
      </c>
      <c r="U987" s="83" t="str">
        <f t="shared" si="107"/>
        <v/>
      </c>
      <c r="V987" s="83" t="str">
        <f t="shared" si="108"/>
        <v/>
      </c>
      <c r="AA987" s="60">
        <f t="shared" si="109"/>
        <v>0</v>
      </c>
      <c r="AB987" s="49">
        <f t="shared" si="110"/>
        <v>0</v>
      </c>
      <c r="AC987" s="60">
        <f t="shared" si="111"/>
        <v>0</v>
      </c>
    </row>
    <row r="988" spans="1:29">
      <c r="A988" s="83" t="str">
        <f t="shared" si="105"/>
        <v/>
      </c>
      <c r="B988" s="83" t="str">
        <f t="shared" si="106"/>
        <v/>
      </c>
      <c r="U988" s="83" t="str">
        <f t="shared" si="107"/>
        <v/>
      </c>
      <c r="V988" s="83" t="str">
        <f t="shared" si="108"/>
        <v/>
      </c>
      <c r="AA988" s="60">
        <f t="shared" si="109"/>
        <v>0</v>
      </c>
      <c r="AB988" s="49">
        <f t="shared" si="110"/>
        <v>0</v>
      </c>
      <c r="AC988" s="60">
        <f t="shared" si="111"/>
        <v>0</v>
      </c>
    </row>
    <row r="989" spans="1:29">
      <c r="A989" s="83" t="str">
        <f t="shared" si="105"/>
        <v/>
      </c>
      <c r="B989" s="83" t="str">
        <f t="shared" si="106"/>
        <v/>
      </c>
      <c r="U989" s="83" t="str">
        <f t="shared" si="107"/>
        <v/>
      </c>
      <c r="V989" s="83" t="str">
        <f t="shared" si="108"/>
        <v/>
      </c>
      <c r="AA989" s="60">
        <f t="shared" si="109"/>
        <v>0</v>
      </c>
      <c r="AB989" s="49">
        <f t="shared" si="110"/>
        <v>0</v>
      </c>
      <c r="AC989" s="60">
        <f t="shared" si="111"/>
        <v>0</v>
      </c>
    </row>
    <row r="990" spans="1:29">
      <c r="A990" s="83" t="str">
        <f t="shared" si="105"/>
        <v/>
      </c>
      <c r="B990" s="83" t="str">
        <f t="shared" si="106"/>
        <v/>
      </c>
      <c r="U990" s="83" t="str">
        <f t="shared" si="107"/>
        <v/>
      </c>
      <c r="V990" s="83" t="str">
        <f t="shared" si="108"/>
        <v/>
      </c>
      <c r="AA990" s="60">
        <f t="shared" si="109"/>
        <v>0</v>
      </c>
      <c r="AB990" s="49">
        <f t="shared" si="110"/>
        <v>0</v>
      </c>
      <c r="AC990" s="60">
        <f t="shared" si="111"/>
        <v>0</v>
      </c>
    </row>
    <row r="991" spans="1:29">
      <c r="A991" s="83" t="str">
        <f t="shared" si="105"/>
        <v/>
      </c>
      <c r="B991" s="83" t="str">
        <f t="shared" si="106"/>
        <v/>
      </c>
      <c r="U991" s="83" t="str">
        <f t="shared" si="107"/>
        <v/>
      </c>
      <c r="V991" s="83" t="str">
        <f t="shared" si="108"/>
        <v/>
      </c>
      <c r="AA991" s="60">
        <f t="shared" si="109"/>
        <v>0</v>
      </c>
      <c r="AB991" s="49">
        <f t="shared" si="110"/>
        <v>0</v>
      </c>
      <c r="AC991" s="60">
        <f t="shared" si="111"/>
        <v>0</v>
      </c>
    </row>
    <row r="992" spans="1:29">
      <c r="A992" s="83" t="str">
        <f t="shared" si="105"/>
        <v/>
      </c>
      <c r="B992" s="83" t="str">
        <f t="shared" si="106"/>
        <v/>
      </c>
      <c r="U992" s="83" t="str">
        <f t="shared" si="107"/>
        <v/>
      </c>
      <c r="V992" s="83" t="str">
        <f t="shared" si="108"/>
        <v/>
      </c>
      <c r="AA992" s="60">
        <f t="shared" si="109"/>
        <v>0</v>
      </c>
      <c r="AB992" s="49">
        <f t="shared" si="110"/>
        <v>0</v>
      </c>
      <c r="AC992" s="60">
        <f t="shared" si="111"/>
        <v>0</v>
      </c>
    </row>
    <row r="993" spans="1:29">
      <c r="A993" s="83" t="str">
        <f t="shared" si="105"/>
        <v/>
      </c>
      <c r="B993" s="83" t="str">
        <f t="shared" si="106"/>
        <v/>
      </c>
      <c r="U993" s="83" t="str">
        <f t="shared" si="107"/>
        <v/>
      </c>
      <c r="V993" s="83" t="str">
        <f t="shared" si="108"/>
        <v/>
      </c>
      <c r="AA993" s="60">
        <f t="shared" si="109"/>
        <v>0</v>
      </c>
      <c r="AB993" s="49">
        <f t="shared" si="110"/>
        <v>0</v>
      </c>
      <c r="AC993" s="60">
        <f t="shared" si="111"/>
        <v>0</v>
      </c>
    </row>
    <row r="994" spans="1:29">
      <c r="A994" s="83" t="str">
        <f t="shared" si="105"/>
        <v/>
      </c>
      <c r="B994" s="83" t="str">
        <f t="shared" si="106"/>
        <v/>
      </c>
      <c r="U994" s="83" t="str">
        <f t="shared" si="107"/>
        <v/>
      </c>
      <c r="V994" s="83" t="str">
        <f t="shared" si="108"/>
        <v/>
      </c>
      <c r="AA994" s="60">
        <f t="shared" si="109"/>
        <v>0</v>
      </c>
      <c r="AB994" s="49">
        <f t="shared" si="110"/>
        <v>0</v>
      </c>
      <c r="AC994" s="60">
        <f t="shared" si="111"/>
        <v>0</v>
      </c>
    </row>
    <row r="995" spans="1:29">
      <c r="A995" s="83" t="str">
        <f t="shared" si="105"/>
        <v/>
      </c>
      <c r="B995" s="83" t="str">
        <f t="shared" si="106"/>
        <v/>
      </c>
      <c r="U995" s="83" t="str">
        <f t="shared" si="107"/>
        <v/>
      </c>
      <c r="V995" s="83" t="str">
        <f t="shared" si="108"/>
        <v/>
      </c>
      <c r="AA995" s="60">
        <f t="shared" si="109"/>
        <v>0</v>
      </c>
      <c r="AB995" s="49">
        <f t="shared" si="110"/>
        <v>0</v>
      </c>
      <c r="AC995" s="60">
        <f t="shared" si="111"/>
        <v>0</v>
      </c>
    </row>
    <row r="996" spans="1:29">
      <c r="A996" s="83" t="str">
        <f t="shared" si="105"/>
        <v/>
      </c>
      <c r="B996" s="83" t="str">
        <f t="shared" si="106"/>
        <v/>
      </c>
      <c r="U996" s="83" t="str">
        <f t="shared" si="107"/>
        <v/>
      </c>
      <c r="V996" s="83" t="str">
        <f t="shared" si="108"/>
        <v/>
      </c>
      <c r="AA996" s="60">
        <f t="shared" si="109"/>
        <v>0</v>
      </c>
      <c r="AB996" s="49">
        <f t="shared" si="110"/>
        <v>0</v>
      </c>
      <c r="AC996" s="60">
        <f t="shared" si="111"/>
        <v>0</v>
      </c>
    </row>
    <row r="997" spans="1:29">
      <c r="A997" s="83" t="str">
        <f t="shared" si="105"/>
        <v/>
      </c>
      <c r="B997" s="83" t="str">
        <f t="shared" si="106"/>
        <v/>
      </c>
      <c r="U997" s="83" t="str">
        <f t="shared" si="107"/>
        <v/>
      </c>
      <c r="V997" s="83" t="str">
        <f t="shared" si="108"/>
        <v/>
      </c>
      <c r="AA997" s="60">
        <f t="shared" si="109"/>
        <v>0</v>
      </c>
      <c r="AB997" s="49">
        <f t="shared" si="110"/>
        <v>0</v>
      </c>
      <c r="AC997" s="60">
        <f t="shared" si="111"/>
        <v>0</v>
      </c>
    </row>
    <row r="998" spans="1:29">
      <c r="A998" s="83" t="str">
        <f t="shared" si="105"/>
        <v/>
      </c>
      <c r="B998" s="83" t="str">
        <f t="shared" si="106"/>
        <v/>
      </c>
      <c r="U998" s="83" t="str">
        <f t="shared" si="107"/>
        <v/>
      </c>
      <c r="V998" s="83" t="str">
        <f t="shared" si="108"/>
        <v/>
      </c>
      <c r="AA998" s="60">
        <f t="shared" si="109"/>
        <v>0</v>
      </c>
      <c r="AB998" s="49">
        <f t="shared" si="110"/>
        <v>0</v>
      </c>
      <c r="AC998" s="60">
        <f t="shared" si="111"/>
        <v>0</v>
      </c>
    </row>
    <row r="999" spans="1:29">
      <c r="A999" s="83" t="str">
        <f t="shared" si="105"/>
        <v/>
      </c>
      <c r="B999" s="83" t="str">
        <f t="shared" si="106"/>
        <v/>
      </c>
      <c r="U999" s="83" t="str">
        <f t="shared" si="107"/>
        <v/>
      </c>
      <c r="V999" s="83" t="str">
        <f t="shared" si="108"/>
        <v/>
      </c>
      <c r="AA999" s="60">
        <f t="shared" si="109"/>
        <v>0</v>
      </c>
      <c r="AB999" s="49">
        <f t="shared" si="110"/>
        <v>0</v>
      </c>
      <c r="AC999" s="60">
        <f t="shared" si="111"/>
        <v>0</v>
      </c>
    </row>
    <row r="1000" spans="1:29">
      <c r="A1000" s="83" t="str">
        <f t="shared" si="105"/>
        <v/>
      </c>
      <c r="B1000" s="83" t="str">
        <f t="shared" si="106"/>
        <v/>
      </c>
      <c r="U1000" s="83" t="str">
        <f t="shared" si="107"/>
        <v/>
      </c>
      <c r="V1000" s="83" t="str">
        <f t="shared" si="108"/>
        <v/>
      </c>
      <c r="AA1000" s="60">
        <f t="shared" si="109"/>
        <v>0</v>
      </c>
      <c r="AB1000" s="49">
        <f t="shared" si="110"/>
        <v>0</v>
      </c>
      <c r="AC1000" s="60">
        <f t="shared" si="111"/>
        <v>0</v>
      </c>
    </row>
    <row r="1001" spans="1:29">
      <c r="A1001" s="83" t="str">
        <f t="shared" si="105"/>
        <v/>
      </c>
      <c r="B1001" s="83" t="str">
        <f t="shared" si="106"/>
        <v/>
      </c>
      <c r="U1001" s="83" t="str">
        <f t="shared" si="107"/>
        <v/>
      </c>
      <c r="V1001" s="83" t="str">
        <f t="shared" si="108"/>
        <v/>
      </c>
      <c r="AA1001" s="60">
        <f t="shared" si="109"/>
        <v>0</v>
      </c>
      <c r="AB1001" s="49">
        <f t="shared" si="110"/>
        <v>0</v>
      </c>
      <c r="AC1001" s="60">
        <f t="shared" si="111"/>
        <v>0</v>
      </c>
    </row>
    <row r="1002" spans="1:29">
      <c r="A1002" s="83" t="str">
        <f t="shared" si="105"/>
        <v/>
      </c>
      <c r="B1002" s="83" t="str">
        <f t="shared" si="106"/>
        <v/>
      </c>
      <c r="U1002" s="83" t="str">
        <f t="shared" si="107"/>
        <v/>
      </c>
      <c r="V1002" s="83" t="str">
        <f t="shared" si="108"/>
        <v/>
      </c>
      <c r="AA1002" s="60">
        <f t="shared" si="109"/>
        <v>0</v>
      </c>
      <c r="AB1002" s="49">
        <f t="shared" si="110"/>
        <v>0</v>
      </c>
      <c r="AC1002" s="60">
        <f t="shared" si="111"/>
        <v>0</v>
      </c>
    </row>
    <row r="1003" spans="1:29">
      <c r="A1003" s="83" t="str">
        <f t="shared" si="105"/>
        <v/>
      </c>
      <c r="B1003" s="83" t="str">
        <f t="shared" si="106"/>
        <v/>
      </c>
      <c r="U1003" s="83" t="str">
        <f t="shared" si="107"/>
        <v/>
      </c>
      <c r="V1003" s="83" t="str">
        <f t="shared" si="108"/>
        <v/>
      </c>
      <c r="AA1003" s="60">
        <f t="shared" si="109"/>
        <v>0</v>
      </c>
      <c r="AB1003" s="49">
        <f t="shared" si="110"/>
        <v>0</v>
      </c>
      <c r="AC1003" s="60">
        <f t="shared" si="111"/>
        <v>0</v>
      </c>
    </row>
    <row r="1004" spans="1:29">
      <c r="A1004" s="83" t="str">
        <f t="shared" si="105"/>
        <v/>
      </c>
      <c r="B1004" s="83" t="str">
        <f t="shared" si="106"/>
        <v/>
      </c>
      <c r="U1004" s="83" t="str">
        <f t="shared" si="107"/>
        <v/>
      </c>
      <c r="V1004" s="83" t="str">
        <f t="shared" si="108"/>
        <v/>
      </c>
      <c r="AA1004" s="60">
        <f t="shared" si="109"/>
        <v>0</v>
      </c>
      <c r="AB1004" s="49">
        <f t="shared" si="110"/>
        <v>0</v>
      </c>
      <c r="AC1004" s="60">
        <f t="shared" si="111"/>
        <v>0</v>
      </c>
    </row>
    <row r="1005" spans="1:29">
      <c r="A1005" s="83" t="str">
        <f t="shared" si="105"/>
        <v/>
      </c>
      <c r="B1005" s="83" t="str">
        <f t="shared" si="106"/>
        <v/>
      </c>
      <c r="U1005" s="83" t="str">
        <f t="shared" si="107"/>
        <v/>
      </c>
      <c r="V1005" s="83" t="str">
        <f t="shared" si="108"/>
        <v/>
      </c>
      <c r="AA1005" s="60">
        <f t="shared" si="109"/>
        <v>0</v>
      </c>
      <c r="AB1005" s="49">
        <f t="shared" si="110"/>
        <v>0</v>
      </c>
      <c r="AC1005" s="60">
        <f t="shared" si="111"/>
        <v>0</v>
      </c>
    </row>
    <row r="1006" spans="1:29">
      <c r="A1006" s="83" t="str">
        <f t="shared" si="105"/>
        <v/>
      </c>
      <c r="B1006" s="83" t="str">
        <f t="shared" si="106"/>
        <v/>
      </c>
      <c r="U1006" s="83" t="str">
        <f t="shared" si="107"/>
        <v/>
      </c>
      <c r="V1006" s="83" t="str">
        <f t="shared" si="108"/>
        <v/>
      </c>
      <c r="AA1006" s="60">
        <f t="shared" si="109"/>
        <v>0</v>
      </c>
      <c r="AB1006" s="49">
        <f t="shared" si="110"/>
        <v>0</v>
      </c>
      <c r="AC1006" s="60">
        <f t="shared" si="111"/>
        <v>0</v>
      </c>
    </row>
    <row r="1007" spans="1:29">
      <c r="A1007" s="83" t="str">
        <f t="shared" si="105"/>
        <v/>
      </c>
      <c r="B1007" s="83" t="str">
        <f t="shared" si="106"/>
        <v/>
      </c>
      <c r="U1007" s="83" t="str">
        <f t="shared" si="107"/>
        <v/>
      </c>
      <c r="V1007" s="83" t="str">
        <f t="shared" si="108"/>
        <v/>
      </c>
      <c r="AA1007" s="60">
        <f t="shared" si="109"/>
        <v>0</v>
      </c>
      <c r="AB1007" s="49">
        <f t="shared" si="110"/>
        <v>0</v>
      </c>
      <c r="AC1007" s="60">
        <f t="shared" si="111"/>
        <v>0</v>
      </c>
    </row>
    <row r="1008" spans="1:29">
      <c r="A1008" s="83" t="str">
        <f t="shared" si="105"/>
        <v/>
      </c>
      <c r="B1008" s="83" t="str">
        <f t="shared" si="106"/>
        <v/>
      </c>
      <c r="U1008" s="83" t="str">
        <f t="shared" si="107"/>
        <v/>
      </c>
      <c r="V1008" s="83" t="str">
        <f t="shared" si="108"/>
        <v/>
      </c>
      <c r="AA1008" s="60">
        <f t="shared" si="109"/>
        <v>0</v>
      </c>
      <c r="AB1008" s="49">
        <f t="shared" si="110"/>
        <v>0</v>
      </c>
      <c r="AC1008" s="60">
        <f t="shared" si="111"/>
        <v>0</v>
      </c>
    </row>
    <row r="1009" spans="1:29">
      <c r="A1009" s="83" t="str">
        <f t="shared" si="105"/>
        <v/>
      </c>
      <c r="B1009" s="83" t="str">
        <f t="shared" si="106"/>
        <v/>
      </c>
      <c r="U1009" s="83" t="str">
        <f t="shared" si="107"/>
        <v/>
      </c>
      <c r="V1009" s="83" t="str">
        <f t="shared" si="108"/>
        <v/>
      </c>
      <c r="AA1009" s="60">
        <f t="shared" si="109"/>
        <v>0</v>
      </c>
      <c r="AB1009" s="49">
        <f t="shared" si="110"/>
        <v>0</v>
      </c>
      <c r="AC1009" s="60">
        <f t="shared" si="111"/>
        <v>0</v>
      </c>
    </row>
    <row r="1010" spans="1:29">
      <c r="A1010" s="83" t="str">
        <f t="shared" si="105"/>
        <v/>
      </c>
      <c r="B1010" s="83" t="str">
        <f t="shared" si="106"/>
        <v/>
      </c>
      <c r="U1010" s="83" t="str">
        <f t="shared" si="107"/>
        <v/>
      </c>
      <c r="V1010" s="83" t="str">
        <f t="shared" si="108"/>
        <v/>
      </c>
      <c r="AA1010" s="60">
        <f t="shared" si="109"/>
        <v>0</v>
      </c>
      <c r="AB1010" s="49">
        <f t="shared" si="110"/>
        <v>0</v>
      </c>
      <c r="AC1010" s="60">
        <f t="shared" si="111"/>
        <v>0</v>
      </c>
    </row>
    <row r="1011" spans="1:29">
      <c r="A1011" s="83" t="str">
        <f t="shared" si="105"/>
        <v/>
      </c>
      <c r="B1011" s="83" t="str">
        <f t="shared" si="106"/>
        <v/>
      </c>
      <c r="U1011" s="83" t="str">
        <f t="shared" si="107"/>
        <v/>
      </c>
      <c r="V1011" s="83" t="str">
        <f t="shared" si="108"/>
        <v/>
      </c>
      <c r="AA1011" s="60">
        <f t="shared" si="109"/>
        <v>0</v>
      </c>
      <c r="AB1011" s="49">
        <f t="shared" si="110"/>
        <v>0</v>
      </c>
      <c r="AC1011" s="60">
        <f t="shared" si="111"/>
        <v>0</v>
      </c>
    </row>
    <row r="1012" spans="1:29">
      <c r="A1012" s="83" t="str">
        <f t="shared" si="105"/>
        <v/>
      </c>
      <c r="B1012" s="83" t="str">
        <f t="shared" si="106"/>
        <v/>
      </c>
      <c r="U1012" s="83" t="str">
        <f t="shared" si="107"/>
        <v/>
      </c>
      <c r="V1012" s="83" t="str">
        <f t="shared" si="108"/>
        <v/>
      </c>
      <c r="AA1012" s="60">
        <f t="shared" si="109"/>
        <v>0</v>
      </c>
      <c r="AB1012" s="49">
        <f t="shared" si="110"/>
        <v>0</v>
      </c>
      <c r="AC1012" s="60">
        <f t="shared" si="111"/>
        <v>0</v>
      </c>
    </row>
    <row r="1013" spans="1:29">
      <c r="A1013" s="83" t="str">
        <f t="shared" si="105"/>
        <v/>
      </c>
      <c r="B1013" s="83" t="str">
        <f t="shared" si="106"/>
        <v/>
      </c>
      <c r="U1013" s="83" t="str">
        <f t="shared" si="107"/>
        <v/>
      </c>
      <c r="V1013" s="83" t="str">
        <f t="shared" si="108"/>
        <v/>
      </c>
      <c r="AA1013" s="60">
        <f t="shared" si="109"/>
        <v>0</v>
      </c>
      <c r="AB1013" s="49">
        <f t="shared" si="110"/>
        <v>0</v>
      </c>
      <c r="AC1013" s="60">
        <f t="shared" si="111"/>
        <v>0</v>
      </c>
    </row>
    <row r="1014" spans="1:29">
      <c r="A1014" s="83" t="str">
        <f t="shared" si="105"/>
        <v/>
      </c>
      <c r="B1014" s="83" t="str">
        <f t="shared" si="106"/>
        <v/>
      </c>
      <c r="U1014" s="83" t="str">
        <f t="shared" si="107"/>
        <v/>
      </c>
      <c r="V1014" s="83" t="str">
        <f t="shared" si="108"/>
        <v/>
      </c>
      <c r="AA1014" s="60">
        <f t="shared" si="109"/>
        <v>0</v>
      </c>
      <c r="AB1014" s="49">
        <f t="shared" si="110"/>
        <v>0</v>
      </c>
      <c r="AC1014" s="60">
        <f t="shared" si="111"/>
        <v>0</v>
      </c>
    </row>
    <row r="1015" spans="1:29">
      <c r="A1015" s="83" t="str">
        <f t="shared" si="105"/>
        <v/>
      </c>
      <c r="B1015" s="83" t="str">
        <f t="shared" si="106"/>
        <v/>
      </c>
      <c r="U1015" s="83" t="str">
        <f t="shared" si="107"/>
        <v/>
      </c>
      <c r="V1015" s="83" t="str">
        <f t="shared" si="108"/>
        <v/>
      </c>
      <c r="AA1015" s="60">
        <f t="shared" si="109"/>
        <v>0</v>
      </c>
      <c r="AB1015" s="49">
        <f t="shared" si="110"/>
        <v>0</v>
      </c>
      <c r="AC1015" s="60">
        <f t="shared" si="111"/>
        <v>0</v>
      </c>
    </row>
    <row r="1016" spans="1:29">
      <c r="A1016" s="83" t="str">
        <f t="shared" si="105"/>
        <v/>
      </c>
      <c r="B1016" s="83" t="str">
        <f t="shared" si="106"/>
        <v/>
      </c>
      <c r="U1016" s="83" t="str">
        <f t="shared" si="107"/>
        <v/>
      </c>
      <c r="V1016" s="83" t="str">
        <f t="shared" si="108"/>
        <v/>
      </c>
      <c r="AA1016" s="60">
        <f t="shared" si="109"/>
        <v>0</v>
      </c>
      <c r="AB1016" s="49">
        <f t="shared" si="110"/>
        <v>0</v>
      </c>
      <c r="AC1016" s="60">
        <f t="shared" si="111"/>
        <v>0</v>
      </c>
    </row>
    <row r="1017" spans="1:29">
      <c r="A1017" s="83" t="str">
        <f t="shared" si="105"/>
        <v/>
      </c>
      <c r="B1017" s="83" t="str">
        <f t="shared" si="106"/>
        <v/>
      </c>
      <c r="U1017" s="83" t="str">
        <f t="shared" si="107"/>
        <v/>
      </c>
      <c r="V1017" s="83" t="str">
        <f t="shared" si="108"/>
        <v/>
      </c>
      <c r="AA1017" s="60">
        <f t="shared" si="109"/>
        <v>0</v>
      </c>
      <c r="AB1017" s="49">
        <f t="shared" si="110"/>
        <v>0</v>
      </c>
      <c r="AC1017" s="60">
        <f t="shared" si="111"/>
        <v>0</v>
      </c>
    </row>
    <row r="1018" spans="1:29">
      <c r="A1018" s="83" t="str">
        <f t="shared" si="105"/>
        <v/>
      </c>
      <c r="B1018" s="83" t="str">
        <f t="shared" si="106"/>
        <v/>
      </c>
      <c r="U1018" s="83" t="str">
        <f t="shared" si="107"/>
        <v/>
      </c>
      <c r="V1018" s="83" t="str">
        <f t="shared" si="108"/>
        <v/>
      </c>
      <c r="AA1018" s="60">
        <f t="shared" si="109"/>
        <v>0</v>
      </c>
      <c r="AB1018" s="49">
        <f t="shared" si="110"/>
        <v>0</v>
      </c>
      <c r="AC1018" s="60">
        <f t="shared" si="111"/>
        <v>0</v>
      </c>
    </row>
    <row r="1019" spans="1:29">
      <c r="A1019" s="83" t="str">
        <f t="shared" si="105"/>
        <v/>
      </c>
      <c r="B1019" s="83" t="str">
        <f t="shared" si="106"/>
        <v/>
      </c>
      <c r="U1019" s="83" t="str">
        <f t="shared" si="107"/>
        <v/>
      </c>
      <c r="V1019" s="83" t="str">
        <f t="shared" si="108"/>
        <v/>
      </c>
      <c r="AA1019" s="60">
        <f t="shared" si="109"/>
        <v>0</v>
      </c>
      <c r="AB1019" s="49">
        <f t="shared" si="110"/>
        <v>0</v>
      </c>
      <c r="AC1019" s="60">
        <f t="shared" si="111"/>
        <v>0</v>
      </c>
    </row>
    <row r="1020" spans="1:29">
      <c r="A1020" s="83" t="str">
        <f t="shared" si="105"/>
        <v/>
      </c>
      <c r="B1020" s="83" t="str">
        <f t="shared" si="106"/>
        <v/>
      </c>
      <c r="U1020" s="83" t="str">
        <f t="shared" si="107"/>
        <v/>
      </c>
      <c r="V1020" s="83" t="str">
        <f t="shared" si="108"/>
        <v/>
      </c>
      <c r="AA1020" s="60">
        <f t="shared" si="109"/>
        <v>0</v>
      </c>
      <c r="AB1020" s="49">
        <f t="shared" si="110"/>
        <v>0</v>
      </c>
      <c r="AC1020" s="60">
        <f t="shared" si="111"/>
        <v>0</v>
      </c>
    </row>
    <row r="1021" spans="1:29">
      <c r="A1021" s="83" t="str">
        <f t="shared" si="105"/>
        <v/>
      </c>
      <c r="B1021" s="83" t="str">
        <f t="shared" si="106"/>
        <v/>
      </c>
      <c r="U1021" s="83" t="str">
        <f t="shared" si="107"/>
        <v/>
      </c>
      <c r="V1021" s="83" t="str">
        <f t="shared" si="108"/>
        <v/>
      </c>
      <c r="AA1021" s="60">
        <f t="shared" si="109"/>
        <v>0</v>
      </c>
      <c r="AB1021" s="49">
        <f t="shared" si="110"/>
        <v>0</v>
      </c>
      <c r="AC1021" s="60">
        <f t="shared" si="111"/>
        <v>0</v>
      </c>
    </row>
    <row r="1022" spans="1:29">
      <c r="A1022" s="83" t="str">
        <f t="shared" si="105"/>
        <v/>
      </c>
      <c r="B1022" s="83" t="str">
        <f t="shared" si="106"/>
        <v/>
      </c>
      <c r="U1022" s="83" t="str">
        <f t="shared" si="107"/>
        <v/>
      </c>
      <c r="V1022" s="83" t="str">
        <f t="shared" si="108"/>
        <v/>
      </c>
      <c r="AA1022" s="60">
        <f t="shared" si="109"/>
        <v>0</v>
      </c>
      <c r="AB1022" s="49">
        <f t="shared" si="110"/>
        <v>0</v>
      </c>
      <c r="AC1022" s="60">
        <f t="shared" si="111"/>
        <v>0</v>
      </c>
    </row>
    <row r="1023" spans="1:29">
      <c r="A1023" s="83" t="str">
        <f t="shared" si="105"/>
        <v/>
      </c>
      <c r="B1023" s="83" t="str">
        <f t="shared" si="106"/>
        <v/>
      </c>
      <c r="U1023" s="83" t="str">
        <f t="shared" si="107"/>
        <v/>
      </c>
      <c r="V1023" s="83" t="str">
        <f t="shared" si="108"/>
        <v/>
      </c>
      <c r="AA1023" s="60">
        <f t="shared" si="109"/>
        <v>0</v>
      </c>
      <c r="AB1023" s="49">
        <f t="shared" si="110"/>
        <v>0</v>
      </c>
      <c r="AC1023" s="60">
        <f t="shared" si="111"/>
        <v>0</v>
      </c>
    </row>
    <row r="1024" spans="1:29">
      <c r="A1024" s="83" t="str">
        <f t="shared" si="105"/>
        <v/>
      </c>
      <c r="B1024" s="83" t="str">
        <f t="shared" si="106"/>
        <v/>
      </c>
      <c r="U1024" s="83" t="str">
        <f t="shared" si="107"/>
        <v/>
      </c>
      <c r="V1024" s="83" t="str">
        <f t="shared" si="108"/>
        <v/>
      </c>
      <c r="AA1024" s="60">
        <f t="shared" si="109"/>
        <v>0</v>
      </c>
      <c r="AB1024" s="49">
        <f t="shared" si="110"/>
        <v>0</v>
      </c>
      <c r="AC1024" s="60">
        <f t="shared" si="111"/>
        <v>0</v>
      </c>
    </row>
    <row r="1025" spans="1:29">
      <c r="A1025" s="83" t="str">
        <f t="shared" si="105"/>
        <v/>
      </c>
      <c r="B1025" s="83" t="str">
        <f t="shared" si="106"/>
        <v/>
      </c>
      <c r="U1025" s="83" t="str">
        <f t="shared" si="107"/>
        <v/>
      </c>
      <c r="V1025" s="83" t="str">
        <f t="shared" si="108"/>
        <v/>
      </c>
      <c r="AA1025" s="60">
        <f t="shared" si="109"/>
        <v>0</v>
      </c>
      <c r="AB1025" s="49">
        <f t="shared" si="110"/>
        <v>0</v>
      </c>
      <c r="AC1025" s="60">
        <f t="shared" si="111"/>
        <v>0</v>
      </c>
    </row>
    <row r="1026" spans="1:29">
      <c r="A1026" s="83" t="str">
        <f t="shared" si="105"/>
        <v/>
      </c>
      <c r="B1026" s="83" t="str">
        <f t="shared" si="106"/>
        <v/>
      </c>
      <c r="U1026" s="83" t="str">
        <f t="shared" si="107"/>
        <v/>
      </c>
      <c r="V1026" s="83" t="str">
        <f t="shared" si="108"/>
        <v/>
      </c>
      <c r="AA1026" s="60">
        <f t="shared" si="109"/>
        <v>0</v>
      </c>
      <c r="AB1026" s="49">
        <f t="shared" si="110"/>
        <v>0</v>
      </c>
      <c r="AC1026" s="60">
        <f t="shared" si="111"/>
        <v>0</v>
      </c>
    </row>
    <row r="1027" spans="1:29">
      <c r="A1027" s="83" t="str">
        <f t="shared" ref="A1027:A1090" si="112">IF(G1027&amp;Q1027&lt;&gt;"",U1027&amp;Q1027,"")</f>
        <v/>
      </c>
      <c r="B1027" s="83" t="str">
        <f t="shared" ref="B1027:B1090" si="113">IF(C1027&lt;&gt;"",LEFT(C1027,9),"")</f>
        <v/>
      </c>
      <c r="U1027" s="83" t="str">
        <f t="shared" ref="U1027:U1090" si="114">IF(G1027&lt;&gt;"",IF(StyleSpaceSplit,IFERROR(IF(FIND(" ",G1027)&gt;=1,MID(G1027,1,FIND(" ",G1027)-1),G1027),G1027),G1027),"")</f>
        <v/>
      </c>
      <c r="V1027" s="83" t="str">
        <f t="shared" ref="V1027:V1090" si="115">IF(A1027&lt;&gt;"",IFERROR(IF(FIND(" ",G1027)&gt;=1,MID(G1027,FIND(" ",G1027)+1,LEN(G1027)),""),G1027),"")</f>
        <v/>
      </c>
      <c r="AA1027" s="60">
        <f t="shared" ref="AA1027:AA1090" si="116">IFERROR(VALUE(MID($C1027,1,2)),0)</f>
        <v>0</v>
      </c>
      <c r="AB1027" s="49">
        <f t="shared" ref="AB1027:AB1090" si="117">IFERROR(VALUE(MID($C1027,4,3)),0)</f>
        <v>0</v>
      </c>
      <c r="AC1027" s="60">
        <f t="shared" ref="AC1027:AC1090" si="118">VALUE(RIGHT("00"&amp;AA1027,2)&amp;RIGHT("000"&amp;AB1027,3))</f>
        <v>0</v>
      </c>
    </row>
    <row r="1028" spans="1:29">
      <c r="A1028" s="83" t="str">
        <f t="shared" si="112"/>
        <v/>
      </c>
      <c r="B1028" s="83" t="str">
        <f t="shared" si="113"/>
        <v/>
      </c>
      <c r="U1028" s="83" t="str">
        <f t="shared" si="114"/>
        <v/>
      </c>
      <c r="V1028" s="83" t="str">
        <f t="shared" si="115"/>
        <v/>
      </c>
      <c r="AA1028" s="60">
        <f t="shared" si="116"/>
        <v>0</v>
      </c>
      <c r="AB1028" s="49">
        <f t="shared" si="117"/>
        <v>0</v>
      </c>
      <c r="AC1028" s="60">
        <f t="shared" si="118"/>
        <v>0</v>
      </c>
    </row>
    <row r="1029" spans="1:29">
      <c r="A1029" s="83" t="str">
        <f t="shared" si="112"/>
        <v/>
      </c>
      <c r="B1029" s="83" t="str">
        <f t="shared" si="113"/>
        <v/>
      </c>
      <c r="U1029" s="83" t="str">
        <f t="shared" si="114"/>
        <v/>
      </c>
      <c r="V1029" s="83" t="str">
        <f t="shared" si="115"/>
        <v/>
      </c>
      <c r="AA1029" s="60">
        <f t="shared" si="116"/>
        <v>0</v>
      </c>
      <c r="AB1029" s="49">
        <f t="shared" si="117"/>
        <v>0</v>
      </c>
      <c r="AC1029" s="60">
        <f t="shared" si="118"/>
        <v>0</v>
      </c>
    </row>
    <row r="1030" spans="1:29">
      <c r="A1030" s="83" t="str">
        <f t="shared" si="112"/>
        <v/>
      </c>
      <c r="B1030" s="83" t="str">
        <f t="shared" si="113"/>
        <v/>
      </c>
      <c r="U1030" s="83" t="str">
        <f t="shared" si="114"/>
        <v/>
      </c>
      <c r="V1030" s="83" t="str">
        <f t="shared" si="115"/>
        <v/>
      </c>
      <c r="AA1030" s="60">
        <f t="shared" si="116"/>
        <v>0</v>
      </c>
      <c r="AB1030" s="49">
        <f t="shared" si="117"/>
        <v>0</v>
      </c>
      <c r="AC1030" s="60">
        <f t="shared" si="118"/>
        <v>0</v>
      </c>
    </row>
    <row r="1031" spans="1:29">
      <c r="A1031" s="83" t="str">
        <f t="shared" si="112"/>
        <v/>
      </c>
      <c r="B1031" s="83" t="str">
        <f t="shared" si="113"/>
        <v/>
      </c>
      <c r="U1031" s="83" t="str">
        <f t="shared" si="114"/>
        <v/>
      </c>
      <c r="V1031" s="83" t="str">
        <f t="shared" si="115"/>
        <v/>
      </c>
      <c r="AA1031" s="60">
        <f t="shared" si="116"/>
        <v>0</v>
      </c>
      <c r="AB1031" s="49">
        <f t="shared" si="117"/>
        <v>0</v>
      </c>
      <c r="AC1031" s="60">
        <f t="shared" si="118"/>
        <v>0</v>
      </c>
    </row>
    <row r="1032" spans="1:29">
      <c r="A1032" s="83" t="str">
        <f t="shared" si="112"/>
        <v/>
      </c>
      <c r="B1032" s="83" t="str">
        <f t="shared" si="113"/>
        <v/>
      </c>
      <c r="U1032" s="83" t="str">
        <f t="shared" si="114"/>
        <v/>
      </c>
      <c r="V1032" s="83" t="str">
        <f t="shared" si="115"/>
        <v/>
      </c>
      <c r="AA1032" s="60">
        <f t="shared" si="116"/>
        <v>0</v>
      </c>
      <c r="AB1032" s="49">
        <f t="shared" si="117"/>
        <v>0</v>
      </c>
      <c r="AC1032" s="60">
        <f t="shared" si="118"/>
        <v>0</v>
      </c>
    </row>
    <row r="1033" spans="1:29">
      <c r="A1033" s="83" t="str">
        <f t="shared" si="112"/>
        <v/>
      </c>
      <c r="B1033" s="83" t="str">
        <f t="shared" si="113"/>
        <v/>
      </c>
      <c r="U1033" s="83" t="str">
        <f t="shared" si="114"/>
        <v/>
      </c>
      <c r="V1033" s="83" t="str">
        <f t="shared" si="115"/>
        <v/>
      </c>
      <c r="AA1033" s="60">
        <f t="shared" si="116"/>
        <v>0</v>
      </c>
      <c r="AB1033" s="49">
        <f t="shared" si="117"/>
        <v>0</v>
      </c>
      <c r="AC1033" s="60">
        <f t="shared" si="118"/>
        <v>0</v>
      </c>
    </row>
    <row r="1034" spans="1:29">
      <c r="A1034" s="83" t="str">
        <f t="shared" si="112"/>
        <v/>
      </c>
      <c r="B1034" s="83" t="str">
        <f t="shared" si="113"/>
        <v/>
      </c>
      <c r="U1034" s="83" t="str">
        <f t="shared" si="114"/>
        <v/>
      </c>
      <c r="V1034" s="83" t="str">
        <f t="shared" si="115"/>
        <v/>
      </c>
      <c r="AA1034" s="60">
        <f t="shared" si="116"/>
        <v>0</v>
      </c>
      <c r="AB1034" s="49">
        <f t="shared" si="117"/>
        <v>0</v>
      </c>
      <c r="AC1034" s="60">
        <f t="shared" si="118"/>
        <v>0</v>
      </c>
    </row>
    <row r="1035" spans="1:29">
      <c r="A1035" s="83" t="str">
        <f t="shared" si="112"/>
        <v/>
      </c>
      <c r="B1035" s="83" t="str">
        <f t="shared" si="113"/>
        <v/>
      </c>
      <c r="U1035" s="83" t="str">
        <f t="shared" si="114"/>
        <v/>
      </c>
      <c r="V1035" s="83" t="str">
        <f t="shared" si="115"/>
        <v/>
      </c>
      <c r="AA1035" s="60">
        <f t="shared" si="116"/>
        <v>0</v>
      </c>
      <c r="AB1035" s="49">
        <f t="shared" si="117"/>
        <v>0</v>
      </c>
      <c r="AC1035" s="60">
        <f t="shared" si="118"/>
        <v>0</v>
      </c>
    </row>
    <row r="1036" spans="1:29">
      <c r="A1036" s="83" t="str">
        <f t="shared" si="112"/>
        <v/>
      </c>
      <c r="B1036" s="83" t="str">
        <f t="shared" si="113"/>
        <v/>
      </c>
      <c r="U1036" s="83" t="str">
        <f t="shared" si="114"/>
        <v/>
      </c>
      <c r="V1036" s="83" t="str">
        <f t="shared" si="115"/>
        <v/>
      </c>
      <c r="AA1036" s="60">
        <f t="shared" si="116"/>
        <v>0</v>
      </c>
      <c r="AB1036" s="49">
        <f t="shared" si="117"/>
        <v>0</v>
      </c>
      <c r="AC1036" s="60">
        <f t="shared" si="118"/>
        <v>0</v>
      </c>
    </row>
    <row r="1037" spans="1:29">
      <c r="A1037" s="83" t="str">
        <f t="shared" si="112"/>
        <v/>
      </c>
      <c r="B1037" s="83" t="str">
        <f t="shared" si="113"/>
        <v/>
      </c>
      <c r="U1037" s="83" t="str">
        <f t="shared" si="114"/>
        <v/>
      </c>
      <c r="V1037" s="83" t="str">
        <f t="shared" si="115"/>
        <v/>
      </c>
      <c r="AA1037" s="60">
        <f t="shared" si="116"/>
        <v>0</v>
      </c>
      <c r="AB1037" s="49">
        <f t="shared" si="117"/>
        <v>0</v>
      </c>
      <c r="AC1037" s="60">
        <f t="shared" si="118"/>
        <v>0</v>
      </c>
    </row>
    <row r="1038" spans="1:29">
      <c r="A1038" s="83" t="str">
        <f t="shared" si="112"/>
        <v/>
      </c>
      <c r="B1038" s="83" t="str">
        <f t="shared" si="113"/>
        <v/>
      </c>
      <c r="U1038" s="83" t="str">
        <f t="shared" si="114"/>
        <v/>
      </c>
      <c r="V1038" s="83" t="str">
        <f t="shared" si="115"/>
        <v/>
      </c>
      <c r="AA1038" s="60">
        <f t="shared" si="116"/>
        <v>0</v>
      </c>
      <c r="AB1038" s="49">
        <f t="shared" si="117"/>
        <v>0</v>
      </c>
      <c r="AC1038" s="60">
        <f t="shared" si="118"/>
        <v>0</v>
      </c>
    </row>
    <row r="1039" spans="1:29">
      <c r="A1039" s="83" t="str">
        <f t="shared" si="112"/>
        <v/>
      </c>
      <c r="B1039" s="83" t="str">
        <f t="shared" si="113"/>
        <v/>
      </c>
      <c r="U1039" s="83" t="str">
        <f t="shared" si="114"/>
        <v/>
      </c>
      <c r="V1039" s="83" t="str">
        <f t="shared" si="115"/>
        <v/>
      </c>
      <c r="AA1039" s="60">
        <f t="shared" si="116"/>
        <v>0</v>
      </c>
      <c r="AB1039" s="49">
        <f t="shared" si="117"/>
        <v>0</v>
      </c>
      <c r="AC1039" s="60">
        <f t="shared" si="118"/>
        <v>0</v>
      </c>
    </row>
    <row r="1040" spans="1:29">
      <c r="A1040" s="83" t="str">
        <f t="shared" si="112"/>
        <v/>
      </c>
      <c r="B1040" s="83" t="str">
        <f t="shared" si="113"/>
        <v/>
      </c>
      <c r="U1040" s="83" t="str">
        <f t="shared" si="114"/>
        <v/>
      </c>
      <c r="V1040" s="83" t="str">
        <f t="shared" si="115"/>
        <v/>
      </c>
      <c r="AA1040" s="60">
        <f t="shared" si="116"/>
        <v>0</v>
      </c>
      <c r="AB1040" s="49">
        <f t="shared" si="117"/>
        <v>0</v>
      </c>
      <c r="AC1040" s="60">
        <f t="shared" si="118"/>
        <v>0</v>
      </c>
    </row>
    <row r="1041" spans="1:29">
      <c r="A1041" s="83" t="str">
        <f t="shared" si="112"/>
        <v/>
      </c>
      <c r="B1041" s="83" t="str">
        <f t="shared" si="113"/>
        <v/>
      </c>
      <c r="U1041" s="83" t="str">
        <f t="shared" si="114"/>
        <v/>
      </c>
      <c r="V1041" s="83" t="str">
        <f t="shared" si="115"/>
        <v/>
      </c>
      <c r="AA1041" s="60">
        <f t="shared" si="116"/>
        <v>0</v>
      </c>
      <c r="AB1041" s="49">
        <f t="shared" si="117"/>
        <v>0</v>
      </c>
      <c r="AC1041" s="60">
        <f t="shared" si="118"/>
        <v>0</v>
      </c>
    </row>
    <row r="1042" spans="1:29">
      <c r="A1042" s="83" t="str">
        <f t="shared" si="112"/>
        <v/>
      </c>
      <c r="B1042" s="83" t="str">
        <f t="shared" si="113"/>
        <v/>
      </c>
      <c r="U1042" s="83" t="str">
        <f t="shared" si="114"/>
        <v/>
      </c>
      <c r="V1042" s="83" t="str">
        <f t="shared" si="115"/>
        <v/>
      </c>
      <c r="AA1042" s="60">
        <f t="shared" si="116"/>
        <v>0</v>
      </c>
      <c r="AB1042" s="49">
        <f t="shared" si="117"/>
        <v>0</v>
      </c>
      <c r="AC1042" s="60">
        <f t="shared" si="118"/>
        <v>0</v>
      </c>
    </row>
    <row r="1043" spans="1:29">
      <c r="A1043" s="83" t="str">
        <f t="shared" si="112"/>
        <v/>
      </c>
      <c r="B1043" s="83" t="str">
        <f t="shared" si="113"/>
        <v/>
      </c>
      <c r="U1043" s="83" t="str">
        <f t="shared" si="114"/>
        <v/>
      </c>
      <c r="V1043" s="83" t="str">
        <f t="shared" si="115"/>
        <v/>
      </c>
      <c r="AA1043" s="60">
        <f t="shared" si="116"/>
        <v>0</v>
      </c>
      <c r="AB1043" s="49">
        <f t="shared" si="117"/>
        <v>0</v>
      </c>
      <c r="AC1043" s="60">
        <f t="shared" si="118"/>
        <v>0</v>
      </c>
    </row>
    <row r="1044" spans="1:29">
      <c r="A1044" s="83" t="str">
        <f t="shared" si="112"/>
        <v/>
      </c>
      <c r="B1044" s="83" t="str">
        <f t="shared" si="113"/>
        <v/>
      </c>
      <c r="U1044" s="83" t="str">
        <f t="shared" si="114"/>
        <v/>
      </c>
      <c r="V1044" s="83" t="str">
        <f t="shared" si="115"/>
        <v/>
      </c>
      <c r="AA1044" s="60">
        <f t="shared" si="116"/>
        <v>0</v>
      </c>
      <c r="AB1044" s="49">
        <f t="shared" si="117"/>
        <v>0</v>
      </c>
      <c r="AC1044" s="60">
        <f t="shared" si="118"/>
        <v>0</v>
      </c>
    </row>
    <row r="1045" spans="1:29">
      <c r="A1045" s="83" t="str">
        <f t="shared" si="112"/>
        <v/>
      </c>
      <c r="B1045" s="83" t="str">
        <f t="shared" si="113"/>
        <v/>
      </c>
      <c r="U1045" s="83" t="str">
        <f t="shared" si="114"/>
        <v/>
      </c>
      <c r="V1045" s="83" t="str">
        <f t="shared" si="115"/>
        <v/>
      </c>
      <c r="AA1045" s="60">
        <f t="shared" si="116"/>
        <v>0</v>
      </c>
      <c r="AB1045" s="49">
        <f t="shared" si="117"/>
        <v>0</v>
      </c>
      <c r="AC1045" s="60">
        <f t="shared" si="118"/>
        <v>0</v>
      </c>
    </row>
    <row r="1046" spans="1:29">
      <c r="A1046" s="83" t="str">
        <f t="shared" si="112"/>
        <v/>
      </c>
      <c r="B1046" s="83" t="str">
        <f t="shared" si="113"/>
        <v/>
      </c>
      <c r="U1046" s="83" t="str">
        <f t="shared" si="114"/>
        <v/>
      </c>
      <c r="V1046" s="83" t="str">
        <f t="shared" si="115"/>
        <v/>
      </c>
      <c r="AA1046" s="60">
        <f t="shared" si="116"/>
        <v>0</v>
      </c>
      <c r="AB1046" s="49">
        <f t="shared" si="117"/>
        <v>0</v>
      </c>
      <c r="AC1046" s="60">
        <f t="shared" si="118"/>
        <v>0</v>
      </c>
    </row>
    <row r="1047" spans="1:29">
      <c r="A1047" s="83" t="str">
        <f t="shared" si="112"/>
        <v/>
      </c>
      <c r="B1047" s="83" t="str">
        <f t="shared" si="113"/>
        <v/>
      </c>
      <c r="U1047" s="83" t="str">
        <f t="shared" si="114"/>
        <v/>
      </c>
      <c r="V1047" s="83" t="str">
        <f t="shared" si="115"/>
        <v/>
      </c>
      <c r="AA1047" s="60">
        <f t="shared" si="116"/>
        <v>0</v>
      </c>
      <c r="AB1047" s="49">
        <f t="shared" si="117"/>
        <v>0</v>
      </c>
      <c r="AC1047" s="60">
        <f t="shared" si="118"/>
        <v>0</v>
      </c>
    </row>
    <row r="1048" spans="1:29">
      <c r="A1048" s="83" t="str">
        <f t="shared" si="112"/>
        <v/>
      </c>
      <c r="B1048" s="83" t="str">
        <f t="shared" si="113"/>
        <v/>
      </c>
      <c r="U1048" s="83" t="str">
        <f t="shared" si="114"/>
        <v/>
      </c>
      <c r="V1048" s="83" t="str">
        <f t="shared" si="115"/>
        <v/>
      </c>
      <c r="AA1048" s="60">
        <f t="shared" si="116"/>
        <v>0</v>
      </c>
      <c r="AB1048" s="49">
        <f t="shared" si="117"/>
        <v>0</v>
      </c>
      <c r="AC1048" s="60">
        <f t="shared" si="118"/>
        <v>0</v>
      </c>
    </row>
    <row r="1049" spans="1:29">
      <c r="A1049" s="83" t="str">
        <f t="shared" si="112"/>
        <v/>
      </c>
      <c r="B1049" s="83" t="str">
        <f t="shared" si="113"/>
        <v/>
      </c>
      <c r="U1049" s="83" t="str">
        <f t="shared" si="114"/>
        <v/>
      </c>
      <c r="V1049" s="83" t="str">
        <f t="shared" si="115"/>
        <v/>
      </c>
      <c r="AA1049" s="60">
        <f t="shared" si="116"/>
        <v>0</v>
      </c>
      <c r="AB1049" s="49">
        <f t="shared" si="117"/>
        <v>0</v>
      </c>
      <c r="AC1049" s="60">
        <f t="shared" si="118"/>
        <v>0</v>
      </c>
    </row>
    <row r="1050" spans="1:29">
      <c r="A1050" s="83" t="str">
        <f t="shared" si="112"/>
        <v/>
      </c>
      <c r="B1050" s="83" t="str">
        <f t="shared" si="113"/>
        <v/>
      </c>
      <c r="U1050" s="83" t="str">
        <f t="shared" si="114"/>
        <v/>
      </c>
      <c r="V1050" s="83" t="str">
        <f t="shared" si="115"/>
        <v/>
      </c>
      <c r="AA1050" s="60">
        <f t="shared" si="116"/>
        <v>0</v>
      </c>
      <c r="AB1050" s="49">
        <f t="shared" si="117"/>
        <v>0</v>
      </c>
      <c r="AC1050" s="60">
        <f t="shared" si="118"/>
        <v>0</v>
      </c>
    </row>
    <row r="1051" spans="1:29">
      <c r="A1051" s="83" t="str">
        <f t="shared" si="112"/>
        <v/>
      </c>
      <c r="B1051" s="83" t="str">
        <f t="shared" si="113"/>
        <v/>
      </c>
      <c r="U1051" s="83" t="str">
        <f t="shared" si="114"/>
        <v/>
      </c>
      <c r="V1051" s="83" t="str">
        <f t="shared" si="115"/>
        <v/>
      </c>
      <c r="AA1051" s="60">
        <f t="shared" si="116"/>
        <v>0</v>
      </c>
      <c r="AB1051" s="49">
        <f t="shared" si="117"/>
        <v>0</v>
      </c>
      <c r="AC1051" s="60">
        <f t="shared" si="118"/>
        <v>0</v>
      </c>
    </row>
    <row r="1052" spans="1:29">
      <c r="A1052" s="83" t="str">
        <f t="shared" si="112"/>
        <v/>
      </c>
      <c r="B1052" s="83" t="str">
        <f t="shared" si="113"/>
        <v/>
      </c>
      <c r="U1052" s="83" t="str">
        <f t="shared" si="114"/>
        <v/>
      </c>
      <c r="V1052" s="83" t="str">
        <f t="shared" si="115"/>
        <v/>
      </c>
      <c r="AA1052" s="60">
        <f t="shared" si="116"/>
        <v>0</v>
      </c>
      <c r="AB1052" s="49">
        <f t="shared" si="117"/>
        <v>0</v>
      </c>
      <c r="AC1052" s="60">
        <f t="shared" si="118"/>
        <v>0</v>
      </c>
    </row>
    <row r="1053" spans="1:29">
      <c r="A1053" s="83" t="str">
        <f t="shared" si="112"/>
        <v/>
      </c>
      <c r="B1053" s="83" t="str">
        <f t="shared" si="113"/>
        <v/>
      </c>
      <c r="U1053" s="83" t="str">
        <f t="shared" si="114"/>
        <v/>
      </c>
      <c r="V1053" s="83" t="str">
        <f t="shared" si="115"/>
        <v/>
      </c>
      <c r="AA1053" s="60">
        <f t="shared" si="116"/>
        <v>0</v>
      </c>
      <c r="AB1053" s="49">
        <f t="shared" si="117"/>
        <v>0</v>
      </c>
      <c r="AC1053" s="60">
        <f t="shared" si="118"/>
        <v>0</v>
      </c>
    </row>
    <row r="1054" spans="1:29">
      <c r="A1054" s="83" t="str">
        <f t="shared" si="112"/>
        <v/>
      </c>
      <c r="B1054" s="83" t="str">
        <f t="shared" si="113"/>
        <v/>
      </c>
      <c r="U1054" s="83" t="str">
        <f t="shared" si="114"/>
        <v/>
      </c>
      <c r="V1054" s="83" t="str">
        <f t="shared" si="115"/>
        <v/>
      </c>
      <c r="AA1054" s="60">
        <f t="shared" si="116"/>
        <v>0</v>
      </c>
      <c r="AB1054" s="49">
        <f t="shared" si="117"/>
        <v>0</v>
      </c>
      <c r="AC1054" s="60">
        <f t="shared" si="118"/>
        <v>0</v>
      </c>
    </row>
    <row r="1055" spans="1:29">
      <c r="A1055" s="83" t="str">
        <f t="shared" si="112"/>
        <v/>
      </c>
      <c r="B1055" s="83" t="str">
        <f t="shared" si="113"/>
        <v/>
      </c>
      <c r="U1055" s="83" t="str">
        <f t="shared" si="114"/>
        <v/>
      </c>
      <c r="V1055" s="83" t="str">
        <f t="shared" si="115"/>
        <v/>
      </c>
      <c r="AA1055" s="60">
        <f t="shared" si="116"/>
        <v>0</v>
      </c>
      <c r="AB1055" s="49">
        <f t="shared" si="117"/>
        <v>0</v>
      </c>
      <c r="AC1055" s="60">
        <f t="shared" si="118"/>
        <v>0</v>
      </c>
    </row>
    <row r="1056" spans="1:29">
      <c r="A1056" s="83" t="str">
        <f t="shared" si="112"/>
        <v/>
      </c>
      <c r="B1056" s="83" t="str">
        <f t="shared" si="113"/>
        <v/>
      </c>
      <c r="U1056" s="83" t="str">
        <f t="shared" si="114"/>
        <v/>
      </c>
      <c r="V1056" s="83" t="str">
        <f t="shared" si="115"/>
        <v/>
      </c>
      <c r="AA1056" s="60">
        <f t="shared" si="116"/>
        <v>0</v>
      </c>
      <c r="AB1056" s="49">
        <f t="shared" si="117"/>
        <v>0</v>
      </c>
      <c r="AC1056" s="60">
        <f t="shared" si="118"/>
        <v>0</v>
      </c>
    </row>
    <row r="1057" spans="1:29">
      <c r="A1057" s="83" t="str">
        <f t="shared" si="112"/>
        <v/>
      </c>
      <c r="B1057" s="83" t="str">
        <f t="shared" si="113"/>
        <v/>
      </c>
      <c r="U1057" s="83" t="str">
        <f t="shared" si="114"/>
        <v/>
      </c>
      <c r="V1057" s="83" t="str">
        <f t="shared" si="115"/>
        <v/>
      </c>
      <c r="AA1057" s="60">
        <f t="shared" si="116"/>
        <v>0</v>
      </c>
      <c r="AB1057" s="49">
        <f t="shared" si="117"/>
        <v>0</v>
      </c>
      <c r="AC1057" s="60">
        <f t="shared" si="118"/>
        <v>0</v>
      </c>
    </row>
    <row r="1058" spans="1:29">
      <c r="A1058" s="83" t="str">
        <f t="shared" si="112"/>
        <v/>
      </c>
      <c r="B1058" s="83" t="str">
        <f t="shared" si="113"/>
        <v/>
      </c>
      <c r="U1058" s="83" t="str">
        <f t="shared" si="114"/>
        <v/>
      </c>
      <c r="V1058" s="83" t="str">
        <f t="shared" si="115"/>
        <v/>
      </c>
      <c r="AA1058" s="60">
        <f t="shared" si="116"/>
        <v>0</v>
      </c>
      <c r="AB1058" s="49">
        <f t="shared" si="117"/>
        <v>0</v>
      </c>
      <c r="AC1058" s="60">
        <f t="shared" si="118"/>
        <v>0</v>
      </c>
    </row>
    <row r="1059" spans="1:29">
      <c r="A1059" s="83" t="str">
        <f t="shared" si="112"/>
        <v/>
      </c>
      <c r="B1059" s="83" t="str">
        <f t="shared" si="113"/>
        <v/>
      </c>
      <c r="U1059" s="83" t="str">
        <f t="shared" si="114"/>
        <v/>
      </c>
      <c r="V1059" s="83" t="str">
        <f t="shared" si="115"/>
        <v/>
      </c>
      <c r="AA1059" s="60">
        <f t="shared" si="116"/>
        <v>0</v>
      </c>
      <c r="AB1059" s="49">
        <f t="shared" si="117"/>
        <v>0</v>
      </c>
      <c r="AC1059" s="60">
        <f t="shared" si="118"/>
        <v>0</v>
      </c>
    </row>
    <row r="1060" spans="1:29">
      <c r="A1060" s="83" t="str">
        <f t="shared" si="112"/>
        <v/>
      </c>
      <c r="B1060" s="83" t="str">
        <f t="shared" si="113"/>
        <v/>
      </c>
      <c r="U1060" s="83" t="str">
        <f t="shared" si="114"/>
        <v/>
      </c>
      <c r="V1060" s="83" t="str">
        <f t="shared" si="115"/>
        <v/>
      </c>
      <c r="AA1060" s="60">
        <f t="shared" si="116"/>
        <v>0</v>
      </c>
      <c r="AB1060" s="49">
        <f t="shared" si="117"/>
        <v>0</v>
      </c>
      <c r="AC1060" s="60">
        <f t="shared" si="118"/>
        <v>0</v>
      </c>
    </row>
    <row r="1061" spans="1:29">
      <c r="A1061" s="83" t="str">
        <f t="shared" si="112"/>
        <v/>
      </c>
      <c r="B1061" s="83" t="str">
        <f t="shared" si="113"/>
        <v/>
      </c>
      <c r="U1061" s="83" t="str">
        <f t="shared" si="114"/>
        <v/>
      </c>
      <c r="V1061" s="83" t="str">
        <f t="shared" si="115"/>
        <v/>
      </c>
      <c r="AA1061" s="60">
        <f t="shared" si="116"/>
        <v>0</v>
      </c>
      <c r="AB1061" s="49">
        <f t="shared" si="117"/>
        <v>0</v>
      </c>
      <c r="AC1061" s="60">
        <f t="shared" si="118"/>
        <v>0</v>
      </c>
    </row>
    <row r="1062" spans="1:29">
      <c r="A1062" s="83" t="str">
        <f t="shared" si="112"/>
        <v/>
      </c>
      <c r="B1062" s="83" t="str">
        <f t="shared" si="113"/>
        <v/>
      </c>
      <c r="U1062" s="83" t="str">
        <f t="shared" si="114"/>
        <v/>
      </c>
      <c r="V1062" s="83" t="str">
        <f t="shared" si="115"/>
        <v/>
      </c>
      <c r="AA1062" s="60">
        <f t="shared" si="116"/>
        <v>0</v>
      </c>
      <c r="AB1062" s="49">
        <f t="shared" si="117"/>
        <v>0</v>
      </c>
      <c r="AC1062" s="60">
        <f t="shared" si="118"/>
        <v>0</v>
      </c>
    </row>
    <row r="1063" spans="1:29">
      <c r="A1063" s="83" t="str">
        <f t="shared" si="112"/>
        <v/>
      </c>
      <c r="B1063" s="83" t="str">
        <f t="shared" si="113"/>
        <v/>
      </c>
      <c r="U1063" s="83" t="str">
        <f t="shared" si="114"/>
        <v/>
      </c>
      <c r="V1063" s="83" t="str">
        <f t="shared" si="115"/>
        <v/>
      </c>
      <c r="AA1063" s="60">
        <f t="shared" si="116"/>
        <v>0</v>
      </c>
      <c r="AB1063" s="49">
        <f t="shared" si="117"/>
        <v>0</v>
      </c>
      <c r="AC1063" s="60">
        <f t="shared" si="118"/>
        <v>0</v>
      </c>
    </row>
    <row r="1064" spans="1:29">
      <c r="A1064" s="83" t="str">
        <f t="shared" si="112"/>
        <v/>
      </c>
      <c r="B1064" s="83" t="str">
        <f t="shared" si="113"/>
        <v/>
      </c>
      <c r="U1064" s="83" t="str">
        <f t="shared" si="114"/>
        <v/>
      </c>
      <c r="V1064" s="83" t="str">
        <f t="shared" si="115"/>
        <v/>
      </c>
      <c r="AA1064" s="60">
        <f t="shared" si="116"/>
        <v>0</v>
      </c>
      <c r="AB1064" s="49">
        <f t="shared" si="117"/>
        <v>0</v>
      </c>
      <c r="AC1064" s="60">
        <f t="shared" si="118"/>
        <v>0</v>
      </c>
    </row>
    <row r="1065" spans="1:29">
      <c r="A1065" s="83" t="str">
        <f t="shared" si="112"/>
        <v/>
      </c>
      <c r="B1065" s="83" t="str">
        <f t="shared" si="113"/>
        <v/>
      </c>
      <c r="U1065" s="83" t="str">
        <f t="shared" si="114"/>
        <v/>
      </c>
      <c r="V1065" s="83" t="str">
        <f t="shared" si="115"/>
        <v/>
      </c>
      <c r="AA1065" s="60">
        <f t="shared" si="116"/>
        <v>0</v>
      </c>
      <c r="AB1065" s="49">
        <f t="shared" si="117"/>
        <v>0</v>
      </c>
      <c r="AC1065" s="60">
        <f t="shared" si="118"/>
        <v>0</v>
      </c>
    </row>
    <row r="1066" spans="1:29">
      <c r="A1066" s="83" t="str">
        <f t="shared" si="112"/>
        <v/>
      </c>
      <c r="B1066" s="83" t="str">
        <f t="shared" si="113"/>
        <v/>
      </c>
      <c r="U1066" s="83" t="str">
        <f t="shared" si="114"/>
        <v/>
      </c>
      <c r="V1066" s="83" t="str">
        <f t="shared" si="115"/>
        <v/>
      </c>
      <c r="AA1066" s="60">
        <f t="shared" si="116"/>
        <v>0</v>
      </c>
      <c r="AB1066" s="49">
        <f t="shared" si="117"/>
        <v>0</v>
      </c>
      <c r="AC1066" s="60">
        <f t="shared" si="118"/>
        <v>0</v>
      </c>
    </row>
    <row r="1067" spans="1:29">
      <c r="A1067" s="83" t="str">
        <f t="shared" si="112"/>
        <v/>
      </c>
      <c r="B1067" s="83" t="str">
        <f t="shared" si="113"/>
        <v/>
      </c>
      <c r="U1067" s="83" t="str">
        <f t="shared" si="114"/>
        <v/>
      </c>
      <c r="V1067" s="83" t="str">
        <f t="shared" si="115"/>
        <v/>
      </c>
      <c r="AA1067" s="60">
        <f t="shared" si="116"/>
        <v>0</v>
      </c>
      <c r="AB1067" s="49">
        <f t="shared" si="117"/>
        <v>0</v>
      </c>
      <c r="AC1067" s="60">
        <f t="shared" si="118"/>
        <v>0</v>
      </c>
    </row>
    <row r="1068" spans="1:29">
      <c r="A1068" s="83" t="str">
        <f t="shared" si="112"/>
        <v/>
      </c>
      <c r="B1068" s="83" t="str">
        <f t="shared" si="113"/>
        <v/>
      </c>
      <c r="U1068" s="83" t="str">
        <f t="shared" si="114"/>
        <v/>
      </c>
      <c r="V1068" s="83" t="str">
        <f t="shared" si="115"/>
        <v/>
      </c>
      <c r="AA1068" s="60">
        <f t="shared" si="116"/>
        <v>0</v>
      </c>
      <c r="AB1068" s="49">
        <f t="shared" si="117"/>
        <v>0</v>
      </c>
      <c r="AC1068" s="60">
        <f t="shared" si="118"/>
        <v>0</v>
      </c>
    </row>
    <row r="1069" spans="1:29">
      <c r="A1069" s="83" t="str">
        <f t="shared" si="112"/>
        <v/>
      </c>
      <c r="B1069" s="83" t="str">
        <f t="shared" si="113"/>
        <v/>
      </c>
      <c r="U1069" s="83" t="str">
        <f t="shared" si="114"/>
        <v/>
      </c>
      <c r="V1069" s="83" t="str">
        <f t="shared" si="115"/>
        <v/>
      </c>
      <c r="AA1069" s="60">
        <f t="shared" si="116"/>
        <v>0</v>
      </c>
      <c r="AB1069" s="49">
        <f t="shared" si="117"/>
        <v>0</v>
      </c>
      <c r="AC1069" s="60">
        <f t="shared" si="118"/>
        <v>0</v>
      </c>
    </row>
    <row r="1070" spans="1:29">
      <c r="A1070" s="83" t="str">
        <f t="shared" si="112"/>
        <v/>
      </c>
      <c r="B1070" s="83" t="str">
        <f t="shared" si="113"/>
        <v/>
      </c>
      <c r="U1070" s="83" t="str">
        <f t="shared" si="114"/>
        <v/>
      </c>
      <c r="V1070" s="83" t="str">
        <f t="shared" si="115"/>
        <v/>
      </c>
      <c r="AA1070" s="60">
        <f t="shared" si="116"/>
        <v>0</v>
      </c>
      <c r="AB1070" s="49">
        <f t="shared" si="117"/>
        <v>0</v>
      </c>
      <c r="AC1070" s="60">
        <f t="shared" si="118"/>
        <v>0</v>
      </c>
    </row>
    <row r="1071" spans="1:29">
      <c r="A1071" s="83" t="str">
        <f t="shared" si="112"/>
        <v/>
      </c>
      <c r="B1071" s="83" t="str">
        <f t="shared" si="113"/>
        <v/>
      </c>
      <c r="U1071" s="83" t="str">
        <f t="shared" si="114"/>
        <v/>
      </c>
      <c r="V1071" s="83" t="str">
        <f t="shared" si="115"/>
        <v/>
      </c>
      <c r="AA1071" s="60">
        <f t="shared" si="116"/>
        <v>0</v>
      </c>
      <c r="AB1071" s="49">
        <f t="shared" si="117"/>
        <v>0</v>
      </c>
      <c r="AC1071" s="60">
        <f t="shared" si="118"/>
        <v>0</v>
      </c>
    </row>
    <row r="1072" spans="1:29">
      <c r="A1072" s="83" t="str">
        <f t="shared" si="112"/>
        <v/>
      </c>
      <c r="B1072" s="83" t="str">
        <f t="shared" si="113"/>
        <v/>
      </c>
      <c r="U1072" s="83" t="str">
        <f t="shared" si="114"/>
        <v/>
      </c>
      <c r="V1072" s="83" t="str">
        <f t="shared" si="115"/>
        <v/>
      </c>
      <c r="AA1072" s="60">
        <f t="shared" si="116"/>
        <v>0</v>
      </c>
      <c r="AB1072" s="49">
        <f t="shared" si="117"/>
        <v>0</v>
      </c>
      <c r="AC1072" s="60">
        <f t="shared" si="118"/>
        <v>0</v>
      </c>
    </row>
    <row r="1073" spans="1:29">
      <c r="A1073" s="83" t="str">
        <f t="shared" si="112"/>
        <v/>
      </c>
      <c r="B1073" s="83" t="str">
        <f t="shared" si="113"/>
        <v/>
      </c>
      <c r="U1073" s="83" t="str">
        <f t="shared" si="114"/>
        <v/>
      </c>
      <c r="V1073" s="83" t="str">
        <f t="shared" si="115"/>
        <v/>
      </c>
      <c r="AA1073" s="60">
        <f t="shared" si="116"/>
        <v>0</v>
      </c>
      <c r="AB1073" s="49">
        <f t="shared" si="117"/>
        <v>0</v>
      </c>
      <c r="AC1073" s="60">
        <f t="shared" si="118"/>
        <v>0</v>
      </c>
    </row>
    <row r="1074" spans="1:29">
      <c r="A1074" s="83" t="str">
        <f t="shared" si="112"/>
        <v/>
      </c>
      <c r="B1074" s="83" t="str">
        <f t="shared" si="113"/>
        <v/>
      </c>
      <c r="U1074" s="83" t="str">
        <f t="shared" si="114"/>
        <v/>
      </c>
      <c r="V1074" s="83" t="str">
        <f t="shared" si="115"/>
        <v/>
      </c>
      <c r="AA1074" s="60">
        <f t="shared" si="116"/>
        <v>0</v>
      </c>
      <c r="AB1074" s="49">
        <f t="shared" si="117"/>
        <v>0</v>
      </c>
      <c r="AC1074" s="60">
        <f t="shared" si="118"/>
        <v>0</v>
      </c>
    </row>
    <row r="1075" spans="1:29">
      <c r="A1075" s="83" t="str">
        <f t="shared" si="112"/>
        <v/>
      </c>
      <c r="B1075" s="83" t="str">
        <f t="shared" si="113"/>
        <v/>
      </c>
      <c r="U1075" s="83" t="str">
        <f t="shared" si="114"/>
        <v/>
      </c>
      <c r="V1075" s="83" t="str">
        <f t="shared" si="115"/>
        <v/>
      </c>
      <c r="AA1075" s="60">
        <f t="shared" si="116"/>
        <v>0</v>
      </c>
      <c r="AB1075" s="49">
        <f t="shared" si="117"/>
        <v>0</v>
      </c>
      <c r="AC1075" s="60">
        <f t="shared" si="118"/>
        <v>0</v>
      </c>
    </row>
    <row r="1076" spans="1:29">
      <c r="A1076" s="83" t="str">
        <f t="shared" si="112"/>
        <v/>
      </c>
      <c r="B1076" s="83" t="str">
        <f t="shared" si="113"/>
        <v/>
      </c>
      <c r="U1076" s="83" t="str">
        <f t="shared" si="114"/>
        <v/>
      </c>
      <c r="V1076" s="83" t="str">
        <f t="shared" si="115"/>
        <v/>
      </c>
      <c r="AA1076" s="60">
        <f t="shared" si="116"/>
        <v>0</v>
      </c>
      <c r="AB1076" s="49">
        <f t="shared" si="117"/>
        <v>0</v>
      </c>
      <c r="AC1076" s="60">
        <f t="shared" si="118"/>
        <v>0</v>
      </c>
    </row>
    <row r="1077" spans="1:29">
      <c r="A1077" s="83" t="str">
        <f t="shared" si="112"/>
        <v/>
      </c>
      <c r="B1077" s="83" t="str">
        <f t="shared" si="113"/>
        <v/>
      </c>
      <c r="U1077" s="83" t="str">
        <f t="shared" si="114"/>
        <v/>
      </c>
      <c r="V1077" s="83" t="str">
        <f t="shared" si="115"/>
        <v/>
      </c>
      <c r="AA1077" s="60">
        <f t="shared" si="116"/>
        <v>0</v>
      </c>
      <c r="AB1077" s="49">
        <f t="shared" si="117"/>
        <v>0</v>
      </c>
      <c r="AC1077" s="60">
        <f t="shared" si="118"/>
        <v>0</v>
      </c>
    </row>
    <row r="1078" spans="1:29">
      <c r="A1078" s="83" t="str">
        <f t="shared" si="112"/>
        <v/>
      </c>
      <c r="B1078" s="83" t="str">
        <f t="shared" si="113"/>
        <v/>
      </c>
      <c r="U1078" s="83" t="str">
        <f t="shared" si="114"/>
        <v/>
      </c>
      <c r="V1078" s="83" t="str">
        <f t="shared" si="115"/>
        <v/>
      </c>
      <c r="AA1078" s="60">
        <f t="shared" si="116"/>
        <v>0</v>
      </c>
      <c r="AB1078" s="49">
        <f t="shared" si="117"/>
        <v>0</v>
      </c>
      <c r="AC1078" s="60">
        <f t="shared" si="118"/>
        <v>0</v>
      </c>
    </row>
    <row r="1079" spans="1:29">
      <c r="A1079" s="83" t="str">
        <f t="shared" si="112"/>
        <v/>
      </c>
      <c r="B1079" s="83" t="str">
        <f t="shared" si="113"/>
        <v/>
      </c>
      <c r="U1079" s="83" t="str">
        <f t="shared" si="114"/>
        <v/>
      </c>
      <c r="V1079" s="83" t="str">
        <f t="shared" si="115"/>
        <v/>
      </c>
      <c r="AA1079" s="60">
        <f t="shared" si="116"/>
        <v>0</v>
      </c>
      <c r="AB1079" s="49">
        <f t="shared" si="117"/>
        <v>0</v>
      </c>
      <c r="AC1079" s="60">
        <f t="shared" si="118"/>
        <v>0</v>
      </c>
    </row>
    <row r="1080" spans="1:29">
      <c r="A1080" s="83" t="str">
        <f t="shared" si="112"/>
        <v/>
      </c>
      <c r="B1080" s="83" t="str">
        <f t="shared" si="113"/>
        <v/>
      </c>
      <c r="U1080" s="83" t="str">
        <f t="shared" si="114"/>
        <v/>
      </c>
      <c r="V1080" s="83" t="str">
        <f t="shared" si="115"/>
        <v/>
      </c>
      <c r="AA1080" s="60">
        <f t="shared" si="116"/>
        <v>0</v>
      </c>
      <c r="AB1080" s="49">
        <f t="shared" si="117"/>
        <v>0</v>
      </c>
      <c r="AC1080" s="60">
        <f t="shared" si="118"/>
        <v>0</v>
      </c>
    </row>
    <row r="1081" spans="1:29">
      <c r="A1081" s="83" t="str">
        <f t="shared" si="112"/>
        <v/>
      </c>
      <c r="B1081" s="83" t="str">
        <f t="shared" si="113"/>
        <v/>
      </c>
      <c r="U1081" s="83" t="str">
        <f t="shared" si="114"/>
        <v/>
      </c>
      <c r="V1081" s="83" t="str">
        <f t="shared" si="115"/>
        <v/>
      </c>
      <c r="AA1081" s="60">
        <f t="shared" si="116"/>
        <v>0</v>
      </c>
      <c r="AB1081" s="49">
        <f t="shared" si="117"/>
        <v>0</v>
      </c>
      <c r="AC1081" s="60">
        <f t="shared" si="118"/>
        <v>0</v>
      </c>
    </row>
    <row r="1082" spans="1:29">
      <c r="A1082" s="83" t="str">
        <f t="shared" si="112"/>
        <v/>
      </c>
      <c r="B1082" s="83" t="str">
        <f t="shared" si="113"/>
        <v/>
      </c>
      <c r="U1082" s="83" t="str">
        <f t="shared" si="114"/>
        <v/>
      </c>
      <c r="V1082" s="83" t="str">
        <f t="shared" si="115"/>
        <v/>
      </c>
      <c r="AA1082" s="60">
        <f t="shared" si="116"/>
        <v>0</v>
      </c>
      <c r="AB1082" s="49">
        <f t="shared" si="117"/>
        <v>0</v>
      </c>
      <c r="AC1082" s="60">
        <f t="shared" si="118"/>
        <v>0</v>
      </c>
    </row>
    <row r="1083" spans="1:29">
      <c r="A1083" s="83" t="str">
        <f t="shared" si="112"/>
        <v/>
      </c>
      <c r="B1083" s="83" t="str">
        <f t="shared" si="113"/>
        <v/>
      </c>
      <c r="U1083" s="83" t="str">
        <f t="shared" si="114"/>
        <v/>
      </c>
      <c r="V1083" s="83" t="str">
        <f t="shared" si="115"/>
        <v/>
      </c>
      <c r="AA1083" s="60">
        <f t="shared" si="116"/>
        <v>0</v>
      </c>
      <c r="AB1083" s="49">
        <f t="shared" si="117"/>
        <v>0</v>
      </c>
      <c r="AC1083" s="60">
        <f t="shared" si="118"/>
        <v>0</v>
      </c>
    </row>
    <row r="1084" spans="1:29">
      <c r="A1084" s="83" t="str">
        <f t="shared" si="112"/>
        <v/>
      </c>
      <c r="B1084" s="83" t="str">
        <f t="shared" si="113"/>
        <v/>
      </c>
      <c r="U1084" s="83" t="str">
        <f t="shared" si="114"/>
        <v/>
      </c>
      <c r="V1084" s="83" t="str">
        <f t="shared" si="115"/>
        <v/>
      </c>
      <c r="AA1084" s="60">
        <f t="shared" si="116"/>
        <v>0</v>
      </c>
      <c r="AB1084" s="49">
        <f t="shared" si="117"/>
        <v>0</v>
      </c>
      <c r="AC1084" s="60">
        <f t="shared" si="118"/>
        <v>0</v>
      </c>
    </row>
    <row r="1085" spans="1:29">
      <c r="A1085" s="83" t="str">
        <f t="shared" si="112"/>
        <v/>
      </c>
      <c r="B1085" s="83" t="str">
        <f t="shared" si="113"/>
        <v/>
      </c>
      <c r="U1085" s="83" t="str">
        <f t="shared" si="114"/>
        <v/>
      </c>
      <c r="V1085" s="83" t="str">
        <f t="shared" si="115"/>
        <v/>
      </c>
      <c r="AA1085" s="60">
        <f t="shared" si="116"/>
        <v>0</v>
      </c>
      <c r="AB1085" s="49">
        <f t="shared" si="117"/>
        <v>0</v>
      </c>
      <c r="AC1085" s="60">
        <f t="shared" si="118"/>
        <v>0</v>
      </c>
    </row>
    <row r="1086" spans="1:29">
      <c r="A1086" s="83" t="str">
        <f t="shared" si="112"/>
        <v/>
      </c>
      <c r="B1086" s="83" t="str">
        <f t="shared" si="113"/>
        <v/>
      </c>
      <c r="U1086" s="83" t="str">
        <f t="shared" si="114"/>
        <v/>
      </c>
      <c r="V1086" s="83" t="str">
        <f t="shared" si="115"/>
        <v/>
      </c>
      <c r="AA1086" s="60">
        <f t="shared" si="116"/>
        <v>0</v>
      </c>
      <c r="AB1086" s="49">
        <f t="shared" si="117"/>
        <v>0</v>
      </c>
      <c r="AC1086" s="60">
        <f t="shared" si="118"/>
        <v>0</v>
      </c>
    </row>
    <row r="1087" spans="1:29">
      <c r="A1087" s="83" t="str">
        <f t="shared" si="112"/>
        <v/>
      </c>
      <c r="B1087" s="83" t="str">
        <f t="shared" si="113"/>
        <v/>
      </c>
      <c r="U1087" s="83" t="str">
        <f t="shared" si="114"/>
        <v/>
      </c>
      <c r="V1087" s="83" t="str">
        <f t="shared" si="115"/>
        <v/>
      </c>
      <c r="AA1087" s="60">
        <f t="shared" si="116"/>
        <v>0</v>
      </c>
      <c r="AB1087" s="49">
        <f t="shared" si="117"/>
        <v>0</v>
      </c>
      <c r="AC1087" s="60">
        <f t="shared" si="118"/>
        <v>0</v>
      </c>
    </row>
    <row r="1088" spans="1:29">
      <c r="A1088" s="83" t="str">
        <f t="shared" si="112"/>
        <v/>
      </c>
      <c r="B1088" s="83" t="str">
        <f t="shared" si="113"/>
        <v/>
      </c>
      <c r="U1088" s="83" t="str">
        <f t="shared" si="114"/>
        <v/>
      </c>
      <c r="V1088" s="83" t="str">
        <f t="shared" si="115"/>
        <v/>
      </c>
      <c r="AA1088" s="60">
        <f t="shared" si="116"/>
        <v>0</v>
      </c>
      <c r="AB1088" s="49">
        <f t="shared" si="117"/>
        <v>0</v>
      </c>
      <c r="AC1088" s="60">
        <f t="shared" si="118"/>
        <v>0</v>
      </c>
    </row>
    <row r="1089" spans="1:29">
      <c r="A1089" s="83" t="str">
        <f t="shared" si="112"/>
        <v/>
      </c>
      <c r="B1089" s="83" t="str">
        <f t="shared" si="113"/>
        <v/>
      </c>
      <c r="U1089" s="83" t="str">
        <f t="shared" si="114"/>
        <v/>
      </c>
      <c r="V1089" s="83" t="str">
        <f t="shared" si="115"/>
        <v/>
      </c>
      <c r="AA1089" s="60">
        <f t="shared" si="116"/>
        <v>0</v>
      </c>
      <c r="AB1089" s="49">
        <f t="shared" si="117"/>
        <v>0</v>
      </c>
      <c r="AC1089" s="60">
        <f t="shared" si="118"/>
        <v>0</v>
      </c>
    </row>
    <row r="1090" spans="1:29">
      <c r="A1090" s="83" t="str">
        <f t="shared" si="112"/>
        <v/>
      </c>
      <c r="B1090" s="83" t="str">
        <f t="shared" si="113"/>
        <v/>
      </c>
      <c r="U1090" s="83" t="str">
        <f t="shared" si="114"/>
        <v/>
      </c>
      <c r="V1090" s="83" t="str">
        <f t="shared" si="115"/>
        <v/>
      </c>
      <c r="AA1090" s="60">
        <f t="shared" si="116"/>
        <v>0</v>
      </c>
      <c r="AB1090" s="49">
        <f t="shared" si="117"/>
        <v>0</v>
      </c>
      <c r="AC1090" s="60">
        <f t="shared" si="118"/>
        <v>0</v>
      </c>
    </row>
    <row r="1091" spans="1:29">
      <c r="A1091" s="83" t="str">
        <f t="shared" ref="A1091:A1154" si="119">IF(G1091&amp;Q1091&lt;&gt;"",U1091&amp;Q1091,"")</f>
        <v/>
      </c>
      <c r="B1091" s="83" t="str">
        <f t="shared" ref="B1091:B1154" si="120">IF(C1091&lt;&gt;"",LEFT(C1091,9),"")</f>
        <v/>
      </c>
      <c r="U1091" s="83" t="str">
        <f t="shared" ref="U1091:U1154" si="121">IF(G1091&lt;&gt;"",IF(StyleSpaceSplit,IFERROR(IF(FIND(" ",G1091)&gt;=1,MID(G1091,1,FIND(" ",G1091)-1),G1091),G1091),G1091),"")</f>
        <v/>
      </c>
      <c r="V1091" s="83" t="str">
        <f t="shared" ref="V1091:V1154" si="122">IF(A1091&lt;&gt;"",IFERROR(IF(FIND(" ",G1091)&gt;=1,MID(G1091,FIND(" ",G1091)+1,LEN(G1091)),""),G1091),"")</f>
        <v/>
      </c>
      <c r="AA1091" s="60">
        <f t="shared" ref="AA1091:AA1154" si="123">IFERROR(VALUE(MID($C1091,1,2)),0)</f>
        <v>0</v>
      </c>
      <c r="AB1091" s="49">
        <f t="shared" ref="AB1091:AB1154" si="124">IFERROR(VALUE(MID($C1091,4,3)),0)</f>
        <v>0</v>
      </c>
      <c r="AC1091" s="60">
        <f t="shared" ref="AC1091:AC1154" si="125">VALUE(RIGHT("00"&amp;AA1091,2)&amp;RIGHT("000"&amp;AB1091,3))</f>
        <v>0</v>
      </c>
    </row>
    <row r="1092" spans="1:29">
      <c r="A1092" s="83" t="str">
        <f t="shared" si="119"/>
        <v/>
      </c>
      <c r="B1092" s="83" t="str">
        <f t="shared" si="120"/>
        <v/>
      </c>
      <c r="U1092" s="83" t="str">
        <f t="shared" si="121"/>
        <v/>
      </c>
      <c r="V1092" s="83" t="str">
        <f t="shared" si="122"/>
        <v/>
      </c>
      <c r="AA1092" s="60">
        <f t="shared" si="123"/>
        <v>0</v>
      </c>
      <c r="AB1092" s="49">
        <f t="shared" si="124"/>
        <v>0</v>
      </c>
      <c r="AC1092" s="60">
        <f t="shared" si="125"/>
        <v>0</v>
      </c>
    </row>
    <row r="1093" spans="1:29">
      <c r="A1093" s="83" t="str">
        <f t="shared" si="119"/>
        <v/>
      </c>
      <c r="B1093" s="83" t="str">
        <f t="shared" si="120"/>
        <v/>
      </c>
      <c r="U1093" s="83" t="str">
        <f t="shared" si="121"/>
        <v/>
      </c>
      <c r="V1093" s="83" t="str">
        <f t="shared" si="122"/>
        <v/>
      </c>
      <c r="AA1093" s="60">
        <f t="shared" si="123"/>
        <v>0</v>
      </c>
      <c r="AB1093" s="49">
        <f t="shared" si="124"/>
        <v>0</v>
      </c>
      <c r="AC1093" s="60">
        <f t="shared" si="125"/>
        <v>0</v>
      </c>
    </row>
    <row r="1094" spans="1:29">
      <c r="A1094" s="83" t="str">
        <f t="shared" si="119"/>
        <v/>
      </c>
      <c r="B1094" s="83" t="str">
        <f t="shared" si="120"/>
        <v/>
      </c>
      <c r="U1094" s="83" t="str">
        <f t="shared" si="121"/>
        <v/>
      </c>
      <c r="V1094" s="83" t="str">
        <f t="shared" si="122"/>
        <v/>
      </c>
      <c r="AA1094" s="60">
        <f t="shared" si="123"/>
        <v>0</v>
      </c>
      <c r="AB1094" s="49">
        <f t="shared" si="124"/>
        <v>0</v>
      </c>
      <c r="AC1094" s="60">
        <f t="shared" si="125"/>
        <v>0</v>
      </c>
    </row>
    <row r="1095" spans="1:29">
      <c r="A1095" s="83" t="str">
        <f t="shared" si="119"/>
        <v/>
      </c>
      <c r="B1095" s="83" t="str">
        <f t="shared" si="120"/>
        <v/>
      </c>
      <c r="U1095" s="83" t="str">
        <f t="shared" si="121"/>
        <v/>
      </c>
      <c r="V1095" s="83" t="str">
        <f t="shared" si="122"/>
        <v/>
      </c>
      <c r="AA1095" s="60">
        <f t="shared" si="123"/>
        <v>0</v>
      </c>
      <c r="AB1095" s="49">
        <f t="shared" si="124"/>
        <v>0</v>
      </c>
      <c r="AC1095" s="60">
        <f t="shared" si="125"/>
        <v>0</v>
      </c>
    </row>
    <row r="1096" spans="1:29">
      <c r="A1096" s="83" t="str">
        <f t="shared" si="119"/>
        <v/>
      </c>
      <c r="B1096" s="83" t="str">
        <f t="shared" si="120"/>
        <v/>
      </c>
      <c r="U1096" s="83" t="str">
        <f t="shared" si="121"/>
        <v/>
      </c>
      <c r="V1096" s="83" t="str">
        <f t="shared" si="122"/>
        <v/>
      </c>
      <c r="AA1096" s="60">
        <f t="shared" si="123"/>
        <v>0</v>
      </c>
      <c r="AB1096" s="49">
        <f t="shared" si="124"/>
        <v>0</v>
      </c>
      <c r="AC1096" s="60">
        <f t="shared" si="125"/>
        <v>0</v>
      </c>
    </row>
    <row r="1097" spans="1:29">
      <c r="A1097" s="83" t="str">
        <f t="shared" si="119"/>
        <v/>
      </c>
      <c r="B1097" s="83" t="str">
        <f t="shared" si="120"/>
        <v/>
      </c>
      <c r="U1097" s="83" t="str">
        <f t="shared" si="121"/>
        <v/>
      </c>
      <c r="V1097" s="83" t="str">
        <f t="shared" si="122"/>
        <v/>
      </c>
      <c r="AA1097" s="60">
        <f t="shared" si="123"/>
        <v>0</v>
      </c>
      <c r="AB1097" s="49">
        <f t="shared" si="124"/>
        <v>0</v>
      </c>
      <c r="AC1097" s="60">
        <f t="shared" si="125"/>
        <v>0</v>
      </c>
    </row>
    <row r="1098" spans="1:29">
      <c r="A1098" s="83" t="str">
        <f t="shared" si="119"/>
        <v/>
      </c>
      <c r="B1098" s="83" t="str">
        <f t="shared" si="120"/>
        <v/>
      </c>
      <c r="U1098" s="83" t="str">
        <f t="shared" si="121"/>
        <v/>
      </c>
      <c r="V1098" s="83" t="str">
        <f t="shared" si="122"/>
        <v/>
      </c>
      <c r="AA1098" s="60">
        <f t="shared" si="123"/>
        <v>0</v>
      </c>
      <c r="AB1098" s="49">
        <f t="shared" si="124"/>
        <v>0</v>
      </c>
      <c r="AC1098" s="60">
        <f t="shared" si="125"/>
        <v>0</v>
      </c>
    </row>
    <row r="1099" spans="1:29">
      <c r="A1099" s="83" t="str">
        <f t="shared" si="119"/>
        <v/>
      </c>
      <c r="B1099" s="83" t="str">
        <f t="shared" si="120"/>
        <v/>
      </c>
      <c r="U1099" s="83" t="str">
        <f t="shared" si="121"/>
        <v/>
      </c>
      <c r="V1099" s="83" t="str">
        <f t="shared" si="122"/>
        <v/>
      </c>
      <c r="AA1099" s="60">
        <f t="shared" si="123"/>
        <v>0</v>
      </c>
      <c r="AB1099" s="49">
        <f t="shared" si="124"/>
        <v>0</v>
      </c>
      <c r="AC1099" s="60">
        <f t="shared" si="125"/>
        <v>0</v>
      </c>
    </row>
    <row r="1100" spans="1:29">
      <c r="A1100" s="83" t="str">
        <f t="shared" si="119"/>
        <v/>
      </c>
      <c r="B1100" s="83" t="str">
        <f t="shared" si="120"/>
        <v/>
      </c>
      <c r="U1100" s="83" t="str">
        <f t="shared" si="121"/>
        <v/>
      </c>
      <c r="V1100" s="83" t="str">
        <f t="shared" si="122"/>
        <v/>
      </c>
      <c r="AA1100" s="60">
        <f t="shared" si="123"/>
        <v>0</v>
      </c>
      <c r="AB1100" s="49">
        <f t="shared" si="124"/>
        <v>0</v>
      </c>
      <c r="AC1100" s="60">
        <f t="shared" si="125"/>
        <v>0</v>
      </c>
    </row>
    <row r="1101" spans="1:29">
      <c r="A1101" s="83" t="str">
        <f t="shared" si="119"/>
        <v/>
      </c>
      <c r="B1101" s="83" t="str">
        <f t="shared" si="120"/>
        <v/>
      </c>
      <c r="U1101" s="83" t="str">
        <f t="shared" si="121"/>
        <v/>
      </c>
      <c r="V1101" s="83" t="str">
        <f t="shared" si="122"/>
        <v/>
      </c>
      <c r="AA1101" s="60">
        <f t="shared" si="123"/>
        <v>0</v>
      </c>
      <c r="AB1101" s="49">
        <f t="shared" si="124"/>
        <v>0</v>
      </c>
      <c r="AC1101" s="60">
        <f t="shared" si="125"/>
        <v>0</v>
      </c>
    </row>
    <row r="1102" spans="1:29">
      <c r="A1102" s="83" t="str">
        <f t="shared" si="119"/>
        <v/>
      </c>
      <c r="B1102" s="83" t="str">
        <f t="shared" si="120"/>
        <v/>
      </c>
      <c r="U1102" s="83" t="str">
        <f t="shared" si="121"/>
        <v/>
      </c>
      <c r="V1102" s="83" t="str">
        <f t="shared" si="122"/>
        <v/>
      </c>
      <c r="AA1102" s="60">
        <f t="shared" si="123"/>
        <v>0</v>
      </c>
      <c r="AB1102" s="49">
        <f t="shared" si="124"/>
        <v>0</v>
      </c>
      <c r="AC1102" s="60">
        <f t="shared" si="125"/>
        <v>0</v>
      </c>
    </row>
    <row r="1103" spans="1:29">
      <c r="A1103" s="83" t="str">
        <f t="shared" si="119"/>
        <v/>
      </c>
      <c r="B1103" s="83" t="str">
        <f t="shared" si="120"/>
        <v/>
      </c>
      <c r="U1103" s="83" t="str">
        <f t="shared" si="121"/>
        <v/>
      </c>
      <c r="V1103" s="83" t="str">
        <f t="shared" si="122"/>
        <v/>
      </c>
      <c r="AA1103" s="60">
        <f t="shared" si="123"/>
        <v>0</v>
      </c>
      <c r="AB1103" s="49">
        <f t="shared" si="124"/>
        <v>0</v>
      </c>
      <c r="AC1103" s="60">
        <f t="shared" si="125"/>
        <v>0</v>
      </c>
    </row>
    <row r="1104" spans="1:29">
      <c r="A1104" s="83" t="str">
        <f t="shared" si="119"/>
        <v/>
      </c>
      <c r="B1104" s="83" t="str">
        <f t="shared" si="120"/>
        <v/>
      </c>
      <c r="U1104" s="83" t="str">
        <f t="shared" si="121"/>
        <v/>
      </c>
      <c r="V1104" s="83" t="str">
        <f t="shared" si="122"/>
        <v/>
      </c>
      <c r="AA1104" s="60">
        <f t="shared" si="123"/>
        <v>0</v>
      </c>
      <c r="AB1104" s="49">
        <f t="shared" si="124"/>
        <v>0</v>
      </c>
      <c r="AC1104" s="60">
        <f t="shared" si="125"/>
        <v>0</v>
      </c>
    </row>
    <row r="1105" spans="1:29">
      <c r="A1105" s="83" t="str">
        <f t="shared" si="119"/>
        <v/>
      </c>
      <c r="B1105" s="83" t="str">
        <f t="shared" si="120"/>
        <v/>
      </c>
      <c r="U1105" s="83" t="str">
        <f t="shared" si="121"/>
        <v/>
      </c>
      <c r="V1105" s="83" t="str">
        <f t="shared" si="122"/>
        <v/>
      </c>
      <c r="AA1105" s="60">
        <f t="shared" si="123"/>
        <v>0</v>
      </c>
      <c r="AB1105" s="49">
        <f t="shared" si="124"/>
        <v>0</v>
      </c>
      <c r="AC1105" s="60">
        <f t="shared" si="125"/>
        <v>0</v>
      </c>
    </row>
    <row r="1106" spans="1:29">
      <c r="A1106" s="83" t="str">
        <f t="shared" si="119"/>
        <v/>
      </c>
      <c r="B1106" s="83" t="str">
        <f t="shared" si="120"/>
        <v/>
      </c>
      <c r="U1106" s="83" t="str">
        <f t="shared" si="121"/>
        <v/>
      </c>
      <c r="V1106" s="83" t="str">
        <f t="shared" si="122"/>
        <v/>
      </c>
      <c r="AA1106" s="60">
        <f t="shared" si="123"/>
        <v>0</v>
      </c>
      <c r="AB1106" s="49">
        <f t="shared" si="124"/>
        <v>0</v>
      </c>
      <c r="AC1106" s="60">
        <f t="shared" si="125"/>
        <v>0</v>
      </c>
    </row>
    <row r="1107" spans="1:29">
      <c r="A1107" s="83" t="str">
        <f t="shared" si="119"/>
        <v/>
      </c>
      <c r="B1107" s="83" t="str">
        <f t="shared" si="120"/>
        <v/>
      </c>
      <c r="U1107" s="83" t="str">
        <f t="shared" si="121"/>
        <v/>
      </c>
      <c r="V1107" s="83" t="str">
        <f t="shared" si="122"/>
        <v/>
      </c>
      <c r="AA1107" s="60">
        <f t="shared" si="123"/>
        <v>0</v>
      </c>
      <c r="AB1107" s="49">
        <f t="shared" si="124"/>
        <v>0</v>
      </c>
      <c r="AC1107" s="60">
        <f t="shared" si="125"/>
        <v>0</v>
      </c>
    </row>
    <row r="1108" spans="1:29">
      <c r="A1108" s="83" t="str">
        <f t="shared" si="119"/>
        <v/>
      </c>
      <c r="B1108" s="83" t="str">
        <f t="shared" si="120"/>
        <v/>
      </c>
      <c r="U1108" s="83" t="str">
        <f t="shared" si="121"/>
        <v/>
      </c>
      <c r="V1108" s="83" t="str">
        <f t="shared" si="122"/>
        <v/>
      </c>
      <c r="AA1108" s="60">
        <f t="shared" si="123"/>
        <v>0</v>
      </c>
      <c r="AB1108" s="49">
        <f t="shared" si="124"/>
        <v>0</v>
      </c>
      <c r="AC1108" s="60">
        <f t="shared" si="125"/>
        <v>0</v>
      </c>
    </row>
    <row r="1109" spans="1:29">
      <c r="A1109" s="83" t="str">
        <f t="shared" si="119"/>
        <v/>
      </c>
      <c r="B1109" s="83" t="str">
        <f t="shared" si="120"/>
        <v/>
      </c>
      <c r="U1109" s="83" t="str">
        <f t="shared" si="121"/>
        <v/>
      </c>
      <c r="V1109" s="83" t="str">
        <f t="shared" si="122"/>
        <v/>
      </c>
      <c r="AA1109" s="60">
        <f t="shared" si="123"/>
        <v>0</v>
      </c>
      <c r="AB1109" s="49">
        <f t="shared" si="124"/>
        <v>0</v>
      </c>
      <c r="AC1109" s="60">
        <f t="shared" si="125"/>
        <v>0</v>
      </c>
    </row>
    <row r="1110" spans="1:29">
      <c r="A1110" s="83" t="str">
        <f t="shared" si="119"/>
        <v/>
      </c>
      <c r="B1110" s="83" t="str">
        <f t="shared" si="120"/>
        <v/>
      </c>
      <c r="U1110" s="83" t="str">
        <f t="shared" si="121"/>
        <v/>
      </c>
      <c r="V1110" s="83" t="str">
        <f t="shared" si="122"/>
        <v/>
      </c>
      <c r="AA1110" s="60">
        <f t="shared" si="123"/>
        <v>0</v>
      </c>
      <c r="AB1110" s="49">
        <f t="shared" si="124"/>
        <v>0</v>
      </c>
      <c r="AC1110" s="60">
        <f t="shared" si="125"/>
        <v>0</v>
      </c>
    </row>
    <row r="1111" spans="1:29">
      <c r="A1111" s="83" t="str">
        <f t="shared" si="119"/>
        <v/>
      </c>
      <c r="B1111" s="83" t="str">
        <f t="shared" si="120"/>
        <v/>
      </c>
      <c r="U1111" s="83" t="str">
        <f t="shared" si="121"/>
        <v/>
      </c>
      <c r="V1111" s="83" t="str">
        <f t="shared" si="122"/>
        <v/>
      </c>
      <c r="AA1111" s="60">
        <f t="shared" si="123"/>
        <v>0</v>
      </c>
      <c r="AB1111" s="49">
        <f t="shared" si="124"/>
        <v>0</v>
      </c>
      <c r="AC1111" s="60">
        <f t="shared" si="125"/>
        <v>0</v>
      </c>
    </row>
    <row r="1112" spans="1:29">
      <c r="A1112" s="83" t="str">
        <f t="shared" si="119"/>
        <v/>
      </c>
      <c r="B1112" s="83" t="str">
        <f t="shared" si="120"/>
        <v/>
      </c>
      <c r="U1112" s="83" t="str">
        <f t="shared" si="121"/>
        <v/>
      </c>
      <c r="V1112" s="83" t="str">
        <f t="shared" si="122"/>
        <v/>
      </c>
      <c r="AA1112" s="60">
        <f t="shared" si="123"/>
        <v>0</v>
      </c>
      <c r="AB1112" s="49">
        <f t="shared" si="124"/>
        <v>0</v>
      </c>
      <c r="AC1112" s="60">
        <f t="shared" si="125"/>
        <v>0</v>
      </c>
    </row>
    <row r="1113" spans="1:29">
      <c r="A1113" s="83" t="str">
        <f t="shared" si="119"/>
        <v/>
      </c>
      <c r="B1113" s="83" t="str">
        <f t="shared" si="120"/>
        <v/>
      </c>
      <c r="U1113" s="83" t="str">
        <f t="shared" si="121"/>
        <v/>
      </c>
      <c r="V1113" s="83" t="str">
        <f t="shared" si="122"/>
        <v/>
      </c>
      <c r="AA1113" s="60">
        <f t="shared" si="123"/>
        <v>0</v>
      </c>
      <c r="AB1113" s="49">
        <f t="shared" si="124"/>
        <v>0</v>
      </c>
      <c r="AC1113" s="60">
        <f t="shared" si="125"/>
        <v>0</v>
      </c>
    </row>
    <row r="1114" spans="1:29">
      <c r="A1114" s="83" t="str">
        <f t="shared" si="119"/>
        <v/>
      </c>
      <c r="B1114" s="83" t="str">
        <f t="shared" si="120"/>
        <v/>
      </c>
      <c r="U1114" s="83" t="str">
        <f t="shared" si="121"/>
        <v/>
      </c>
      <c r="V1114" s="83" t="str">
        <f t="shared" si="122"/>
        <v/>
      </c>
      <c r="AA1114" s="60">
        <f t="shared" si="123"/>
        <v>0</v>
      </c>
      <c r="AB1114" s="49">
        <f t="shared" si="124"/>
        <v>0</v>
      </c>
      <c r="AC1114" s="60">
        <f t="shared" si="125"/>
        <v>0</v>
      </c>
    </row>
    <row r="1115" spans="1:29">
      <c r="A1115" s="83" t="str">
        <f t="shared" si="119"/>
        <v/>
      </c>
      <c r="B1115" s="83" t="str">
        <f t="shared" si="120"/>
        <v/>
      </c>
      <c r="U1115" s="83" t="str">
        <f t="shared" si="121"/>
        <v/>
      </c>
      <c r="V1115" s="83" t="str">
        <f t="shared" si="122"/>
        <v/>
      </c>
      <c r="AA1115" s="60">
        <f t="shared" si="123"/>
        <v>0</v>
      </c>
      <c r="AB1115" s="49">
        <f t="shared" si="124"/>
        <v>0</v>
      </c>
      <c r="AC1115" s="60">
        <f t="shared" si="125"/>
        <v>0</v>
      </c>
    </row>
    <row r="1116" spans="1:29">
      <c r="A1116" s="83" t="str">
        <f t="shared" si="119"/>
        <v/>
      </c>
      <c r="B1116" s="83" t="str">
        <f t="shared" si="120"/>
        <v/>
      </c>
      <c r="U1116" s="83" t="str">
        <f t="shared" si="121"/>
        <v/>
      </c>
      <c r="V1116" s="83" t="str">
        <f t="shared" si="122"/>
        <v/>
      </c>
      <c r="AA1116" s="60">
        <f t="shared" si="123"/>
        <v>0</v>
      </c>
      <c r="AB1116" s="49">
        <f t="shared" si="124"/>
        <v>0</v>
      </c>
      <c r="AC1116" s="60">
        <f t="shared" si="125"/>
        <v>0</v>
      </c>
    </row>
    <row r="1117" spans="1:29">
      <c r="A1117" s="83" t="str">
        <f t="shared" si="119"/>
        <v/>
      </c>
      <c r="B1117" s="83" t="str">
        <f t="shared" si="120"/>
        <v/>
      </c>
      <c r="U1117" s="83" t="str">
        <f t="shared" si="121"/>
        <v/>
      </c>
      <c r="V1117" s="83" t="str">
        <f t="shared" si="122"/>
        <v/>
      </c>
      <c r="AA1117" s="60">
        <f t="shared" si="123"/>
        <v>0</v>
      </c>
      <c r="AB1117" s="49">
        <f t="shared" si="124"/>
        <v>0</v>
      </c>
      <c r="AC1117" s="60">
        <f t="shared" si="125"/>
        <v>0</v>
      </c>
    </row>
    <row r="1118" spans="1:29">
      <c r="A1118" s="83" t="str">
        <f t="shared" si="119"/>
        <v/>
      </c>
      <c r="B1118" s="83" t="str">
        <f t="shared" si="120"/>
        <v/>
      </c>
      <c r="U1118" s="83" t="str">
        <f t="shared" si="121"/>
        <v/>
      </c>
      <c r="V1118" s="83" t="str">
        <f t="shared" si="122"/>
        <v/>
      </c>
      <c r="AA1118" s="60">
        <f t="shared" si="123"/>
        <v>0</v>
      </c>
      <c r="AB1118" s="49">
        <f t="shared" si="124"/>
        <v>0</v>
      </c>
      <c r="AC1118" s="60">
        <f t="shared" si="125"/>
        <v>0</v>
      </c>
    </row>
    <row r="1119" spans="1:29">
      <c r="A1119" s="83" t="str">
        <f t="shared" si="119"/>
        <v/>
      </c>
      <c r="B1119" s="83" t="str">
        <f t="shared" si="120"/>
        <v/>
      </c>
      <c r="U1119" s="83" t="str">
        <f t="shared" si="121"/>
        <v/>
      </c>
      <c r="V1119" s="83" t="str">
        <f t="shared" si="122"/>
        <v/>
      </c>
      <c r="AA1119" s="60">
        <f t="shared" si="123"/>
        <v>0</v>
      </c>
      <c r="AB1119" s="49">
        <f t="shared" si="124"/>
        <v>0</v>
      </c>
      <c r="AC1119" s="60">
        <f t="shared" si="125"/>
        <v>0</v>
      </c>
    </row>
    <row r="1120" spans="1:29">
      <c r="A1120" s="83" t="str">
        <f t="shared" si="119"/>
        <v/>
      </c>
      <c r="B1120" s="83" t="str">
        <f t="shared" si="120"/>
        <v/>
      </c>
      <c r="U1120" s="83" t="str">
        <f t="shared" si="121"/>
        <v/>
      </c>
      <c r="V1120" s="83" t="str">
        <f t="shared" si="122"/>
        <v/>
      </c>
      <c r="AA1120" s="60">
        <f t="shared" si="123"/>
        <v>0</v>
      </c>
      <c r="AB1120" s="49">
        <f t="shared" si="124"/>
        <v>0</v>
      </c>
      <c r="AC1120" s="60">
        <f t="shared" si="125"/>
        <v>0</v>
      </c>
    </row>
    <row r="1121" spans="1:29">
      <c r="A1121" s="83" t="str">
        <f t="shared" si="119"/>
        <v/>
      </c>
      <c r="B1121" s="83" t="str">
        <f t="shared" si="120"/>
        <v/>
      </c>
      <c r="U1121" s="83" t="str">
        <f t="shared" si="121"/>
        <v/>
      </c>
      <c r="V1121" s="83" t="str">
        <f t="shared" si="122"/>
        <v/>
      </c>
      <c r="AA1121" s="60">
        <f t="shared" si="123"/>
        <v>0</v>
      </c>
      <c r="AB1121" s="49">
        <f t="shared" si="124"/>
        <v>0</v>
      </c>
      <c r="AC1121" s="60">
        <f t="shared" si="125"/>
        <v>0</v>
      </c>
    </row>
    <row r="1122" spans="1:29">
      <c r="A1122" s="83" t="str">
        <f t="shared" si="119"/>
        <v/>
      </c>
      <c r="B1122" s="83" t="str">
        <f t="shared" si="120"/>
        <v/>
      </c>
      <c r="U1122" s="83" t="str">
        <f t="shared" si="121"/>
        <v/>
      </c>
      <c r="V1122" s="83" t="str">
        <f t="shared" si="122"/>
        <v/>
      </c>
      <c r="AA1122" s="60">
        <f t="shared" si="123"/>
        <v>0</v>
      </c>
      <c r="AB1122" s="49">
        <f t="shared" si="124"/>
        <v>0</v>
      </c>
      <c r="AC1122" s="60">
        <f t="shared" si="125"/>
        <v>0</v>
      </c>
    </row>
    <row r="1123" spans="1:29">
      <c r="A1123" s="83" t="str">
        <f t="shared" si="119"/>
        <v/>
      </c>
      <c r="B1123" s="83" t="str">
        <f t="shared" si="120"/>
        <v/>
      </c>
      <c r="U1123" s="83" t="str">
        <f t="shared" si="121"/>
        <v/>
      </c>
      <c r="V1123" s="83" t="str">
        <f t="shared" si="122"/>
        <v/>
      </c>
      <c r="AA1123" s="60">
        <f t="shared" si="123"/>
        <v>0</v>
      </c>
      <c r="AB1123" s="49">
        <f t="shared" si="124"/>
        <v>0</v>
      </c>
      <c r="AC1123" s="60">
        <f t="shared" si="125"/>
        <v>0</v>
      </c>
    </row>
    <row r="1124" spans="1:29">
      <c r="A1124" s="83" t="str">
        <f t="shared" si="119"/>
        <v/>
      </c>
      <c r="B1124" s="83" t="str">
        <f t="shared" si="120"/>
        <v/>
      </c>
      <c r="U1124" s="83" t="str">
        <f t="shared" si="121"/>
        <v/>
      </c>
      <c r="V1124" s="83" t="str">
        <f t="shared" si="122"/>
        <v/>
      </c>
      <c r="AA1124" s="60">
        <f t="shared" si="123"/>
        <v>0</v>
      </c>
      <c r="AB1124" s="49">
        <f t="shared" si="124"/>
        <v>0</v>
      </c>
      <c r="AC1124" s="60">
        <f t="shared" si="125"/>
        <v>0</v>
      </c>
    </row>
    <row r="1125" spans="1:29">
      <c r="A1125" s="83" t="str">
        <f t="shared" si="119"/>
        <v/>
      </c>
      <c r="B1125" s="83" t="str">
        <f t="shared" si="120"/>
        <v/>
      </c>
      <c r="U1125" s="83" t="str">
        <f t="shared" si="121"/>
        <v/>
      </c>
      <c r="V1125" s="83" t="str">
        <f t="shared" si="122"/>
        <v/>
      </c>
      <c r="AA1125" s="60">
        <f t="shared" si="123"/>
        <v>0</v>
      </c>
      <c r="AB1125" s="49">
        <f t="shared" si="124"/>
        <v>0</v>
      </c>
      <c r="AC1125" s="60">
        <f t="shared" si="125"/>
        <v>0</v>
      </c>
    </row>
    <row r="1126" spans="1:29">
      <c r="A1126" s="83" t="str">
        <f t="shared" si="119"/>
        <v/>
      </c>
      <c r="B1126" s="83" t="str">
        <f t="shared" si="120"/>
        <v/>
      </c>
      <c r="U1126" s="83" t="str">
        <f t="shared" si="121"/>
        <v/>
      </c>
      <c r="V1126" s="83" t="str">
        <f t="shared" si="122"/>
        <v/>
      </c>
      <c r="AA1126" s="60">
        <f t="shared" si="123"/>
        <v>0</v>
      </c>
      <c r="AB1126" s="49">
        <f t="shared" si="124"/>
        <v>0</v>
      </c>
      <c r="AC1126" s="60">
        <f t="shared" si="125"/>
        <v>0</v>
      </c>
    </row>
    <row r="1127" spans="1:29">
      <c r="A1127" s="83" t="str">
        <f t="shared" si="119"/>
        <v/>
      </c>
      <c r="B1127" s="83" t="str">
        <f t="shared" si="120"/>
        <v/>
      </c>
      <c r="U1127" s="83" t="str">
        <f t="shared" si="121"/>
        <v/>
      </c>
      <c r="V1127" s="83" t="str">
        <f t="shared" si="122"/>
        <v/>
      </c>
      <c r="AA1127" s="60">
        <f t="shared" si="123"/>
        <v>0</v>
      </c>
      <c r="AB1127" s="49">
        <f t="shared" si="124"/>
        <v>0</v>
      </c>
      <c r="AC1127" s="60">
        <f t="shared" si="125"/>
        <v>0</v>
      </c>
    </row>
    <row r="1128" spans="1:29">
      <c r="A1128" s="83" t="str">
        <f t="shared" si="119"/>
        <v/>
      </c>
      <c r="B1128" s="83" t="str">
        <f t="shared" si="120"/>
        <v/>
      </c>
      <c r="U1128" s="83" t="str">
        <f t="shared" si="121"/>
        <v/>
      </c>
      <c r="V1128" s="83" t="str">
        <f t="shared" si="122"/>
        <v/>
      </c>
      <c r="AA1128" s="60">
        <f t="shared" si="123"/>
        <v>0</v>
      </c>
      <c r="AB1128" s="49">
        <f t="shared" si="124"/>
        <v>0</v>
      </c>
      <c r="AC1128" s="60">
        <f t="shared" si="125"/>
        <v>0</v>
      </c>
    </row>
    <row r="1129" spans="1:29">
      <c r="A1129" s="83" t="str">
        <f t="shared" si="119"/>
        <v/>
      </c>
      <c r="B1129" s="83" t="str">
        <f t="shared" si="120"/>
        <v/>
      </c>
      <c r="U1129" s="83" t="str">
        <f t="shared" si="121"/>
        <v/>
      </c>
      <c r="V1129" s="83" t="str">
        <f t="shared" si="122"/>
        <v/>
      </c>
      <c r="AA1129" s="60">
        <f t="shared" si="123"/>
        <v>0</v>
      </c>
      <c r="AB1129" s="49">
        <f t="shared" si="124"/>
        <v>0</v>
      </c>
      <c r="AC1129" s="60">
        <f t="shared" si="125"/>
        <v>0</v>
      </c>
    </row>
    <row r="1130" spans="1:29">
      <c r="A1130" s="83" t="str">
        <f t="shared" si="119"/>
        <v/>
      </c>
      <c r="B1130" s="83" t="str">
        <f t="shared" si="120"/>
        <v/>
      </c>
      <c r="U1130" s="83" t="str">
        <f t="shared" si="121"/>
        <v/>
      </c>
      <c r="V1130" s="83" t="str">
        <f t="shared" si="122"/>
        <v/>
      </c>
      <c r="AA1130" s="60">
        <f t="shared" si="123"/>
        <v>0</v>
      </c>
      <c r="AB1130" s="49">
        <f t="shared" si="124"/>
        <v>0</v>
      </c>
      <c r="AC1130" s="60">
        <f t="shared" si="125"/>
        <v>0</v>
      </c>
    </row>
    <row r="1131" spans="1:29">
      <c r="A1131" s="83" t="str">
        <f t="shared" si="119"/>
        <v/>
      </c>
      <c r="B1131" s="83" t="str">
        <f t="shared" si="120"/>
        <v/>
      </c>
      <c r="U1131" s="83" t="str">
        <f t="shared" si="121"/>
        <v/>
      </c>
      <c r="V1131" s="83" t="str">
        <f t="shared" si="122"/>
        <v/>
      </c>
      <c r="AA1131" s="60">
        <f t="shared" si="123"/>
        <v>0</v>
      </c>
      <c r="AB1131" s="49">
        <f t="shared" si="124"/>
        <v>0</v>
      </c>
      <c r="AC1131" s="60">
        <f t="shared" si="125"/>
        <v>0</v>
      </c>
    </row>
    <row r="1132" spans="1:29">
      <c r="A1132" s="83" t="str">
        <f t="shared" si="119"/>
        <v/>
      </c>
      <c r="B1132" s="83" t="str">
        <f t="shared" si="120"/>
        <v/>
      </c>
      <c r="U1132" s="83" t="str">
        <f t="shared" si="121"/>
        <v/>
      </c>
      <c r="V1132" s="83" t="str">
        <f t="shared" si="122"/>
        <v/>
      </c>
      <c r="AA1132" s="60">
        <f t="shared" si="123"/>
        <v>0</v>
      </c>
      <c r="AB1132" s="49">
        <f t="shared" si="124"/>
        <v>0</v>
      </c>
      <c r="AC1132" s="60">
        <f t="shared" si="125"/>
        <v>0</v>
      </c>
    </row>
    <row r="1133" spans="1:29">
      <c r="A1133" s="83" t="str">
        <f t="shared" si="119"/>
        <v/>
      </c>
      <c r="B1133" s="83" t="str">
        <f t="shared" si="120"/>
        <v/>
      </c>
      <c r="U1133" s="83" t="str">
        <f t="shared" si="121"/>
        <v/>
      </c>
      <c r="V1133" s="83" t="str">
        <f t="shared" si="122"/>
        <v/>
      </c>
      <c r="AA1133" s="60">
        <f t="shared" si="123"/>
        <v>0</v>
      </c>
      <c r="AB1133" s="49">
        <f t="shared" si="124"/>
        <v>0</v>
      </c>
      <c r="AC1133" s="60">
        <f t="shared" si="125"/>
        <v>0</v>
      </c>
    </row>
    <row r="1134" spans="1:29">
      <c r="A1134" s="83" t="str">
        <f t="shared" si="119"/>
        <v/>
      </c>
      <c r="B1134" s="83" t="str">
        <f t="shared" si="120"/>
        <v/>
      </c>
      <c r="U1134" s="83" t="str">
        <f t="shared" si="121"/>
        <v/>
      </c>
      <c r="V1134" s="83" t="str">
        <f t="shared" si="122"/>
        <v/>
      </c>
      <c r="AA1134" s="60">
        <f t="shared" si="123"/>
        <v>0</v>
      </c>
      <c r="AB1134" s="49">
        <f t="shared" si="124"/>
        <v>0</v>
      </c>
      <c r="AC1134" s="60">
        <f t="shared" si="125"/>
        <v>0</v>
      </c>
    </row>
    <row r="1135" spans="1:29">
      <c r="A1135" s="83" t="str">
        <f t="shared" si="119"/>
        <v/>
      </c>
      <c r="B1135" s="83" t="str">
        <f t="shared" si="120"/>
        <v/>
      </c>
      <c r="U1135" s="83" t="str">
        <f t="shared" si="121"/>
        <v/>
      </c>
      <c r="V1135" s="83" t="str">
        <f t="shared" si="122"/>
        <v/>
      </c>
      <c r="AA1135" s="60">
        <f t="shared" si="123"/>
        <v>0</v>
      </c>
      <c r="AB1135" s="49">
        <f t="shared" si="124"/>
        <v>0</v>
      </c>
      <c r="AC1135" s="60">
        <f t="shared" si="125"/>
        <v>0</v>
      </c>
    </row>
    <row r="1136" spans="1:29">
      <c r="A1136" s="83" t="str">
        <f t="shared" si="119"/>
        <v/>
      </c>
      <c r="B1136" s="83" t="str">
        <f t="shared" si="120"/>
        <v/>
      </c>
      <c r="U1136" s="83" t="str">
        <f t="shared" si="121"/>
        <v/>
      </c>
      <c r="V1136" s="83" t="str">
        <f t="shared" si="122"/>
        <v/>
      </c>
      <c r="AA1136" s="60">
        <f t="shared" si="123"/>
        <v>0</v>
      </c>
      <c r="AB1136" s="49">
        <f t="shared" si="124"/>
        <v>0</v>
      </c>
      <c r="AC1136" s="60">
        <f t="shared" si="125"/>
        <v>0</v>
      </c>
    </row>
    <row r="1137" spans="1:29">
      <c r="A1137" s="83" t="str">
        <f t="shared" si="119"/>
        <v/>
      </c>
      <c r="B1137" s="83" t="str">
        <f t="shared" si="120"/>
        <v/>
      </c>
      <c r="U1137" s="83" t="str">
        <f t="shared" si="121"/>
        <v/>
      </c>
      <c r="V1137" s="83" t="str">
        <f t="shared" si="122"/>
        <v/>
      </c>
      <c r="AA1137" s="60">
        <f t="shared" si="123"/>
        <v>0</v>
      </c>
      <c r="AB1137" s="49">
        <f t="shared" si="124"/>
        <v>0</v>
      </c>
      <c r="AC1137" s="60">
        <f t="shared" si="125"/>
        <v>0</v>
      </c>
    </row>
    <row r="1138" spans="1:29">
      <c r="A1138" s="83" t="str">
        <f t="shared" si="119"/>
        <v/>
      </c>
      <c r="B1138" s="83" t="str">
        <f t="shared" si="120"/>
        <v/>
      </c>
      <c r="U1138" s="83" t="str">
        <f t="shared" si="121"/>
        <v/>
      </c>
      <c r="V1138" s="83" t="str">
        <f t="shared" si="122"/>
        <v/>
      </c>
      <c r="AA1138" s="60">
        <f t="shared" si="123"/>
        <v>0</v>
      </c>
      <c r="AB1138" s="49">
        <f t="shared" si="124"/>
        <v>0</v>
      </c>
      <c r="AC1138" s="60">
        <f t="shared" si="125"/>
        <v>0</v>
      </c>
    </row>
    <row r="1139" spans="1:29">
      <c r="A1139" s="83" t="str">
        <f t="shared" si="119"/>
        <v/>
      </c>
      <c r="B1139" s="83" t="str">
        <f t="shared" si="120"/>
        <v/>
      </c>
      <c r="U1139" s="83" t="str">
        <f t="shared" si="121"/>
        <v/>
      </c>
      <c r="V1139" s="83" t="str">
        <f t="shared" si="122"/>
        <v/>
      </c>
      <c r="AA1139" s="60">
        <f t="shared" si="123"/>
        <v>0</v>
      </c>
      <c r="AB1139" s="49">
        <f t="shared" si="124"/>
        <v>0</v>
      </c>
      <c r="AC1139" s="60">
        <f t="shared" si="125"/>
        <v>0</v>
      </c>
    </row>
    <row r="1140" spans="1:29">
      <c r="A1140" s="83" t="str">
        <f t="shared" si="119"/>
        <v/>
      </c>
      <c r="B1140" s="83" t="str">
        <f t="shared" si="120"/>
        <v/>
      </c>
      <c r="U1140" s="83" t="str">
        <f t="shared" si="121"/>
        <v/>
      </c>
      <c r="V1140" s="83" t="str">
        <f t="shared" si="122"/>
        <v/>
      </c>
      <c r="AA1140" s="60">
        <f t="shared" si="123"/>
        <v>0</v>
      </c>
      <c r="AB1140" s="49">
        <f t="shared" si="124"/>
        <v>0</v>
      </c>
      <c r="AC1140" s="60">
        <f t="shared" si="125"/>
        <v>0</v>
      </c>
    </row>
    <row r="1141" spans="1:29">
      <c r="A1141" s="83" t="str">
        <f t="shared" si="119"/>
        <v/>
      </c>
      <c r="B1141" s="83" t="str">
        <f t="shared" si="120"/>
        <v/>
      </c>
      <c r="U1141" s="83" t="str">
        <f t="shared" si="121"/>
        <v/>
      </c>
      <c r="V1141" s="83" t="str">
        <f t="shared" si="122"/>
        <v/>
      </c>
      <c r="AA1141" s="60">
        <f t="shared" si="123"/>
        <v>0</v>
      </c>
      <c r="AB1141" s="49">
        <f t="shared" si="124"/>
        <v>0</v>
      </c>
      <c r="AC1141" s="60">
        <f t="shared" si="125"/>
        <v>0</v>
      </c>
    </row>
    <row r="1142" spans="1:29">
      <c r="A1142" s="83" t="str">
        <f t="shared" si="119"/>
        <v/>
      </c>
      <c r="B1142" s="83" t="str">
        <f t="shared" si="120"/>
        <v/>
      </c>
      <c r="U1142" s="83" t="str">
        <f t="shared" si="121"/>
        <v/>
      </c>
      <c r="V1142" s="83" t="str">
        <f t="shared" si="122"/>
        <v/>
      </c>
      <c r="AA1142" s="60">
        <f t="shared" si="123"/>
        <v>0</v>
      </c>
      <c r="AB1142" s="49">
        <f t="shared" si="124"/>
        <v>0</v>
      </c>
      <c r="AC1142" s="60">
        <f t="shared" si="125"/>
        <v>0</v>
      </c>
    </row>
    <row r="1143" spans="1:29">
      <c r="A1143" s="83" t="str">
        <f t="shared" si="119"/>
        <v/>
      </c>
      <c r="B1143" s="83" t="str">
        <f t="shared" si="120"/>
        <v/>
      </c>
      <c r="U1143" s="83" t="str">
        <f t="shared" si="121"/>
        <v/>
      </c>
      <c r="V1143" s="83" t="str">
        <f t="shared" si="122"/>
        <v/>
      </c>
      <c r="AA1143" s="60">
        <f t="shared" si="123"/>
        <v>0</v>
      </c>
      <c r="AB1143" s="49">
        <f t="shared" si="124"/>
        <v>0</v>
      </c>
      <c r="AC1143" s="60">
        <f t="shared" si="125"/>
        <v>0</v>
      </c>
    </row>
    <row r="1144" spans="1:29">
      <c r="A1144" s="83" t="str">
        <f t="shared" si="119"/>
        <v/>
      </c>
      <c r="B1144" s="83" t="str">
        <f t="shared" si="120"/>
        <v/>
      </c>
      <c r="U1144" s="83" t="str">
        <f t="shared" si="121"/>
        <v/>
      </c>
      <c r="V1144" s="83" t="str">
        <f t="shared" si="122"/>
        <v/>
      </c>
      <c r="AA1144" s="60">
        <f t="shared" si="123"/>
        <v>0</v>
      </c>
      <c r="AB1144" s="49">
        <f t="shared" si="124"/>
        <v>0</v>
      </c>
      <c r="AC1144" s="60">
        <f t="shared" si="125"/>
        <v>0</v>
      </c>
    </row>
    <row r="1145" spans="1:29">
      <c r="A1145" s="83" t="str">
        <f t="shared" si="119"/>
        <v/>
      </c>
      <c r="B1145" s="83" t="str">
        <f t="shared" si="120"/>
        <v/>
      </c>
      <c r="U1145" s="83" t="str">
        <f t="shared" si="121"/>
        <v/>
      </c>
      <c r="V1145" s="83" t="str">
        <f t="shared" si="122"/>
        <v/>
      </c>
      <c r="AA1145" s="60">
        <f t="shared" si="123"/>
        <v>0</v>
      </c>
      <c r="AB1145" s="49">
        <f t="shared" si="124"/>
        <v>0</v>
      </c>
      <c r="AC1145" s="60">
        <f t="shared" si="125"/>
        <v>0</v>
      </c>
    </row>
    <row r="1146" spans="1:29">
      <c r="A1146" s="83" t="str">
        <f t="shared" si="119"/>
        <v/>
      </c>
      <c r="B1146" s="83" t="str">
        <f t="shared" si="120"/>
        <v/>
      </c>
      <c r="U1146" s="83" t="str">
        <f t="shared" si="121"/>
        <v/>
      </c>
      <c r="V1146" s="83" t="str">
        <f t="shared" si="122"/>
        <v/>
      </c>
      <c r="AA1146" s="60">
        <f t="shared" si="123"/>
        <v>0</v>
      </c>
      <c r="AB1146" s="49">
        <f t="shared" si="124"/>
        <v>0</v>
      </c>
      <c r="AC1146" s="60">
        <f t="shared" si="125"/>
        <v>0</v>
      </c>
    </row>
    <row r="1147" spans="1:29">
      <c r="A1147" s="83" t="str">
        <f t="shared" si="119"/>
        <v/>
      </c>
      <c r="B1147" s="83" t="str">
        <f t="shared" si="120"/>
        <v/>
      </c>
      <c r="U1147" s="83" t="str">
        <f t="shared" si="121"/>
        <v/>
      </c>
      <c r="V1147" s="83" t="str">
        <f t="shared" si="122"/>
        <v/>
      </c>
      <c r="AA1147" s="60">
        <f t="shared" si="123"/>
        <v>0</v>
      </c>
      <c r="AB1147" s="49">
        <f t="shared" si="124"/>
        <v>0</v>
      </c>
      <c r="AC1147" s="60">
        <f t="shared" si="125"/>
        <v>0</v>
      </c>
    </row>
    <row r="1148" spans="1:29">
      <c r="A1148" s="83" t="str">
        <f t="shared" si="119"/>
        <v/>
      </c>
      <c r="B1148" s="83" t="str">
        <f t="shared" si="120"/>
        <v/>
      </c>
      <c r="U1148" s="83" t="str">
        <f t="shared" si="121"/>
        <v/>
      </c>
      <c r="V1148" s="83" t="str">
        <f t="shared" si="122"/>
        <v/>
      </c>
      <c r="AA1148" s="60">
        <f t="shared" si="123"/>
        <v>0</v>
      </c>
      <c r="AB1148" s="49">
        <f t="shared" si="124"/>
        <v>0</v>
      </c>
      <c r="AC1148" s="60">
        <f t="shared" si="125"/>
        <v>0</v>
      </c>
    </row>
    <row r="1149" spans="1:29">
      <c r="A1149" s="83" t="str">
        <f t="shared" si="119"/>
        <v/>
      </c>
      <c r="B1149" s="83" t="str">
        <f t="shared" si="120"/>
        <v/>
      </c>
      <c r="U1149" s="83" t="str">
        <f t="shared" si="121"/>
        <v/>
      </c>
      <c r="V1149" s="83" t="str">
        <f t="shared" si="122"/>
        <v/>
      </c>
      <c r="AA1149" s="60">
        <f t="shared" si="123"/>
        <v>0</v>
      </c>
      <c r="AB1149" s="49">
        <f t="shared" si="124"/>
        <v>0</v>
      </c>
      <c r="AC1149" s="60">
        <f t="shared" si="125"/>
        <v>0</v>
      </c>
    </row>
    <row r="1150" spans="1:29">
      <c r="A1150" s="83" t="str">
        <f t="shared" si="119"/>
        <v/>
      </c>
      <c r="B1150" s="83" t="str">
        <f t="shared" si="120"/>
        <v/>
      </c>
      <c r="U1150" s="83" t="str">
        <f t="shared" si="121"/>
        <v/>
      </c>
      <c r="V1150" s="83" t="str">
        <f t="shared" si="122"/>
        <v/>
      </c>
      <c r="AA1150" s="60">
        <f t="shared" si="123"/>
        <v>0</v>
      </c>
      <c r="AB1150" s="49">
        <f t="shared" si="124"/>
        <v>0</v>
      </c>
      <c r="AC1150" s="60">
        <f t="shared" si="125"/>
        <v>0</v>
      </c>
    </row>
    <row r="1151" spans="1:29">
      <c r="A1151" s="83" t="str">
        <f t="shared" si="119"/>
        <v/>
      </c>
      <c r="B1151" s="83" t="str">
        <f t="shared" si="120"/>
        <v/>
      </c>
      <c r="U1151" s="83" t="str">
        <f t="shared" si="121"/>
        <v/>
      </c>
      <c r="V1151" s="83" t="str">
        <f t="shared" si="122"/>
        <v/>
      </c>
      <c r="AA1151" s="60">
        <f t="shared" si="123"/>
        <v>0</v>
      </c>
      <c r="AB1151" s="49">
        <f t="shared" si="124"/>
        <v>0</v>
      </c>
      <c r="AC1151" s="60">
        <f t="shared" si="125"/>
        <v>0</v>
      </c>
    </row>
    <row r="1152" spans="1:29">
      <c r="A1152" s="83" t="str">
        <f t="shared" si="119"/>
        <v/>
      </c>
      <c r="B1152" s="83" t="str">
        <f t="shared" si="120"/>
        <v/>
      </c>
      <c r="U1152" s="83" t="str">
        <f t="shared" si="121"/>
        <v/>
      </c>
      <c r="V1152" s="83" t="str">
        <f t="shared" si="122"/>
        <v/>
      </c>
      <c r="AA1152" s="60">
        <f t="shared" si="123"/>
        <v>0</v>
      </c>
      <c r="AB1152" s="49">
        <f t="shared" si="124"/>
        <v>0</v>
      </c>
      <c r="AC1152" s="60">
        <f t="shared" si="125"/>
        <v>0</v>
      </c>
    </row>
    <row r="1153" spans="1:29">
      <c r="A1153" s="83" t="str">
        <f t="shared" si="119"/>
        <v/>
      </c>
      <c r="B1153" s="83" t="str">
        <f t="shared" si="120"/>
        <v/>
      </c>
      <c r="U1153" s="83" t="str">
        <f t="shared" si="121"/>
        <v/>
      </c>
      <c r="V1153" s="83" t="str">
        <f t="shared" si="122"/>
        <v/>
      </c>
      <c r="AA1153" s="60">
        <f t="shared" si="123"/>
        <v>0</v>
      </c>
      <c r="AB1153" s="49">
        <f t="shared" si="124"/>
        <v>0</v>
      </c>
      <c r="AC1153" s="60">
        <f t="shared" si="125"/>
        <v>0</v>
      </c>
    </row>
    <row r="1154" spans="1:29">
      <c r="A1154" s="83" t="str">
        <f t="shared" si="119"/>
        <v/>
      </c>
      <c r="B1154" s="83" t="str">
        <f t="shared" si="120"/>
        <v/>
      </c>
      <c r="U1154" s="83" t="str">
        <f t="shared" si="121"/>
        <v/>
      </c>
      <c r="V1154" s="83" t="str">
        <f t="shared" si="122"/>
        <v/>
      </c>
      <c r="AA1154" s="60">
        <f t="shared" si="123"/>
        <v>0</v>
      </c>
      <c r="AB1154" s="49">
        <f t="shared" si="124"/>
        <v>0</v>
      </c>
      <c r="AC1154" s="60">
        <f t="shared" si="125"/>
        <v>0</v>
      </c>
    </row>
    <row r="1155" spans="1:29">
      <c r="A1155" s="83" t="str">
        <f t="shared" ref="A1155:A1218" si="126">IF(G1155&amp;Q1155&lt;&gt;"",U1155&amp;Q1155,"")</f>
        <v/>
      </c>
      <c r="B1155" s="83" t="str">
        <f t="shared" ref="B1155:B1218" si="127">IF(C1155&lt;&gt;"",LEFT(C1155,9),"")</f>
        <v/>
      </c>
      <c r="U1155" s="83" t="str">
        <f t="shared" ref="U1155:U1218" si="128">IF(G1155&lt;&gt;"",IF(StyleSpaceSplit,IFERROR(IF(FIND(" ",G1155)&gt;=1,MID(G1155,1,FIND(" ",G1155)-1),G1155),G1155),G1155),"")</f>
        <v/>
      </c>
      <c r="V1155" s="83" t="str">
        <f t="shared" ref="V1155:V1218" si="129">IF(A1155&lt;&gt;"",IFERROR(IF(FIND(" ",G1155)&gt;=1,MID(G1155,FIND(" ",G1155)+1,LEN(G1155)),""),G1155),"")</f>
        <v/>
      </c>
      <c r="AA1155" s="60">
        <f t="shared" ref="AA1155:AA1218" si="130">IFERROR(VALUE(MID($C1155,1,2)),0)</f>
        <v>0</v>
      </c>
      <c r="AB1155" s="49">
        <f t="shared" ref="AB1155:AB1218" si="131">IFERROR(VALUE(MID($C1155,4,3)),0)</f>
        <v>0</v>
      </c>
      <c r="AC1155" s="60">
        <f t="shared" ref="AC1155:AC1218" si="132">VALUE(RIGHT("00"&amp;AA1155,2)&amp;RIGHT("000"&amp;AB1155,3))</f>
        <v>0</v>
      </c>
    </row>
    <row r="1156" spans="1:29">
      <c r="A1156" s="83" t="str">
        <f t="shared" si="126"/>
        <v/>
      </c>
      <c r="B1156" s="83" t="str">
        <f t="shared" si="127"/>
        <v/>
      </c>
      <c r="U1156" s="83" t="str">
        <f t="shared" si="128"/>
        <v/>
      </c>
      <c r="V1156" s="83" t="str">
        <f t="shared" si="129"/>
        <v/>
      </c>
      <c r="AA1156" s="60">
        <f t="shared" si="130"/>
        <v>0</v>
      </c>
      <c r="AB1156" s="49">
        <f t="shared" si="131"/>
        <v>0</v>
      </c>
      <c r="AC1156" s="60">
        <f t="shared" si="132"/>
        <v>0</v>
      </c>
    </row>
    <row r="1157" spans="1:29">
      <c r="A1157" s="83" t="str">
        <f t="shared" si="126"/>
        <v/>
      </c>
      <c r="B1157" s="83" t="str">
        <f t="shared" si="127"/>
        <v/>
      </c>
      <c r="U1157" s="83" t="str">
        <f t="shared" si="128"/>
        <v/>
      </c>
      <c r="V1157" s="83" t="str">
        <f t="shared" si="129"/>
        <v/>
      </c>
      <c r="AA1157" s="60">
        <f t="shared" si="130"/>
        <v>0</v>
      </c>
      <c r="AB1157" s="49">
        <f t="shared" si="131"/>
        <v>0</v>
      </c>
      <c r="AC1157" s="60">
        <f t="shared" si="132"/>
        <v>0</v>
      </c>
    </row>
    <row r="1158" spans="1:29">
      <c r="A1158" s="83" t="str">
        <f t="shared" si="126"/>
        <v/>
      </c>
      <c r="B1158" s="83" t="str">
        <f t="shared" si="127"/>
        <v/>
      </c>
      <c r="U1158" s="83" t="str">
        <f t="shared" si="128"/>
        <v/>
      </c>
      <c r="V1158" s="83" t="str">
        <f t="shared" si="129"/>
        <v/>
      </c>
      <c r="AA1158" s="60">
        <f t="shared" si="130"/>
        <v>0</v>
      </c>
      <c r="AB1158" s="49">
        <f t="shared" si="131"/>
        <v>0</v>
      </c>
      <c r="AC1158" s="60">
        <f t="shared" si="132"/>
        <v>0</v>
      </c>
    </row>
    <row r="1159" spans="1:29">
      <c r="A1159" s="83" t="str">
        <f t="shared" si="126"/>
        <v/>
      </c>
      <c r="B1159" s="83" t="str">
        <f t="shared" si="127"/>
        <v/>
      </c>
      <c r="U1159" s="83" t="str">
        <f t="shared" si="128"/>
        <v/>
      </c>
      <c r="V1159" s="83" t="str">
        <f t="shared" si="129"/>
        <v/>
      </c>
      <c r="AA1159" s="60">
        <f t="shared" si="130"/>
        <v>0</v>
      </c>
      <c r="AB1159" s="49">
        <f t="shared" si="131"/>
        <v>0</v>
      </c>
      <c r="AC1159" s="60">
        <f t="shared" si="132"/>
        <v>0</v>
      </c>
    </row>
    <row r="1160" spans="1:29">
      <c r="A1160" s="83" t="str">
        <f t="shared" si="126"/>
        <v/>
      </c>
      <c r="B1160" s="83" t="str">
        <f t="shared" si="127"/>
        <v/>
      </c>
      <c r="U1160" s="83" t="str">
        <f t="shared" si="128"/>
        <v/>
      </c>
      <c r="V1160" s="83" t="str">
        <f t="shared" si="129"/>
        <v/>
      </c>
      <c r="AA1160" s="60">
        <f t="shared" si="130"/>
        <v>0</v>
      </c>
      <c r="AB1160" s="49">
        <f t="shared" si="131"/>
        <v>0</v>
      </c>
      <c r="AC1160" s="60">
        <f t="shared" si="132"/>
        <v>0</v>
      </c>
    </row>
    <row r="1161" spans="1:29">
      <c r="A1161" s="83" t="str">
        <f t="shared" si="126"/>
        <v/>
      </c>
      <c r="B1161" s="83" t="str">
        <f t="shared" si="127"/>
        <v/>
      </c>
      <c r="U1161" s="83" t="str">
        <f t="shared" si="128"/>
        <v/>
      </c>
      <c r="V1161" s="83" t="str">
        <f t="shared" si="129"/>
        <v/>
      </c>
      <c r="AA1161" s="60">
        <f t="shared" si="130"/>
        <v>0</v>
      </c>
      <c r="AB1161" s="49">
        <f t="shared" si="131"/>
        <v>0</v>
      </c>
      <c r="AC1161" s="60">
        <f t="shared" si="132"/>
        <v>0</v>
      </c>
    </row>
    <row r="1162" spans="1:29">
      <c r="A1162" s="83" t="str">
        <f t="shared" si="126"/>
        <v/>
      </c>
      <c r="B1162" s="83" t="str">
        <f t="shared" si="127"/>
        <v/>
      </c>
      <c r="U1162" s="83" t="str">
        <f t="shared" si="128"/>
        <v/>
      </c>
      <c r="V1162" s="83" t="str">
        <f t="shared" si="129"/>
        <v/>
      </c>
      <c r="AA1162" s="60">
        <f t="shared" si="130"/>
        <v>0</v>
      </c>
      <c r="AB1162" s="49">
        <f t="shared" si="131"/>
        <v>0</v>
      </c>
      <c r="AC1162" s="60">
        <f t="shared" si="132"/>
        <v>0</v>
      </c>
    </row>
    <row r="1163" spans="1:29">
      <c r="A1163" s="83" t="str">
        <f t="shared" si="126"/>
        <v/>
      </c>
      <c r="B1163" s="83" t="str">
        <f t="shared" si="127"/>
        <v/>
      </c>
      <c r="U1163" s="83" t="str">
        <f t="shared" si="128"/>
        <v/>
      </c>
      <c r="V1163" s="83" t="str">
        <f t="shared" si="129"/>
        <v/>
      </c>
      <c r="AA1163" s="60">
        <f t="shared" si="130"/>
        <v>0</v>
      </c>
      <c r="AB1163" s="49">
        <f t="shared" si="131"/>
        <v>0</v>
      </c>
      <c r="AC1163" s="60">
        <f t="shared" si="132"/>
        <v>0</v>
      </c>
    </row>
    <row r="1164" spans="1:29">
      <c r="A1164" s="83" t="str">
        <f t="shared" si="126"/>
        <v/>
      </c>
      <c r="B1164" s="83" t="str">
        <f t="shared" si="127"/>
        <v/>
      </c>
      <c r="U1164" s="83" t="str">
        <f t="shared" si="128"/>
        <v/>
      </c>
      <c r="V1164" s="83" t="str">
        <f t="shared" si="129"/>
        <v/>
      </c>
      <c r="AA1164" s="60">
        <f t="shared" si="130"/>
        <v>0</v>
      </c>
      <c r="AB1164" s="49">
        <f t="shared" si="131"/>
        <v>0</v>
      </c>
      <c r="AC1164" s="60">
        <f t="shared" si="132"/>
        <v>0</v>
      </c>
    </row>
    <row r="1165" spans="1:29">
      <c r="A1165" s="83" t="str">
        <f t="shared" si="126"/>
        <v/>
      </c>
      <c r="B1165" s="83" t="str">
        <f t="shared" si="127"/>
        <v/>
      </c>
      <c r="U1165" s="83" t="str">
        <f t="shared" si="128"/>
        <v/>
      </c>
      <c r="V1165" s="83" t="str">
        <f t="shared" si="129"/>
        <v/>
      </c>
      <c r="AA1165" s="60">
        <f t="shared" si="130"/>
        <v>0</v>
      </c>
      <c r="AB1165" s="49">
        <f t="shared" si="131"/>
        <v>0</v>
      </c>
      <c r="AC1165" s="60">
        <f t="shared" si="132"/>
        <v>0</v>
      </c>
    </row>
    <row r="1166" spans="1:29">
      <c r="A1166" s="83" t="str">
        <f t="shared" si="126"/>
        <v/>
      </c>
      <c r="B1166" s="83" t="str">
        <f t="shared" si="127"/>
        <v/>
      </c>
      <c r="U1166" s="83" t="str">
        <f t="shared" si="128"/>
        <v/>
      </c>
      <c r="V1166" s="83" t="str">
        <f t="shared" si="129"/>
        <v/>
      </c>
      <c r="AA1166" s="60">
        <f t="shared" si="130"/>
        <v>0</v>
      </c>
      <c r="AB1166" s="49">
        <f t="shared" si="131"/>
        <v>0</v>
      </c>
      <c r="AC1166" s="60">
        <f t="shared" si="132"/>
        <v>0</v>
      </c>
    </row>
    <row r="1167" spans="1:29">
      <c r="A1167" s="83" t="str">
        <f t="shared" si="126"/>
        <v/>
      </c>
      <c r="B1167" s="83" t="str">
        <f t="shared" si="127"/>
        <v/>
      </c>
      <c r="U1167" s="83" t="str">
        <f t="shared" si="128"/>
        <v/>
      </c>
      <c r="V1167" s="83" t="str">
        <f t="shared" si="129"/>
        <v/>
      </c>
      <c r="AA1167" s="60">
        <f t="shared" si="130"/>
        <v>0</v>
      </c>
      <c r="AB1167" s="49">
        <f t="shared" si="131"/>
        <v>0</v>
      </c>
      <c r="AC1167" s="60">
        <f t="shared" si="132"/>
        <v>0</v>
      </c>
    </row>
    <row r="1168" spans="1:29">
      <c r="A1168" s="83" t="str">
        <f t="shared" si="126"/>
        <v/>
      </c>
      <c r="B1168" s="83" t="str">
        <f t="shared" si="127"/>
        <v/>
      </c>
      <c r="U1168" s="83" t="str">
        <f t="shared" si="128"/>
        <v/>
      </c>
      <c r="V1168" s="83" t="str">
        <f t="shared" si="129"/>
        <v/>
      </c>
      <c r="AA1168" s="60">
        <f t="shared" si="130"/>
        <v>0</v>
      </c>
      <c r="AB1168" s="49">
        <f t="shared" si="131"/>
        <v>0</v>
      </c>
      <c r="AC1168" s="60">
        <f t="shared" si="132"/>
        <v>0</v>
      </c>
    </row>
    <row r="1169" spans="1:29">
      <c r="A1169" s="83" t="str">
        <f t="shared" si="126"/>
        <v/>
      </c>
      <c r="B1169" s="83" t="str">
        <f t="shared" si="127"/>
        <v/>
      </c>
      <c r="U1169" s="83" t="str">
        <f t="shared" si="128"/>
        <v/>
      </c>
      <c r="V1169" s="83" t="str">
        <f t="shared" si="129"/>
        <v/>
      </c>
      <c r="AA1169" s="60">
        <f t="shared" si="130"/>
        <v>0</v>
      </c>
      <c r="AB1169" s="49">
        <f t="shared" si="131"/>
        <v>0</v>
      </c>
      <c r="AC1169" s="60">
        <f t="shared" si="132"/>
        <v>0</v>
      </c>
    </row>
    <row r="1170" spans="1:29">
      <c r="A1170" s="83" t="str">
        <f t="shared" si="126"/>
        <v/>
      </c>
      <c r="B1170" s="83" t="str">
        <f t="shared" si="127"/>
        <v/>
      </c>
      <c r="U1170" s="83" t="str">
        <f t="shared" si="128"/>
        <v/>
      </c>
      <c r="V1170" s="83" t="str">
        <f t="shared" si="129"/>
        <v/>
      </c>
      <c r="AA1170" s="60">
        <f t="shared" si="130"/>
        <v>0</v>
      </c>
      <c r="AB1170" s="49">
        <f t="shared" si="131"/>
        <v>0</v>
      </c>
      <c r="AC1170" s="60">
        <f t="shared" si="132"/>
        <v>0</v>
      </c>
    </row>
    <row r="1171" spans="1:29">
      <c r="A1171" s="83" t="str">
        <f t="shared" si="126"/>
        <v/>
      </c>
      <c r="B1171" s="83" t="str">
        <f t="shared" si="127"/>
        <v/>
      </c>
      <c r="U1171" s="83" t="str">
        <f t="shared" si="128"/>
        <v/>
      </c>
      <c r="V1171" s="83" t="str">
        <f t="shared" si="129"/>
        <v/>
      </c>
      <c r="AA1171" s="60">
        <f t="shared" si="130"/>
        <v>0</v>
      </c>
      <c r="AB1171" s="49">
        <f t="shared" si="131"/>
        <v>0</v>
      </c>
      <c r="AC1171" s="60">
        <f t="shared" si="132"/>
        <v>0</v>
      </c>
    </row>
    <row r="1172" spans="1:29">
      <c r="A1172" s="83" t="str">
        <f t="shared" si="126"/>
        <v/>
      </c>
      <c r="B1172" s="83" t="str">
        <f t="shared" si="127"/>
        <v/>
      </c>
      <c r="U1172" s="83" t="str">
        <f t="shared" si="128"/>
        <v/>
      </c>
      <c r="V1172" s="83" t="str">
        <f t="shared" si="129"/>
        <v/>
      </c>
      <c r="AA1172" s="60">
        <f t="shared" si="130"/>
        <v>0</v>
      </c>
      <c r="AB1172" s="49">
        <f t="shared" si="131"/>
        <v>0</v>
      </c>
      <c r="AC1172" s="60">
        <f t="shared" si="132"/>
        <v>0</v>
      </c>
    </row>
    <row r="1173" spans="1:29">
      <c r="A1173" s="83" t="str">
        <f t="shared" si="126"/>
        <v/>
      </c>
      <c r="B1173" s="83" t="str">
        <f t="shared" si="127"/>
        <v/>
      </c>
      <c r="U1173" s="83" t="str">
        <f t="shared" si="128"/>
        <v/>
      </c>
      <c r="V1173" s="83" t="str">
        <f t="shared" si="129"/>
        <v/>
      </c>
      <c r="AA1173" s="60">
        <f t="shared" si="130"/>
        <v>0</v>
      </c>
      <c r="AB1173" s="49">
        <f t="shared" si="131"/>
        <v>0</v>
      </c>
      <c r="AC1173" s="60">
        <f t="shared" si="132"/>
        <v>0</v>
      </c>
    </row>
    <row r="1174" spans="1:29">
      <c r="A1174" s="83" t="str">
        <f t="shared" si="126"/>
        <v/>
      </c>
      <c r="B1174" s="83" t="str">
        <f t="shared" si="127"/>
        <v/>
      </c>
      <c r="U1174" s="83" t="str">
        <f t="shared" si="128"/>
        <v/>
      </c>
      <c r="V1174" s="83" t="str">
        <f t="shared" si="129"/>
        <v/>
      </c>
      <c r="AA1174" s="60">
        <f t="shared" si="130"/>
        <v>0</v>
      </c>
      <c r="AB1174" s="49">
        <f t="shared" si="131"/>
        <v>0</v>
      </c>
      <c r="AC1174" s="60">
        <f t="shared" si="132"/>
        <v>0</v>
      </c>
    </row>
    <row r="1175" spans="1:29">
      <c r="A1175" s="83" t="str">
        <f t="shared" si="126"/>
        <v/>
      </c>
      <c r="B1175" s="83" t="str">
        <f t="shared" si="127"/>
        <v/>
      </c>
      <c r="U1175" s="83" t="str">
        <f t="shared" si="128"/>
        <v/>
      </c>
      <c r="V1175" s="83" t="str">
        <f t="shared" si="129"/>
        <v/>
      </c>
      <c r="AA1175" s="60">
        <f t="shared" si="130"/>
        <v>0</v>
      </c>
      <c r="AB1175" s="49">
        <f t="shared" si="131"/>
        <v>0</v>
      </c>
      <c r="AC1175" s="60">
        <f t="shared" si="132"/>
        <v>0</v>
      </c>
    </row>
    <row r="1176" spans="1:29">
      <c r="A1176" s="83" t="str">
        <f t="shared" si="126"/>
        <v/>
      </c>
      <c r="B1176" s="83" t="str">
        <f t="shared" si="127"/>
        <v/>
      </c>
      <c r="U1176" s="83" t="str">
        <f t="shared" si="128"/>
        <v/>
      </c>
      <c r="V1176" s="83" t="str">
        <f t="shared" si="129"/>
        <v/>
      </c>
      <c r="AA1176" s="60">
        <f t="shared" si="130"/>
        <v>0</v>
      </c>
      <c r="AB1176" s="49">
        <f t="shared" si="131"/>
        <v>0</v>
      </c>
      <c r="AC1176" s="60">
        <f t="shared" si="132"/>
        <v>0</v>
      </c>
    </row>
    <row r="1177" spans="1:29">
      <c r="A1177" s="83" t="str">
        <f t="shared" si="126"/>
        <v/>
      </c>
      <c r="B1177" s="83" t="str">
        <f t="shared" si="127"/>
        <v/>
      </c>
      <c r="U1177" s="83" t="str">
        <f t="shared" si="128"/>
        <v/>
      </c>
      <c r="V1177" s="83" t="str">
        <f t="shared" si="129"/>
        <v/>
      </c>
      <c r="AA1177" s="60">
        <f t="shared" si="130"/>
        <v>0</v>
      </c>
      <c r="AB1177" s="49">
        <f t="shared" si="131"/>
        <v>0</v>
      </c>
      <c r="AC1177" s="60">
        <f t="shared" si="132"/>
        <v>0</v>
      </c>
    </row>
    <row r="1178" spans="1:29">
      <c r="A1178" s="83" t="str">
        <f t="shared" si="126"/>
        <v/>
      </c>
      <c r="B1178" s="83" t="str">
        <f t="shared" si="127"/>
        <v/>
      </c>
      <c r="U1178" s="83" t="str">
        <f t="shared" si="128"/>
        <v/>
      </c>
      <c r="V1178" s="83" t="str">
        <f t="shared" si="129"/>
        <v/>
      </c>
      <c r="AA1178" s="60">
        <f t="shared" si="130"/>
        <v>0</v>
      </c>
      <c r="AB1178" s="49">
        <f t="shared" si="131"/>
        <v>0</v>
      </c>
      <c r="AC1178" s="60">
        <f t="shared" si="132"/>
        <v>0</v>
      </c>
    </row>
    <row r="1179" spans="1:29">
      <c r="A1179" s="83" t="str">
        <f t="shared" si="126"/>
        <v/>
      </c>
      <c r="B1179" s="83" t="str">
        <f t="shared" si="127"/>
        <v/>
      </c>
      <c r="U1179" s="83" t="str">
        <f t="shared" si="128"/>
        <v/>
      </c>
      <c r="V1179" s="83" t="str">
        <f t="shared" si="129"/>
        <v/>
      </c>
      <c r="AA1179" s="60">
        <f t="shared" si="130"/>
        <v>0</v>
      </c>
      <c r="AB1179" s="49">
        <f t="shared" si="131"/>
        <v>0</v>
      </c>
      <c r="AC1179" s="60">
        <f t="shared" si="132"/>
        <v>0</v>
      </c>
    </row>
    <row r="1180" spans="1:29">
      <c r="A1180" s="83" t="str">
        <f t="shared" si="126"/>
        <v/>
      </c>
      <c r="B1180" s="83" t="str">
        <f t="shared" si="127"/>
        <v/>
      </c>
      <c r="U1180" s="83" t="str">
        <f t="shared" si="128"/>
        <v/>
      </c>
      <c r="V1180" s="83" t="str">
        <f t="shared" si="129"/>
        <v/>
      </c>
      <c r="AA1180" s="60">
        <f t="shared" si="130"/>
        <v>0</v>
      </c>
      <c r="AB1180" s="49">
        <f t="shared" si="131"/>
        <v>0</v>
      </c>
      <c r="AC1180" s="60">
        <f t="shared" si="132"/>
        <v>0</v>
      </c>
    </row>
    <row r="1181" spans="1:29">
      <c r="A1181" s="83" t="str">
        <f t="shared" si="126"/>
        <v/>
      </c>
      <c r="B1181" s="83" t="str">
        <f t="shared" si="127"/>
        <v/>
      </c>
      <c r="U1181" s="83" t="str">
        <f t="shared" si="128"/>
        <v/>
      </c>
      <c r="V1181" s="83" t="str">
        <f t="shared" si="129"/>
        <v/>
      </c>
      <c r="AA1181" s="60">
        <f t="shared" si="130"/>
        <v>0</v>
      </c>
      <c r="AB1181" s="49">
        <f t="shared" si="131"/>
        <v>0</v>
      </c>
      <c r="AC1181" s="60">
        <f t="shared" si="132"/>
        <v>0</v>
      </c>
    </row>
    <row r="1182" spans="1:29">
      <c r="A1182" s="83" t="str">
        <f t="shared" si="126"/>
        <v/>
      </c>
      <c r="B1182" s="83" t="str">
        <f t="shared" si="127"/>
        <v/>
      </c>
      <c r="U1182" s="83" t="str">
        <f t="shared" si="128"/>
        <v/>
      </c>
      <c r="V1182" s="83" t="str">
        <f t="shared" si="129"/>
        <v/>
      </c>
      <c r="AA1182" s="60">
        <f t="shared" si="130"/>
        <v>0</v>
      </c>
      <c r="AB1182" s="49">
        <f t="shared" si="131"/>
        <v>0</v>
      </c>
      <c r="AC1182" s="60">
        <f t="shared" si="132"/>
        <v>0</v>
      </c>
    </row>
    <row r="1183" spans="1:29">
      <c r="A1183" s="83" t="str">
        <f t="shared" si="126"/>
        <v/>
      </c>
      <c r="B1183" s="83" t="str">
        <f t="shared" si="127"/>
        <v/>
      </c>
      <c r="U1183" s="83" t="str">
        <f t="shared" si="128"/>
        <v/>
      </c>
      <c r="V1183" s="83" t="str">
        <f t="shared" si="129"/>
        <v/>
      </c>
      <c r="AA1183" s="60">
        <f t="shared" si="130"/>
        <v>0</v>
      </c>
      <c r="AB1183" s="49">
        <f t="shared" si="131"/>
        <v>0</v>
      </c>
      <c r="AC1183" s="60">
        <f t="shared" si="132"/>
        <v>0</v>
      </c>
    </row>
    <row r="1184" spans="1:29">
      <c r="A1184" s="83" t="str">
        <f t="shared" si="126"/>
        <v/>
      </c>
      <c r="B1184" s="83" t="str">
        <f t="shared" si="127"/>
        <v/>
      </c>
      <c r="U1184" s="83" t="str">
        <f t="shared" si="128"/>
        <v/>
      </c>
      <c r="V1184" s="83" t="str">
        <f t="shared" si="129"/>
        <v/>
      </c>
      <c r="AA1184" s="60">
        <f t="shared" si="130"/>
        <v>0</v>
      </c>
      <c r="AB1184" s="49">
        <f t="shared" si="131"/>
        <v>0</v>
      </c>
      <c r="AC1184" s="60">
        <f t="shared" si="132"/>
        <v>0</v>
      </c>
    </row>
    <row r="1185" spans="1:29">
      <c r="A1185" s="83" t="str">
        <f t="shared" si="126"/>
        <v/>
      </c>
      <c r="B1185" s="83" t="str">
        <f t="shared" si="127"/>
        <v/>
      </c>
      <c r="U1185" s="83" t="str">
        <f t="shared" si="128"/>
        <v/>
      </c>
      <c r="V1185" s="83" t="str">
        <f t="shared" si="129"/>
        <v/>
      </c>
      <c r="AA1185" s="60">
        <f t="shared" si="130"/>
        <v>0</v>
      </c>
      <c r="AB1185" s="49">
        <f t="shared" si="131"/>
        <v>0</v>
      </c>
      <c r="AC1185" s="60">
        <f t="shared" si="132"/>
        <v>0</v>
      </c>
    </row>
    <row r="1186" spans="1:29">
      <c r="A1186" s="83" t="str">
        <f t="shared" si="126"/>
        <v/>
      </c>
      <c r="B1186" s="83" t="str">
        <f t="shared" si="127"/>
        <v/>
      </c>
      <c r="U1186" s="83" t="str">
        <f t="shared" si="128"/>
        <v/>
      </c>
      <c r="V1186" s="83" t="str">
        <f t="shared" si="129"/>
        <v/>
      </c>
      <c r="AA1186" s="60">
        <f t="shared" si="130"/>
        <v>0</v>
      </c>
      <c r="AB1186" s="49">
        <f t="shared" si="131"/>
        <v>0</v>
      </c>
      <c r="AC1186" s="60">
        <f t="shared" si="132"/>
        <v>0</v>
      </c>
    </row>
    <row r="1187" spans="1:29">
      <c r="A1187" s="83" t="str">
        <f t="shared" si="126"/>
        <v/>
      </c>
      <c r="B1187" s="83" t="str">
        <f t="shared" si="127"/>
        <v/>
      </c>
      <c r="U1187" s="83" t="str">
        <f t="shared" si="128"/>
        <v/>
      </c>
      <c r="V1187" s="83" t="str">
        <f t="shared" si="129"/>
        <v/>
      </c>
      <c r="AA1187" s="60">
        <f t="shared" si="130"/>
        <v>0</v>
      </c>
      <c r="AB1187" s="49">
        <f t="shared" si="131"/>
        <v>0</v>
      </c>
      <c r="AC1187" s="60">
        <f t="shared" si="132"/>
        <v>0</v>
      </c>
    </row>
    <row r="1188" spans="1:29">
      <c r="A1188" s="83" t="str">
        <f t="shared" si="126"/>
        <v/>
      </c>
      <c r="B1188" s="83" t="str">
        <f t="shared" si="127"/>
        <v/>
      </c>
      <c r="U1188" s="83" t="str">
        <f t="shared" si="128"/>
        <v/>
      </c>
      <c r="V1188" s="83" t="str">
        <f t="shared" si="129"/>
        <v/>
      </c>
      <c r="AA1188" s="60">
        <f t="shared" si="130"/>
        <v>0</v>
      </c>
      <c r="AB1188" s="49">
        <f t="shared" si="131"/>
        <v>0</v>
      </c>
      <c r="AC1188" s="60">
        <f t="shared" si="132"/>
        <v>0</v>
      </c>
    </row>
    <row r="1189" spans="1:29">
      <c r="A1189" s="83" t="str">
        <f t="shared" si="126"/>
        <v/>
      </c>
      <c r="B1189" s="83" t="str">
        <f t="shared" si="127"/>
        <v/>
      </c>
      <c r="U1189" s="83" t="str">
        <f t="shared" si="128"/>
        <v/>
      </c>
      <c r="V1189" s="83" t="str">
        <f t="shared" si="129"/>
        <v/>
      </c>
      <c r="AA1189" s="60">
        <f t="shared" si="130"/>
        <v>0</v>
      </c>
      <c r="AB1189" s="49">
        <f t="shared" si="131"/>
        <v>0</v>
      </c>
      <c r="AC1189" s="60">
        <f t="shared" si="132"/>
        <v>0</v>
      </c>
    </row>
    <row r="1190" spans="1:29">
      <c r="A1190" s="83" t="str">
        <f t="shared" si="126"/>
        <v/>
      </c>
      <c r="B1190" s="83" t="str">
        <f t="shared" si="127"/>
        <v/>
      </c>
      <c r="U1190" s="83" t="str">
        <f t="shared" si="128"/>
        <v/>
      </c>
      <c r="V1190" s="83" t="str">
        <f t="shared" si="129"/>
        <v/>
      </c>
      <c r="AA1190" s="60">
        <f t="shared" si="130"/>
        <v>0</v>
      </c>
      <c r="AB1190" s="49">
        <f t="shared" si="131"/>
        <v>0</v>
      </c>
      <c r="AC1190" s="60">
        <f t="shared" si="132"/>
        <v>0</v>
      </c>
    </row>
    <row r="1191" spans="1:29">
      <c r="A1191" s="83" t="str">
        <f t="shared" si="126"/>
        <v/>
      </c>
      <c r="B1191" s="83" t="str">
        <f t="shared" si="127"/>
        <v/>
      </c>
      <c r="U1191" s="83" t="str">
        <f t="shared" si="128"/>
        <v/>
      </c>
      <c r="V1191" s="83" t="str">
        <f t="shared" si="129"/>
        <v/>
      </c>
      <c r="AA1191" s="60">
        <f t="shared" si="130"/>
        <v>0</v>
      </c>
      <c r="AB1191" s="49">
        <f t="shared" si="131"/>
        <v>0</v>
      </c>
      <c r="AC1191" s="60">
        <f t="shared" si="132"/>
        <v>0</v>
      </c>
    </row>
    <row r="1192" spans="1:29">
      <c r="A1192" s="83" t="str">
        <f t="shared" si="126"/>
        <v/>
      </c>
      <c r="B1192" s="83" t="str">
        <f t="shared" si="127"/>
        <v/>
      </c>
      <c r="U1192" s="83" t="str">
        <f t="shared" si="128"/>
        <v/>
      </c>
      <c r="V1192" s="83" t="str">
        <f t="shared" si="129"/>
        <v/>
      </c>
      <c r="AA1192" s="60">
        <f t="shared" si="130"/>
        <v>0</v>
      </c>
      <c r="AB1192" s="49">
        <f t="shared" si="131"/>
        <v>0</v>
      </c>
      <c r="AC1192" s="60">
        <f t="shared" si="132"/>
        <v>0</v>
      </c>
    </row>
    <row r="1193" spans="1:29">
      <c r="A1193" s="83" t="str">
        <f t="shared" si="126"/>
        <v/>
      </c>
      <c r="B1193" s="83" t="str">
        <f t="shared" si="127"/>
        <v/>
      </c>
      <c r="U1193" s="83" t="str">
        <f t="shared" si="128"/>
        <v/>
      </c>
      <c r="V1193" s="83" t="str">
        <f t="shared" si="129"/>
        <v/>
      </c>
      <c r="AA1193" s="60">
        <f t="shared" si="130"/>
        <v>0</v>
      </c>
      <c r="AB1193" s="49">
        <f t="shared" si="131"/>
        <v>0</v>
      </c>
      <c r="AC1193" s="60">
        <f t="shared" si="132"/>
        <v>0</v>
      </c>
    </row>
    <row r="1194" spans="1:29">
      <c r="A1194" s="83" t="str">
        <f t="shared" si="126"/>
        <v/>
      </c>
      <c r="B1194" s="83" t="str">
        <f t="shared" si="127"/>
        <v/>
      </c>
      <c r="U1194" s="83" t="str">
        <f t="shared" si="128"/>
        <v/>
      </c>
      <c r="V1194" s="83" t="str">
        <f t="shared" si="129"/>
        <v/>
      </c>
      <c r="AA1194" s="60">
        <f t="shared" si="130"/>
        <v>0</v>
      </c>
      <c r="AB1194" s="49">
        <f t="shared" si="131"/>
        <v>0</v>
      </c>
      <c r="AC1194" s="60">
        <f t="shared" si="132"/>
        <v>0</v>
      </c>
    </row>
    <row r="1195" spans="1:29">
      <c r="A1195" s="83" t="str">
        <f t="shared" si="126"/>
        <v/>
      </c>
      <c r="B1195" s="83" t="str">
        <f t="shared" si="127"/>
        <v/>
      </c>
      <c r="U1195" s="83" t="str">
        <f t="shared" si="128"/>
        <v/>
      </c>
      <c r="V1195" s="83" t="str">
        <f t="shared" si="129"/>
        <v/>
      </c>
      <c r="AA1195" s="60">
        <f t="shared" si="130"/>
        <v>0</v>
      </c>
      <c r="AB1195" s="49">
        <f t="shared" si="131"/>
        <v>0</v>
      </c>
      <c r="AC1195" s="60">
        <f t="shared" si="132"/>
        <v>0</v>
      </c>
    </row>
    <row r="1196" spans="1:29">
      <c r="A1196" s="83" t="str">
        <f t="shared" si="126"/>
        <v/>
      </c>
      <c r="B1196" s="83" t="str">
        <f t="shared" si="127"/>
        <v/>
      </c>
      <c r="U1196" s="83" t="str">
        <f t="shared" si="128"/>
        <v/>
      </c>
      <c r="V1196" s="83" t="str">
        <f t="shared" si="129"/>
        <v/>
      </c>
      <c r="AA1196" s="60">
        <f t="shared" si="130"/>
        <v>0</v>
      </c>
      <c r="AB1196" s="49">
        <f t="shared" si="131"/>
        <v>0</v>
      </c>
      <c r="AC1196" s="60">
        <f t="shared" si="132"/>
        <v>0</v>
      </c>
    </row>
    <row r="1197" spans="1:29">
      <c r="A1197" s="83" t="str">
        <f t="shared" si="126"/>
        <v/>
      </c>
      <c r="B1197" s="83" t="str">
        <f t="shared" si="127"/>
        <v/>
      </c>
      <c r="U1197" s="83" t="str">
        <f t="shared" si="128"/>
        <v/>
      </c>
      <c r="V1197" s="83" t="str">
        <f t="shared" si="129"/>
        <v/>
      </c>
      <c r="AA1197" s="60">
        <f t="shared" si="130"/>
        <v>0</v>
      </c>
      <c r="AB1197" s="49">
        <f t="shared" si="131"/>
        <v>0</v>
      </c>
      <c r="AC1197" s="60">
        <f t="shared" si="132"/>
        <v>0</v>
      </c>
    </row>
    <row r="1198" spans="1:29">
      <c r="A1198" s="83" t="str">
        <f t="shared" si="126"/>
        <v/>
      </c>
      <c r="B1198" s="83" t="str">
        <f t="shared" si="127"/>
        <v/>
      </c>
      <c r="U1198" s="83" t="str">
        <f t="shared" si="128"/>
        <v/>
      </c>
      <c r="V1198" s="83" t="str">
        <f t="shared" si="129"/>
        <v/>
      </c>
      <c r="AA1198" s="60">
        <f t="shared" si="130"/>
        <v>0</v>
      </c>
      <c r="AB1198" s="49">
        <f t="shared" si="131"/>
        <v>0</v>
      </c>
      <c r="AC1198" s="60">
        <f t="shared" si="132"/>
        <v>0</v>
      </c>
    </row>
    <row r="1199" spans="1:29">
      <c r="A1199" s="83" t="str">
        <f t="shared" si="126"/>
        <v/>
      </c>
      <c r="B1199" s="83" t="str">
        <f t="shared" si="127"/>
        <v/>
      </c>
      <c r="U1199" s="83" t="str">
        <f t="shared" si="128"/>
        <v/>
      </c>
      <c r="V1199" s="83" t="str">
        <f t="shared" si="129"/>
        <v/>
      </c>
      <c r="AA1199" s="60">
        <f t="shared" si="130"/>
        <v>0</v>
      </c>
      <c r="AB1199" s="49">
        <f t="shared" si="131"/>
        <v>0</v>
      </c>
      <c r="AC1199" s="60">
        <f t="shared" si="132"/>
        <v>0</v>
      </c>
    </row>
    <row r="1200" spans="1:29">
      <c r="A1200" s="83" t="str">
        <f t="shared" si="126"/>
        <v/>
      </c>
      <c r="B1200" s="83" t="str">
        <f t="shared" si="127"/>
        <v/>
      </c>
      <c r="U1200" s="83" t="str">
        <f t="shared" si="128"/>
        <v/>
      </c>
      <c r="V1200" s="83" t="str">
        <f t="shared" si="129"/>
        <v/>
      </c>
      <c r="AA1200" s="60">
        <f t="shared" si="130"/>
        <v>0</v>
      </c>
      <c r="AB1200" s="49">
        <f t="shared" si="131"/>
        <v>0</v>
      </c>
      <c r="AC1200" s="60">
        <f t="shared" si="132"/>
        <v>0</v>
      </c>
    </row>
    <row r="1201" spans="1:29">
      <c r="A1201" s="83" t="str">
        <f t="shared" si="126"/>
        <v/>
      </c>
      <c r="B1201" s="83" t="str">
        <f t="shared" si="127"/>
        <v/>
      </c>
      <c r="U1201" s="83" t="str">
        <f t="shared" si="128"/>
        <v/>
      </c>
      <c r="V1201" s="83" t="str">
        <f t="shared" si="129"/>
        <v/>
      </c>
      <c r="AA1201" s="60">
        <f t="shared" si="130"/>
        <v>0</v>
      </c>
      <c r="AB1201" s="49">
        <f t="shared" si="131"/>
        <v>0</v>
      </c>
      <c r="AC1201" s="60">
        <f t="shared" si="132"/>
        <v>0</v>
      </c>
    </row>
    <row r="1202" spans="1:29">
      <c r="A1202" s="83" t="str">
        <f t="shared" si="126"/>
        <v/>
      </c>
      <c r="B1202" s="83" t="str">
        <f t="shared" si="127"/>
        <v/>
      </c>
      <c r="U1202" s="83" t="str">
        <f t="shared" si="128"/>
        <v/>
      </c>
      <c r="V1202" s="83" t="str">
        <f t="shared" si="129"/>
        <v/>
      </c>
      <c r="AA1202" s="60">
        <f t="shared" si="130"/>
        <v>0</v>
      </c>
      <c r="AB1202" s="49">
        <f t="shared" si="131"/>
        <v>0</v>
      </c>
      <c r="AC1202" s="60">
        <f t="shared" si="132"/>
        <v>0</v>
      </c>
    </row>
    <row r="1203" spans="1:29">
      <c r="A1203" s="83" t="str">
        <f t="shared" si="126"/>
        <v/>
      </c>
      <c r="B1203" s="83" t="str">
        <f t="shared" si="127"/>
        <v/>
      </c>
      <c r="U1203" s="83" t="str">
        <f t="shared" si="128"/>
        <v/>
      </c>
      <c r="V1203" s="83" t="str">
        <f t="shared" si="129"/>
        <v/>
      </c>
      <c r="AA1203" s="60">
        <f t="shared" si="130"/>
        <v>0</v>
      </c>
      <c r="AB1203" s="49">
        <f t="shared" si="131"/>
        <v>0</v>
      </c>
      <c r="AC1203" s="60">
        <f t="shared" si="132"/>
        <v>0</v>
      </c>
    </row>
    <row r="1204" spans="1:29">
      <c r="A1204" s="83" t="str">
        <f t="shared" si="126"/>
        <v/>
      </c>
      <c r="B1204" s="83" t="str">
        <f t="shared" si="127"/>
        <v/>
      </c>
      <c r="U1204" s="83" t="str">
        <f t="shared" si="128"/>
        <v/>
      </c>
      <c r="V1204" s="83" t="str">
        <f t="shared" si="129"/>
        <v/>
      </c>
      <c r="AA1204" s="60">
        <f t="shared" si="130"/>
        <v>0</v>
      </c>
      <c r="AB1204" s="49">
        <f t="shared" si="131"/>
        <v>0</v>
      </c>
      <c r="AC1204" s="60">
        <f t="shared" si="132"/>
        <v>0</v>
      </c>
    </row>
    <row r="1205" spans="1:29">
      <c r="A1205" s="83" t="str">
        <f t="shared" si="126"/>
        <v/>
      </c>
      <c r="B1205" s="83" t="str">
        <f t="shared" si="127"/>
        <v/>
      </c>
      <c r="U1205" s="83" t="str">
        <f t="shared" si="128"/>
        <v/>
      </c>
      <c r="V1205" s="83" t="str">
        <f t="shared" si="129"/>
        <v/>
      </c>
      <c r="AA1205" s="60">
        <f t="shared" si="130"/>
        <v>0</v>
      </c>
      <c r="AB1205" s="49">
        <f t="shared" si="131"/>
        <v>0</v>
      </c>
      <c r="AC1205" s="60">
        <f t="shared" si="132"/>
        <v>0</v>
      </c>
    </row>
    <row r="1206" spans="1:29">
      <c r="A1206" s="83" t="str">
        <f t="shared" si="126"/>
        <v/>
      </c>
      <c r="B1206" s="83" t="str">
        <f t="shared" si="127"/>
        <v/>
      </c>
      <c r="U1206" s="83" t="str">
        <f t="shared" si="128"/>
        <v/>
      </c>
      <c r="V1206" s="83" t="str">
        <f t="shared" si="129"/>
        <v/>
      </c>
      <c r="AA1206" s="60">
        <f t="shared" si="130"/>
        <v>0</v>
      </c>
      <c r="AB1206" s="49">
        <f t="shared" si="131"/>
        <v>0</v>
      </c>
      <c r="AC1206" s="60">
        <f t="shared" si="132"/>
        <v>0</v>
      </c>
    </row>
    <row r="1207" spans="1:29">
      <c r="A1207" s="83" t="str">
        <f t="shared" si="126"/>
        <v/>
      </c>
      <c r="B1207" s="83" t="str">
        <f t="shared" si="127"/>
        <v/>
      </c>
      <c r="U1207" s="83" t="str">
        <f t="shared" si="128"/>
        <v/>
      </c>
      <c r="V1207" s="83" t="str">
        <f t="shared" si="129"/>
        <v/>
      </c>
      <c r="AA1207" s="60">
        <f t="shared" si="130"/>
        <v>0</v>
      </c>
      <c r="AB1207" s="49">
        <f t="shared" si="131"/>
        <v>0</v>
      </c>
      <c r="AC1207" s="60">
        <f t="shared" si="132"/>
        <v>0</v>
      </c>
    </row>
    <row r="1208" spans="1:29">
      <c r="A1208" s="83" t="str">
        <f t="shared" si="126"/>
        <v/>
      </c>
      <c r="B1208" s="83" t="str">
        <f t="shared" si="127"/>
        <v/>
      </c>
      <c r="U1208" s="83" t="str">
        <f t="shared" si="128"/>
        <v/>
      </c>
      <c r="V1208" s="83" t="str">
        <f t="shared" si="129"/>
        <v/>
      </c>
      <c r="AA1208" s="60">
        <f t="shared" si="130"/>
        <v>0</v>
      </c>
      <c r="AB1208" s="49">
        <f t="shared" si="131"/>
        <v>0</v>
      </c>
      <c r="AC1208" s="60">
        <f t="shared" si="132"/>
        <v>0</v>
      </c>
    </row>
    <row r="1209" spans="1:29">
      <c r="A1209" s="83" t="str">
        <f t="shared" si="126"/>
        <v/>
      </c>
      <c r="B1209" s="83" t="str">
        <f t="shared" si="127"/>
        <v/>
      </c>
      <c r="U1209" s="83" t="str">
        <f t="shared" si="128"/>
        <v/>
      </c>
      <c r="V1209" s="83" t="str">
        <f t="shared" si="129"/>
        <v/>
      </c>
      <c r="AA1209" s="60">
        <f t="shared" si="130"/>
        <v>0</v>
      </c>
      <c r="AB1209" s="49">
        <f t="shared" si="131"/>
        <v>0</v>
      </c>
      <c r="AC1209" s="60">
        <f t="shared" si="132"/>
        <v>0</v>
      </c>
    </row>
    <row r="1210" spans="1:29">
      <c r="A1210" s="83" t="str">
        <f t="shared" si="126"/>
        <v/>
      </c>
      <c r="B1210" s="83" t="str">
        <f t="shared" si="127"/>
        <v/>
      </c>
      <c r="U1210" s="83" t="str">
        <f t="shared" si="128"/>
        <v/>
      </c>
      <c r="V1210" s="83" t="str">
        <f t="shared" si="129"/>
        <v/>
      </c>
      <c r="AA1210" s="60">
        <f t="shared" si="130"/>
        <v>0</v>
      </c>
      <c r="AB1210" s="49">
        <f t="shared" si="131"/>
        <v>0</v>
      </c>
      <c r="AC1210" s="60">
        <f t="shared" si="132"/>
        <v>0</v>
      </c>
    </row>
    <row r="1211" spans="1:29">
      <c r="A1211" s="83" t="str">
        <f t="shared" si="126"/>
        <v/>
      </c>
      <c r="B1211" s="83" t="str">
        <f t="shared" si="127"/>
        <v/>
      </c>
      <c r="U1211" s="83" t="str">
        <f t="shared" si="128"/>
        <v/>
      </c>
      <c r="V1211" s="83" t="str">
        <f t="shared" si="129"/>
        <v/>
      </c>
      <c r="AA1211" s="60">
        <f t="shared" si="130"/>
        <v>0</v>
      </c>
      <c r="AB1211" s="49">
        <f t="shared" si="131"/>
        <v>0</v>
      </c>
      <c r="AC1211" s="60">
        <f t="shared" si="132"/>
        <v>0</v>
      </c>
    </row>
    <row r="1212" spans="1:29">
      <c r="A1212" s="83" t="str">
        <f t="shared" si="126"/>
        <v/>
      </c>
      <c r="B1212" s="83" t="str">
        <f t="shared" si="127"/>
        <v/>
      </c>
      <c r="U1212" s="83" t="str">
        <f t="shared" si="128"/>
        <v/>
      </c>
      <c r="V1212" s="83" t="str">
        <f t="shared" si="129"/>
        <v/>
      </c>
      <c r="AA1212" s="60">
        <f t="shared" si="130"/>
        <v>0</v>
      </c>
      <c r="AB1212" s="49">
        <f t="shared" si="131"/>
        <v>0</v>
      </c>
      <c r="AC1212" s="60">
        <f t="shared" si="132"/>
        <v>0</v>
      </c>
    </row>
    <row r="1213" spans="1:29">
      <c r="A1213" s="83" t="str">
        <f t="shared" si="126"/>
        <v/>
      </c>
      <c r="B1213" s="83" t="str">
        <f t="shared" si="127"/>
        <v/>
      </c>
      <c r="U1213" s="83" t="str">
        <f t="shared" si="128"/>
        <v/>
      </c>
      <c r="V1213" s="83" t="str">
        <f t="shared" si="129"/>
        <v/>
      </c>
      <c r="AA1213" s="60">
        <f t="shared" si="130"/>
        <v>0</v>
      </c>
      <c r="AB1213" s="49">
        <f t="shared" si="131"/>
        <v>0</v>
      </c>
      <c r="AC1213" s="60">
        <f t="shared" si="132"/>
        <v>0</v>
      </c>
    </row>
    <row r="1214" spans="1:29">
      <c r="A1214" s="83" t="str">
        <f t="shared" si="126"/>
        <v/>
      </c>
      <c r="B1214" s="83" t="str">
        <f t="shared" si="127"/>
        <v/>
      </c>
      <c r="U1214" s="83" t="str">
        <f t="shared" si="128"/>
        <v/>
      </c>
      <c r="V1214" s="83" t="str">
        <f t="shared" si="129"/>
        <v/>
      </c>
      <c r="AA1214" s="60">
        <f t="shared" si="130"/>
        <v>0</v>
      </c>
      <c r="AB1214" s="49">
        <f t="shared" si="131"/>
        <v>0</v>
      </c>
      <c r="AC1214" s="60">
        <f t="shared" si="132"/>
        <v>0</v>
      </c>
    </row>
    <row r="1215" spans="1:29">
      <c r="A1215" s="83" t="str">
        <f t="shared" si="126"/>
        <v/>
      </c>
      <c r="B1215" s="83" t="str">
        <f t="shared" si="127"/>
        <v/>
      </c>
      <c r="U1215" s="83" t="str">
        <f t="shared" si="128"/>
        <v/>
      </c>
      <c r="V1215" s="83" t="str">
        <f t="shared" si="129"/>
        <v/>
      </c>
      <c r="AA1215" s="60">
        <f t="shared" si="130"/>
        <v>0</v>
      </c>
      <c r="AB1215" s="49">
        <f t="shared" si="131"/>
        <v>0</v>
      </c>
      <c r="AC1215" s="60">
        <f t="shared" si="132"/>
        <v>0</v>
      </c>
    </row>
    <row r="1216" spans="1:29">
      <c r="A1216" s="83" t="str">
        <f t="shared" si="126"/>
        <v/>
      </c>
      <c r="B1216" s="83" t="str">
        <f t="shared" si="127"/>
        <v/>
      </c>
      <c r="U1216" s="83" t="str">
        <f t="shared" si="128"/>
        <v/>
      </c>
      <c r="V1216" s="83" t="str">
        <f t="shared" si="129"/>
        <v/>
      </c>
      <c r="AA1216" s="60">
        <f t="shared" si="130"/>
        <v>0</v>
      </c>
      <c r="AB1216" s="49">
        <f t="shared" si="131"/>
        <v>0</v>
      </c>
      <c r="AC1216" s="60">
        <f t="shared" si="132"/>
        <v>0</v>
      </c>
    </row>
    <row r="1217" spans="1:29">
      <c r="A1217" s="83" t="str">
        <f t="shared" si="126"/>
        <v/>
      </c>
      <c r="B1217" s="83" t="str">
        <f t="shared" si="127"/>
        <v/>
      </c>
      <c r="U1217" s="83" t="str">
        <f t="shared" si="128"/>
        <v/>
      </c>
      <c r="V1217" s="83" t="str">
        <f t="shared" si="129"/>
        <v/>
      </c>
      <c r="AA1217" s="60">
        <f t="shared" si="130"/>
        <v>0</v>
      </c>
      <c r="AB1217" s="49">
        <f t="shared" si="131"/>
        <v>0</v>
      </c>
      <c r="AC1217" s="60">
        <f t="shared" si="132"/>
        <v>0</v>
      </c>
    </row>
    <row r="1218" spans="1:29">
      <c r="A1218" s="83" t="str">
        <f t="shared" si="126"/>
        <v/>
      </c>
      <c r="B1218" s="83" t="str">
        <f t="shared" si="127"/>
        <v/>
      </c>
      <c r="U1218" s="83" t="str">
        <f t="shared" si="128"/>
        <v/>
      </c>
      <c r="V1218" s="83" t="str">
        <f t="shared" si="129"/>
        <v/>
      </c>
      <c r="AA1218" s="60">
        <f t="shared" si="130"/>
        <v>0</v>
      </c>
      <c r="AB1218" s="49">
        <f t="shared" si="131"/>
        <v>0</v>
      </c>
      <c r="AC1218" s="60">
        <f t="shared" si="132"/>
        <v>0</v>
      </c>
    </row>
    <row r="1219" spans="1:29">
      <c r="A1219" s="83" t="str">
        <f t="shared" ref="A1219:A1282" si="133">IF(G1219&amp;Q1219&lt;&gt;"",U1219&amp;Q1219,"")</f>
        <v/>
      </c>
      <c r="B1219" s="83" t="str">
        <f t="shared" ref="B1219:B1282" si="134">IF(C1219&lt;&gt;"",LEFT(C1219,9),"")</f>
        <v/>
      </c>
      <c r="U1219" s="83" t="str">
        <f t="shared" ref="U1219:U1282" si="135">IF(G1219&lt;&gt;"",IF(StyleSpaceSplit,IFERROR(IF(FIND(" ",G1219)&gt;=1,MID(G1219,1,FIND(" ",G1219)-1),G1219),G1219),G1219),"")</f>
        <v/>
      </c>
      <c r="V1219" s="83" t="str">
        <f t="shared" ref="V1219:V1282" si="136">IF(A1219&lt;&gt;"",IFERROR(IF(FIND(" ",G1219)&gt;=1,MID(G1219,FIND(" ",G1219)+1,LEN(G1219)),""),G1219),"")</f>
        <v/>
      </c>
      <c r="AA1219" s="60">
        <f t="shared" ref="AA1219:AA1282" si="137">IFERROR(VALUE(MID($C1219,1,2)),0)</f>
        <v>0</v>
      </c>
      <c r="AB1219" s="49">
        <f t="shared" ref="AB1219:AB1282" si="138">IFERROR(VALUE(MID($C1219,4,3)),0)</f>
        <v>0</v>
      </c>
      <c r="AC1219" s="60">
        <f t="shared" ref="AC1219:AC1282" si="139">VALUE(RIGHT("00"&amp;AA1219,2)&amp;RIGHT("000"&amp;AB1219,3))</f>
        <v>0</v>
      </c>
    </row>
    <row r="1220" spans="1:29">
      <c r="A1220" s="83" t="str">
        <f t="shared" si="133"/>
        <v/>
      </c>
      <c r="B1220" s="83" t="str">
        <f t="shared" si="134"/>
        <v/>
      </c>
      <c r="U1220" s="83" t="str">
        <f t="shared" si="135"/>
        <v/>
      </c>
      <c r="V1220" s="83" t="str">
        <f t="shared" si="136"/>
        <v/>
      </c>
      <c r="AA1220" s="60">
        <f t="shared" si="137"/>
        <v>0</v>
      </c>
      <c r="AB1220" s="49">
        <f t="shared" si="138"/>
        <v>0</v>
      </c>
      <c r="AC1220" s="60">
        <f t="shared" si="139"/>
        <v>0</v>
      </c>
    </row>
    <row r="1221" spans="1:29">
      <c r="A1221" s="83" t="str">
        <f t="shared" si="133"/>
        <v/>
      </c>
      <c r="B1221" s="83" t="str">
        <f t="shared" si="134"/>
        <v/>
      </c>
      <c r="U1221" s="83" t="str">
        <f t="shared" si="135"/>
        <v/>
      </c>
      <c r="V1221" s="83" t="str">
        <f t="shared" si="136"/>
        <v/>
      </c>
      <c r="AA1221" s="60">
        <f t="shared" si="137"/>
        <v>0</v>
      </c>
      <c r="AB1221" s="49">
        <f t="shared" si="138"/>
        <v>0</v>
      </c>
      <c r="AC1221" s="60">
        <f t="shared" si="139"/>
        <v>0</v>
      </c>
    </row>
    <row r="1222" spans="1:29">
      <c r="A1222" s="83" t="str">
        <f t="shared" si="133"/>
        <v/>
      </c>
      <c r="B1222" s="83" t="str">
        <f t="shared" si="134"/>
        <v/>
      </c>
      <c r="U1222" s="83" t="str">
        <f t="shared" si="135"/>
        <v/>
      </c>
      <c r="V1222" s="83" t="str">
        <f t="shared" si="136"/>
        <v/>
      </c>
      <c r="AA1222" s="60">
        <f t="shared" si="137"/>
        <v>0</v>
      </c>
      <c r="AB1222" s="49">
        <f t="shared" si="138"/>
        <v>0</v>
      </c>
      <c r="AC1222" s="60">
        <f t="shared" si="139"/>
        <v>0</v>
      </c>
    </row>
    <row r="1223" spans="1:29">
      <c r="A1223" s="83" t="str">
        <f t="shared" si="133"/>
        <v/>
      </c>
      <c r="B1223" s="83" t="str">
        <f t="shared" si="134"/>
        <v/>
      </c>
      <c r="U1223" s="83" t="str">
        <f t="shared" si="135"/>
        <v/>
      </c>
      <c r="V1223" s="83" t="str">
        <f t="shared" si="136"/>
        <v/>
      </c>
      <c r="AA1223" s="60">
        <f t="shared" si="137"/>
        <v>0</v>
      </c>
      <c r="AB1223" s="49">
        <f t="shared" si="138"/>
        <v>0</v>
      </c>
      <c r="AC1223" s="60">
        <f t="shared" si="139"/>
        <v>0</v>
      </c>
    </row>
    <row r="1224" spans="1:29">
      <c r="A1224" s="83" t="str">
        <f t="shared" si="133"/>
        <v/>
      </c>
      <c r="B1224" s="83" t="str">
        <f t="shared" si="134"/>
        <v/>
      </c>
      <c r="U1224" s="83" t="str">
        <f t="shared" si="135"/>
        <v/>
      </c>
      <c r="V1224" s="83" t="str">
        <f t="shared" si="136"/>
        <v/>
      </c>
      <c r="AA1224" s="60">
        <f t="shared" si="137"/>
        <v>0</v>
      </c>
      <c r="AB1224" s="49">
        <f t="shared" si="138"/>
        <v>0</v>
      </c>
      <c r="AC1224" s="60">
        <f t="shared" si="139"/>
        <v>0</v>
      </c>
    </row>
    <row r="1225" spans="1:29">
      <c r="A1225" s="83" t="str">
        <f t="shared" si="133"/>
        <v/>
      </c>
      <c r="B1225" s="83" t="str">
        <f t="shared" si="134"/>
        <v/>
      </c>
      <c r="U1225" s="83" t="str">
        <f t="shared" si="135"/>
        <v/>
      </c>
      <c r="V1225" s="83" t="str">
        <f t="shared" si="136"/>
        <v/>
      </c>
      <c r="AA1225" s="60">
        <f t="shared" si="137"/>
        <v>0</v>
      </c>
      <c r="AB1225" s="49">
        <f t="shared" si="138"/>
        <v>0</v>
      </c>
      <c r="AC1225" s="60">
        <f t="shared" si="139"/>
        <v>0</v>
      </c>
    </row>
    <row r="1226" spans="1:29">
      <c r="A1226" s="83" t="str">
        <f t="shared" si="133"/>
        <v/>
      </c>
      <c r="B1226" s="83" t="str">
        <f t="shared" si="134"/>
        <v/>
      </c>
      <c r="U1226" s="83" t="str">
        <f t="shared" si="135"/>
        <v/>
      </c>
      <c r="V1226" s="83" t="str">
        <f t="shared" si="136"/>
        <v/>
      </c>
      <c r="AA1226" s="60">
        <f t="shared" si="137"/>
        <v>0</v>
      </c>
      <c r="AB1226" s="49">
        <f t="shared" si="138"/>
        <v>0</v>
      </c>
      <c r="AC1226" s="60">
        <f t="shared" si="139"/>
        <v>0</v>
      </c>
    </row>
    <row r="1227" spans="1:29">
      <c r="A1227" s="83" t="str">
        <f t="shared" si="133"/>
        <v/>
      </c>
      <c r="B1227" s="83" t="str">
        <f t="shared" si="134"/>
        <v/>
      </c>
      <c r="U1227" s="83" t="str">
        <f t="shared" si="135"/>
        <v/>
      </c>
      <c r="V1227" s="83" t="str">
        <f t="shared" si="136"/>
        <v/>
      </c>
      <c r="AA1227" s="60">
        <f t="shared" si="137"/>
        <v>0</v>
      </c>
      <c r="AB1227" s="49">
        <f t="shared" si="138"/>
        <v>0</v>
      </c>
      <c r="AC1227" s="60">
        <f t="shared" si="139"/>
        <v>0</v>
      </c>
    </row>
    <row r="1228" spans="1:29">
      <c r="A1228" s="83" t="str">
        <f t="shared" si="133"/>
        <v/>
      </c>
      <c r="B1228" s="83" t="str">
        <f t="shared" si="134"/>
        <v/>
      </c>
      <c r="U1228" s="83" t="str">
        <f t="shared" si="135"/>
        <v/>
      </c>
      <c r="V1228" s="83" t="str">
        <f t="shared" si="136"/>
        <v/>
      </c>
      <c r="AA1228" s="60">
        <f t="shared" si="137"/>
        <v>0</v>
      </c>
      <c r="AB1228" s="49">
        <f t="shared" si="138"/>
        <v>0</v>
      </c>
      <c r="AC1228" s="60">
        <f t="shared" si="139"/>
        <v>0</v>
      </c>
    </row>
    <row r="1229" spans="1:29">
      <c r="A1229" s="83" t="str">
        <f t="shared" si="133"/>
        <v/>
      </c>
      <c r="B1229" s="83" t="str">
        <f t="shared" si="134"/>
        <v/>
      </c>
      <c r="U1229" s="83" t="str">
        <f t="shared" si="135"/>
        <v/>
      </c>
      <c r="V1229" s="83" t="str">
        <f t="shared" si="136"/>
        <v/>
      </c>
      <c r="AA1229" s="60">
        <f t="shared" si="137"/>
        <v>0</v>
      </c>
      <c r="AB1229" s="49">
        <f t="shared" si="138"/>
        <v>0</v>
      </c>
      <c r="AC1229" s="60">
        <f t="shared" si="139"/>
        <v>0</v>
      </c>
    </row>
    <row r="1230" spans="1:29">
      <c r="A1230" s="83" t="str">
        <f t="shared" si="133"/>
        <v/>
      </c>
      <c r="B1230" s="83" t="str">
        <f t="shared" si="134"/>
        <v/>
      </c>
      <c r="U1230" s="83" t="str">
        <f t="shared" si="135"/>
        <v/>
      </c>
      <c r="V1230" s="83" t="str">
        <f t="shared" si="136"/>
        <v/>
      </c>
      <c r="AA1230" s="60">
        <f t="shared" si="137"/>
        <v>0</v>
      </c>
      <c r="AB1230" s="49">
        <f t="shared" si="138"/>
        <v>0</v>
      </c>
      <c r="AC1230" s="60">
        <f t="shared" si="139"/>
        <v>0</v>
      </c>
    </row>
    <row r="1231" spans="1:29">
      <c r="A1231" s="83" t="str">
        <f t="shared" si="133"/>
        <v/>
      </c>
      <c r="B1231" s="83" t="str">
        <f t="shared" si="134"/>
        <v/>
      </c>
      <c r="U1231" s="83" t="str">
        <f t="shared" si="135"/>
        <v/>
      </c>
      <c r="V1231" s="83" t="str">
        <f t="shared" si="136"/>
        <v/>
      </c>
      <c r="AA1231" s="60">
        <f t="shared" si="137"/>
        <v>0</v>
      </c>
      <c r="AB1231" s="49">
        <f t="shared" si="138"/>
        <v>0</v>
      </c>
      <c r="AC1231" s="60">
        <f t="shared" si="139"/>
        <v>0</v>
      </c>
    </row>
    <row r="1232" spans="1:29">
      <c r="A1232" s="83" t="str">
        <f t="shared" si="133"/>
        <v/>
      </c>
      <c r="B1232" s="83" t="str">
        <f t="shared" si="134"/>
        <v/>
      </c>
      <c r="U1232" s="83" t="str">
        <f t="shared" si="135"/>
        <v/>
      </c>
      <c r="V1232" s="83" t="str">
        <f t="shared" si="136"/>
        <v/>
      </c>
      <c r="AA1232" s="60">
        <f t="shared" si="137"/>
        <v>0</v>
      </c>
      <c r="AB1232" s="49">
        <f t="shared" si="138"/>
        <v>0</v>
      </c>
      <c r="AC1232" s="60">
        <f t="shared" si="139"/>
        <v>0</v>
      </c>
    </row>
    <row r="1233" spans="1:29">
      <c r="A1233" s="83" t="str">
        <f t="shared" si="133"/>
        <v/>
      </c>
      <c r="B1233" s="83" t="str">
        <f t="shared" si="134"/>
        <v/>
      </c>
      <c r="U1233" s="83" t="str">
        <f t="shared" si="135"/>
        <v/>
      </c>
      <c r="V1233" s="83" t="str">
        <f t="shared" si="136"/>
        <v/>
      </c>
      <c r="AA1233" s="60">
        <f t="shared" si="137"/>
        <v>0</v>
      </c>
      <c r="AB1233" s="49">
        <f t="shared" si="138"/>
        <v>0</v>
      </c>
      <c r="AC1233" s="60">
        <f t="shared" si="139"/>
        <v>0</v>
      </c>
    </row>
    <row r="1234" spans="1:29">
      <c r="A1234" s="83" t="str">
        <f t="shared" si="133"/>
        <v/>
      </c>
      <c r="B1234" s="83" t="str">
        <f t="shared" si="134"/>
        <v/>
      </c>
      <c r="U1234" s="83" t="str">
        <f t="shared" si="135"/>
        <v/>
      </c>
      <c r="V1234" s="83" t="str">
        <f t="shared" si="136"/>
        <v/>
      </c>
      <c r="AA1234" s="60">
        <f t="shared" si="137"/>
        <v>0</v>
      </c>
      <c r="AB1234" s="49">
        <f t="shared" si="138"/>
        <v>0</v>
      </c>
      <c r="AC1234" s="60">
        <f t="shared" si="139"/>
        <v>0</v>
      </c>
    </row>
    <row r="1235" spans="1:29">
      <c r="A1235" s="83" t="str">
        <f t="shared" si="133"/>
        <v/>
      </c>
      <c r="B1235" s="83" t="str">
        <f t="shared" si="134"/>
        <v/>
      </c>
      <c r="U1235" s="83" t="str">
        <f t="shared" si="135"/>
        <v/>
      </c>
      <c r="V1235" s="83" t="str">
        <f t="shared" si="136"/>
        <v/>
      </c>
      <c r="AA1235" s="60">
        <f t="shared" si="137"/>
        <v>0</v>
      </c>
      <c r="AB1235" s="49">
        <f t="shared" si="138"/>
        <v>0</v>
      </c>
      <c r="AC1235" s="60">
        <f t="shared" si="139"/>
        <v>0</v>
      </c>
    </row>
    <row r="1236" spans="1:29">
      <c r="A1236" s="83" t="str">
        <f t="shared" si="133"/>
        <v/>
      </c>
      <c r="B1236" s="83" t="str">
        <f t="shared" si="134"/>
        <v/>
      </c>
      <c r="U1236" s="83" t="str">
        <f t="shared" si="135"/>
        <v/>
      </c>
      <c r="V1236" s="83" t="str">
        <f t="shared" si="136"/>
        <v/>
      </c>
      <c r="AA1236" s="60">
        <f t="shared" si="137"/>
        <v>0</v>
      </c>
      <c r="AB1236" s="49">
        <f t="shared" si="138"/>
        <v>0</v>
      </c>
      <c r="AC1236" s="60">
        <f t="shared" si="139"/>
        <v>0</v>
      </c>
    </row>
    <row r="1237" spans="1:29">
      <c r="A1237" s="83" t="str">
        <f t="shared" si="133"/>
        <v/>
      </c>
      <c r="B1237" s="83" t="str">
        <f t="shared" si="134"/>
        <v/>
      </c>
      <c r="U1237" s="83" t="str">
        <f t="shared" si="135"/>
        <v/>
      </c>
      <c r="V1237" s="83" t="str">
        <f t="shared" si="136"/>
        <v/>
      </c>
      <c r="AA1237" s="60">
        <f t="shared" si="137"/>
        <v>0</v>
      </c>
      <c r="AB1237" s="49">
        <f t="shared" si="138"/>
        <v>0</v>
      </c>
      <c r="AC1237" s="60">
        <f t="shared" si="139"/>
        <v>0</v>
      </c>
    </row>
    <row r="1238" spans="1:29">
      <c r="A1238" s="83" t="str">
        <f t="shared" si="133"/>
        <v/>
      </c>
      <c r="B1238" s="83" t="str">
        <f t="shared" si="134"/>
        <v/>
      </c>
      <c r="U1238" s="83" t="str">
        <f t="shared" si="135"/>
        <v/>
      </c>
      <c r="V1238" s="83" t="str">
        <f t="shared" si="136"/>
        <v/>
      </c>
      <c r="AA1238" s="60">
        <f t="shared" si="137"/>
        <v>0</v>
      </c>
      <c r="AB1238" s="49">
        <f t="shared" si="138"/>
        <v>0</v>
      </c>
      <c r="AC1238" s="60">
        <f t="shared" si="139"/>
        <v>0</v>
      </c>
    </row>
    <row r="1239" spans="1:29">
      <c r="A1239" s="83" t="str">
        <f t="shared" si="133"/>
        <v/>
      </c>
      <c r="B1239" s="83" t="str">
        <f t="shared" si="134"/>
        <v/>
      </c>
      <c r="U1239" s="83" t="str">
        <f t="shared" si="135"/>
        <v/>
      </c>
      <c r="V1239" s="83" t="str">
        <f t="shared" si="136"/>
        <v/>
      </c>
      <c r="AA1239" s="60">
        <f t="shared" si="137"/>
        <v>0</v>
      </c>
      <c r="AB1239" s="49">
        <f t="shared" si="138"/>
        <v>0</v>
      </c>
      <c r="AC1239" s="60">
        <f t="shared" si="139"/>
        <v>0</v>
      </c>
    </row>
    <row r="1240" spans="1:29">
      <c r="A1240" s="83" t="str">
        <f t="shared" si="133"/>
        <v/>
      </c>
      <c r="B1240" s="83" t="str">
        <f t="shared" si="134"/>
        <v/>
      </c>
      <c r="U1240" s="83" t="str">
        <f t="shared" si="135"/>
        <v/>
      </c>
      <c r="V1240" s="83" t="str">
        <f t="shared" si="136"/>
        <v/>
      </c>
      <c r="AA1240" s="60">
        <f t="shared" si="137"/>
        <v>0</v>
      </c>
      <c r="AB1240" s="49">
        <f t="shared" si="138"/>
        <v>0</v>
      </c>
      <c r="AC1240" s="60">
        <f t="shared" si="139"/>
        <v>0</v>
      </c>
    </row>
    <row r="1241" spans="1:29">
      <c r="A1241" s="83" t="str">
        <f t="shared" si="133"/>
        <v/>
      </c>
      <c r="B1241" s="83" t="str">
        <f t="shared" si="134"/>
        <v/>
      </c>
      <c r="U1241" s="83" t="str">
        <f t="shared" si="135"/>
        <v/>
      </c>
      <c r="V1241" s="83" t="str">
        <f t="shared" si="136"/>
        <v/>
      </c>
      <c r="AA1241" s="60">
        <f t="shared" si="137"/>
        <v>0</v>
      </c>
      <c r="AB1241" s="49">
        <f t="shared" si="138"/>
        <v>0</v>
      </c>
      <c r="AC1241" s="60">
        <f t="shared" si="139"/>
        <v>0</v>
      </c>
    </row>
    <row r="1242" spans="1:29">
      <c r="A1242" s="83" t="str">
        <f t="shared" si="133"/>
        <v/>
      </c>
      <c r="B1242" s="83" t="str">
        <f t="shared" si="134"/>
        <v/>
      </c>
      <c r="U1242" s="83" t="str">
        <f t="shared" si="135"/>
        <v/>
      </c>
      <c r="V1242" s="83" t="str">
        <f t="shared" si="136"/>
        <v/>
      </c>
      <c r="AA1242" s="60">
        <f t="shared" si="137"/>
        <v>0</v>
      </c>
      <c r="AB1242" s="49">
        <f t="shared" si="138"/>
        <v>0</v>
      </c>
      <c r="AC1242" s="60">
        <f t="shared" si="139"/>
        <v>0</v>
      </c>
    </row>
    <row r="1243" spans="1:29">
      <c r="A1243" s="83" t="str">
        <f t="shared" si="133"/>
        <v/>
      </c>
      <c r="B1243" s="83" t="str">
        <f t="shared" si="134"/>
        <v/>
      </c>
      <c r="U1243" s="83" t="str">
        <f t="shared" si="135"/>
        <v/>
      </c>
      <c r="V1243" s="83" t="str">
        <f t="shared" si="136"/>
        <v/>
      </c>
      <c r="AA1243" s="60">
        <f t="shared" si="137"/>
        <v>0</v>
      </c>
      <c r="AB1243" s="49">
        <f t="shared" si="138"/>
        <v>0</v>
      </c>
      <c r="AC1243" s="60">
        <f t="shared" si="139"/>
        <v>0</v>
      </c>
    </row>
    <row r="1244" spans="1:29">
      <c r="A1244" s="83" t="str">
        <f t="shared" si="133"/>
        <v/>
      </c>
      <c r="B1244" s="83" t="str">
        <f t="shared" si="134"/>
        <v/>
      </c>
      <c r="U1244" s="83" t="str">
        <f t="shared" si="135"/>
        <v/>
      </c>
      <c r="V1244" s="83" t="str">
        <f t="shared" si="136"/>
        <v/>
      </c>
      <c r="AA1244" s="60">
        <f t="shared" si="137"/>
        <v>0</v>
      </c>
      <c r="AB1244" s="49">
        <f t="shared" si="138"/>
        <v>0</v>
      </c>
      <c r="AC1244" s="60">
        <f t="shared" si="139"/>
        <v>0</v>
      </c>
    </row>
    <row r="1245" spans="1:29">
      <c r="A1245" s="83" t="str">
        <f t="shared" si="133"/>
        <v/>
      </c>
      <c r="B1245" s="83" t="str">
        <f t="shared" si="134"/>
        <v/>
      </c>
      <c r="U1245" s="83" t="str">
        <f t="shared" si="135"/>
        <v/>
      </c>
      <c r="V1245" s="83" t="str">
        <f t="shared" si="136"/>
        <v/>
      </c>
      <c r="AA1245" s="60">
        <f t="shared" si="137"/>
        <v>0</v>
      </c>
      <c r="AB1245" s="49">
        <f t="shared" si="138"/>
        <v>0</v>
      </c>
      <c r="AC1245" s="60">
        <f t="shared" si="139"/>
        <v>0</v>
      </c>
    </row>
    <row r="1246" spans="1:29">
      <c r="A1246" s="83" t="str">
        <f t="shared" si="133"/>
        <v/>
      </c>
      <c r="B1246" s="83" t="str">
        <f t="shared" si="134"/>
        <v/>
      </c>
      <c r="U1246" s="83" t="str">
        <f t="shared" si="135"/>
        <v/>
      </c>
      <c r="V1246" s="83" t="str">
        <f t="shared" si="136"/>
        <v/>
      </c>
      <c r="AA1246" s="60">
        <f t="shared" si="137"/>
        <v>0</v>
      </c>
      <c r="AB1246" s="49">
        <f t="shared" si="138"/>
        <v>0</v>
      </c>
      <c r="AC1246" s="60">
        <f t="shared" si="139"/>
        <v>0</v>
      </c>
    </row>
    <row r="1247" spans="1:29">
      <c r="A1247" s="83" t="str">
        <f t="shared" si="133"/>
        <v/>
      </c>
      <c r="B1247" s="83" t="str">
        <f t="shared" si="134"/>
        <v/>
      </c>
      <c r="U1247" s="83" t="str">
        <f t="shared" si="135"/>
        <v/>
      </c>
      <c r="V1247" s="83" t="str">
        <f t="shared" si="136"/>
        <v/>
      </c>
      <c r="AA1247" s="60">
        <f t="shared" si="137"/>
        <v>0</v>
      </c>
      <c r="AB1247" s="49">
        <f t="shared" si="138"/>
        <v>0</v>
      </c>
      <c r="AC1247" s="60">
        <f t="shared" si="139"/>
        <v>0</v>
      </c>
    </row>
    <row r="1248" spans="1:29">
      <c r="A1248" s="83" t="str">
        <f t="shared" si="133"/>
        <v/>
      </c>
      <c r="B1248" s="83" t="str">
        <f t="shared" si="134"/>
        <v/>
      </c>
      <c r="U1248" s="83" t="str">
        <f t="shared" si="135"/>
        <v/>
      </c>
      <c r="V1248" s="83" t="str">
        <f t="shared" si="136"/>
        <v/>
      </c>
      <c r="AA1248" s="60">
        <f t="shared" si="137"/>
        <v>0</v>
      </c>
      <c r="AB1248" s="49">
        <f t="shared" si="138"/>
        <v>0</v>
      </c>
      <c r="AC1248" s="60">
        <f t="shared" si="139"/>
        <v>0</v>
      </c>
    </row>
    <row r="1249" spans="1:29">
      <c r="A1249" s="83" t="str">
        <f t="shared" si="133"/>
        <v/>
      </c>
      <c r="B1249" s="83" t="str">
        <f t="shared" si="134"/>
        <v/>
      </c>
      <c r="U1249" s="83" t="str">
        <f t="shared" si="135"/>
        <v/>
      </c>
      <c r="V1249" s="83" t="str">
        <f t="shared" si="136"/>
        <v/>
      </c>
      <c r="AA1249" s="60">
        <f t="shared" si="137"/>
        <v>0</v>
      </c>
      <c r="AB1249" s="49">
        <f t="shared" si="138"/>
        <v>0</v>
      </c>
      <c r="AC1249" s="60">
        <f t="shared" si="139"/>
        <v>0</v>
      </c>
    </row>
    <row r="1250" spans="1:29">
      <c r="A1250" s="83" t="str">
        <f t="shared" si="133"/>
        <v/>
      </c>
      <c r="B1250" s="83" t="str">
        <f t="shared" si="134"/>
        <v/>
      </c>
      <c r="U1250" s="83" t="str">
        <f t="shared" si="135"/>
        <v/>
      </c>
      <c r="V1250" s="83" t="str">
        <f t="shared" si="136"/>
        <v/>
      </c>
      <c r="AA1250" s="60">
        <f t="shared" si="137"/>
        <v>0</v>
      </c>
      <c r="AB1250" s="49">
        <f t="shared" si="138"/>
        <v>0</v>
      </c>
      <c r="AC1250" s="60">
        <f t="shared" si="139"/>
        <v>0</v>
      </c>
    </row>
    <row r="1251" spans="1:29">
      <c r="A1251" s="83" t="str">
        <f t="shared" si="133"/>
        <v/>
      </c>
      <c r="B1251" s="83" t="str">
        <f t="shared" si="134"/>
        <v/>
      </c>
      <c r="U1251" s="83" t="str">
        <f t="shared" si="135"/>
        <v/>
      </c>
      <c r="V1251" s="83" t="str">
        <f t="shared" si="136"/>
        <v/>
      </c>
      <c r="AA1251" s="60">
        <f t="shared" si="137"/>
        <v>0</v>
      </c>
      <c r="AB1251" s="49">
        <f t="shared" si="138"/>
        <v>0</v>
      </c>
      <c r="AC1251" s="60">
        <f t="shared" si="139"/>
        <v>0</v>
      </c>
    </row>
    <row r="1252" spans="1:29">
      <c r="A1252" s="83" t="str">
        <f t="shared" si="133"/>
        <v/>
      </c>
      <c r="B1252" s="83" t="str">
        <f t="shared" si="134"/>
        <v/>
      </c>
      <c r="U1252" s="83" t="str">
        <f t="shared" si="135"/>
        <v/>
      </c>
      <c r="V1252" s="83" t="str">
        <f t="shared" si="136"/>
        <v/>
      </c>
      <c r="AA1252" s="60">
        <f t="shared" si="137"/>
        <v>0</v>
      </c>
      <c r="AB1252" s="49">
        <f t="shared" si="138"/>
        <v>0</v>
      </c>
      <c r="AC1252" s="60">
        <f t="shared" si="139"/>
        <v>0</v>
      </c>
    </row>
    <row r="1253" spans="1:29">
      <c r="A1253" s="83" t="str">
        <f t="shared" si="133"/>
        <v/>
      </c>
      <c r="B1253" s="83" t="str">
        <f t="shared" si="134"/>
        <v/>
      </c>
      <c r="U1253" s="83" t="str">
        <f t="shared" si="135"/>
        <v/>
      </c>
      <c r="V1253" s="83" t="str">
        <f t="shared" si="136"/>
        <v/>
      </c>
      <c r="AA1253" s="60">
        <f t="shared" si="137"/>
        <v>0</v>
      </c>
      <c r="AB1253" s="49">
        <f t="shared" si="138"/>
        <v>0</v>
      </c>
      <c r="AC1253" s="60">
        <f t="shared" si="139"/>
        <v>0</v>
      </c>
    </row>
    <row r="1254" spans="1:29">
      <c r="A1254" s="83" t="str">
        <f t="shared" si="133"/>
        <v/>
      </c>
      <c r="B1254" s="83" t="str">
        <f t="shared" si="134"/>
        <v/>
      </c>
      <c r="U1254" s="83" t="str">
        <f t="shared" si="135"/>
        <v/>
      </c>
      <c r="V1254" s="83" t="str">
        <f t="shared" si="136"/>
        <v/>
      </c>
      <c r="AA1254" s="60">
        <f t="shared" si="137"/>
        <v>0</v>
      </c>
      <c r="AB1254" s="49">
        <f t="shared" si="138"/>
        <v>0</v>
      </c>
      <c r="AC1254" s="60">
        <f t="shared" si="139"/>
        <v>0</v>
      </c>
    </row>
    <row r="1255" spans="1:29">
      <c r="A1255" s="83" t="str">
        <f t="shared" si="133"/>
        <v/>
      </c>
      <c r="B1255" s="83" t="str">
        <f t="shared" si="134"/>
        <v/>
      </c>
      <c r="U1255" s="83" t="str">
        <f t="shared" si="135"/>
        <v/>
      </c>
      <c r="V1255" s="83" t="str">
        <f t="shared" si="136"/>
        <v/>
      </c>
      <c r="AA1255" s="60">
        <f t="shared" si="137"/>
        <v>0</v>
      </c>
      <c r="AB1255" s="49">
        <f t="shared" si="138"/>
        <v>0</v>
      </c>
      <c r="AC1255" s="60">
        <f t="shared" si="139"/>
        <v>0</v>
      </c>
    </row>
    <row r="1256" spans="1:29">
      <c r="A1256" s="83" t="str">
        <f t="shared" si="133"/>
        <v/>
      </c>
      <c r="B1256" s="83" t="str">
        <f t="shared" si="134"/>
        <v/>
      </c>
      <c r="U1256" s="83" t="str">
        <f t="shared" si="135"/>
        <v/>
      </c>
      <c r="V1256" s="83" t="str">
        <f t="shared" si="136"/>
        <v/>
      </c>
      <c r="AA1256" s="60">
        <f t="shared" si="137"/>
        <v>0</v>
      </c>
      <c r="AB1256" s="49">
        <f t="shared" si="138"/>
        <v>0</v>
      </c>
      <c r="AC1256" s="60">
        <f t="shared" si="139"/>
        <v>0</v>
      </c>
    </row>
    <row r="1257" spans="1:29">
      <c r="A1257" s="83" t="str">
        <f t="shared" si="133"/>
        <v/>
      </c>
      <c r="B1257" s="83" t="str">
        <f t="shared" si="134"/>
        <v/>
      </c>
      <c r="U1257" s="83" t="str">
        <f t="shared" si="135"/>
        <v/>
      </c>
      <c r="V1257" s="83" t="str">
        <f t="shared" si="136"/>
        <v/>
      </c>
      <c r="AA1257" s="60">
        <f t="shared" si="137"/>
        <v>0</v>
      </c>
      <c r="AB1257" s="49">
        <f t="shared" si="138"/>
        <v>0</v>
      </c>
      <c r="AC1257" s="60">
        <f t="shared" si="139"/>
        <v>0</v>
      </c>
    </row>
    <row r="1258" spans="1:29">
      <c r="A1258" s="83" t="str">
        <f t="shared" si="133"/>
        <v/>
      </c>
      <c r="B1258" s="83" t="str">
        <f t="shared" si="134"/>
        <v/>
      </c>
      <c r="U1258" s="83" t="str">
        <f t="shared" si="135"/>
        <v/>
      </c>
      <c r="V1258" s="83" t="str">
        <f t="shared" si="136"/>
        <v/>
      </c>
      <c r="AA1258" s="60">
        <f t="shared" si="137"/>
        <v>0</v>
      </c>
      <c r="AB1258" s="49">
        <f t="shared" si="138"/>
        <v>0</v>
      </c>
      <c r="AC1258" s="60">
        <f t="shared" si="139"/>
        <v>0</v>
      </c>
    </row>
    <row r="1259" spans="1:29">
      <c r="A1259" s="83" t="str">
        <f t="shared" si="133"/>
        <v/>
      </c>
      <c r="B1259" s="83" t="str">
        <f t="shared" si="134"/>
        <v/>
      </c>
      <c r="U1259" s="83" t="str">
        <f t="shared" si="135"/>
        <v/>
      </c>
      <c r="V1259" s="83" t="str">
        <f t="shared" si="136"/>
        <v/>
      </c>
      <c r="AA1259" s="60">
        <f t="shared" si="137"/>
        <v>0</v>
      </c>
      <c r="AB1259" s="49">
        <f t="shared" si="138"/>
        <v>0</v>
      </c>
      <c r="AC1259" s="60">
        <f t="shared" si="139"/>
        <v>0</v>
      </c>
    </row>
    <row r="1260" spans="1:29">
      <c r="A1260" s="83" t="str">
        <f t="shared" si="133"/>
        <v/>
      </c>
      <c r="B1260" s="83" t="str">
        <f t="shared" si="134"/>
        <v/>
      </c>
      <c r="U1260" s="83" t="str">
        <f t="shared" si="135"/>
        <v/>
      </c>
      <c r="V1260" s="83" t="str">
        <f t="shared" si="136"/>
        <v/>
      </c>
      <c r="AA1260" s="60">
        <f t="shared" si="137"/>
        <v>0</v>
      </c>
      <c r="AB1260" s="49">
        <f t="shared" si="138"/>
        <v>0</v>
      </c>
      <c r="AC1260" s="60">
        <f t="shared" si="139"/>
        <v>0</v>
      </c>
    </row>
    <row r="1261" spans="1:29">
      <c r="A1261" s="83" t="str">
        <f t="shared" si="133"/>
        <v/>
      </c>
      <c r="B1261" s="83" t="str">
        <f t="shared" si="134"/>
        <v/>
      </c>
      <c r="U1261" s="83" t="str">
        <f t="shared" si="135"/>
        <v/>
      </c>
      <c r="V1261" s="83" t="str">
        <f t="shared" si="136"/>
        <v/>
      </c>
      <c r="AA1261" s="60">
        <f t="shared" si="137"/>
        <v>0</v>
      </c>
      <c r="AB1261" s="49">
        <f t="shared" si="138"/>
        <v>0</v>
      </c>
      <c r="AC1261" s="60">
        <f t="shared" si="139"/>
        <v>0</v>
      </c>
    </row>
    <row r="1262" spans="1:29">
      <c r="A1262" s="83" t="str">
        <f t="shared" si="133"/>
        <v/>
      </c>
      <c r="B1262" s="83" t="str">
        <f t="shared" si="134"/>
        <v/>
      </c>
      <c r="U1262" s="83" t="str">
        <f t="shared" si="135"/>
        <v/>
      </c>
      <c r="V1262" s="83" t="str">
        <f t="shared" si="136"/>
        <v/>
      </c>
      <c r="AA1262" s="60">
        <f t="shared" si="137"/>
        <v>0</v>
      </c>
      <c r="AB1262" s="49">
        <f t="shared" si="138"/>
        <v>0</v>
      </c>
      <c r="AC1262" s="60">
        <f t="shared" si="139"/>
        <v>0</v>
      </c>
    </row>
    <row r="1263" spans="1:29">
      <c r="A1263" s="83" t="str">
        <f t="shared" si="133"/>
        <v/>
      </c>
      <c r="B1263" s="83" t="str">
        <f t="shared" si="134"/>
        <v/>
      </c>
      <c r="U1263" s="83" t="str">
        <f t="shared" si="135"/>
        <v/>
      </c>
      <c r="V1263" s="83" t="str">
        <f t="shared" si="136"/>
        <v/>
      </c>
      <c r="AA1263" s="60">
        <f t="shared" si="137"/>
        <v>0</v>
      </c>
      <c r="AB1263" s="49">
        <f t="shared" si="138"/>
        <v>0</v>
      </c>
      <c r="AC1263" s="60">
        <f t="shared" si="139"/>
        <v>0</v>
      </c>
    </row>
    <row r="1264" spans="1:29">
      <c r="A1264" s="83" t="str">
        <f t="shared" si="133"/>
        <v/>
      </c>
      <c r="B1264" s="83" t="str">
        <f t="shared" si="134"/>
        <v/>
      </c>
      <c r="U1264" s="83" t="str">
        <f t="shared" si="135"/>
        <v/>
      </c>
      <c r="V1264" s="83" t="str">
        <f t="shared" si="136"/>
        <v/>
      </c>
      <c r="AA1264" s="60">
        <f t="shared" si="137"/>
        <v>0</v>
      </c>
      <c r="AB1264" s="49">
        <f t="shared" si="138"/>
        <v>0</v>
      </c>
      <c r="AC1264" s="60">
        <f t="shared" si="139"/>
        <v>0</v>
      </c>
    </row>
    <row r="1265" spans="1:29">
      <c r="A1265" s="83" t="str">
        <f t="shared" si="133"/>
        <v/>
      </c>
      <c r="B1265" s="83" t="str">
        <f t="shared" si="134"/>
        <v/>
      </c>
      <c r="U1265" s="83" t="str">
        <f t="shared" si="135"/>
        <v/>
      </c>
      <c r="V1265" s="83" t="str">
        <f t="shared" si="136"/>
        <v/>
      </c>
      <c r="AA1265" s="60">
        <f t="shared" si="137"/>
        <v>0</v>
      </c>
      <c r="AB1265" s="49">
        <f t="shared" si="138"/>
        <v>0</v>
      </c>
      <c r="AC1265" s="60">
        <f t="shared" si="139"/>
        <v>0</v>
      </c>
    </row>
    <row r="1266" spans="1:29">
      <c r="A1266" s="83" t="str">
        <f t="shared" si="133"/>
        <v/>
      </c>
      <c r="B1266" s="83" t="str">
        <f t="shared" si="134"/>
        <v/>
      </c>
      <c r="U1266" s="83" t="str">
        <f t="shared" si="135"/>
        <v/>
      </c>
      <c r="V1266" s="83" t="str">
        <f t="shared" si="136"/>
        <v/>
      </c>
      <c r="AA1266" s="60">
        <f t="shared" si="137"/>
        <v>0</v>
      </c>
      <c r="AB1266" s="49">
        <f t="shared" si="138"/>
        <v>0</v>
      </c>
      <c r="AC1266" s="60">
        <f t="shared" si="139"/>
        <v>0</v>
      </c>
    </row>
    <row r="1267" spans="1:29">
      <c r="A1267" s="83" t="str">
        <f t="shared" si="133"/>
        <v/>
      </c>
      <c r="B1267" s="83" t="str">
        <f t="shared" si="134"/>
        <v/>
      </c>
      <c r="U1267" s="83" t="str">
        <f t="shared" si="135"/>
        <v/>
      </c>
      <c r="V1267" s="83" t="str">
        <f t="shared" si="136"/>
        <v/>
      </c>
      <c r="AA1267" s="60">
        <f t="shared" si="137"/>
        <v>0</v>
      </c>
      <c r="AB1267" s="49">
        <f t="shared" si="138"/>
        <v>0</v>
      </c>
      <c r="AC1267" s="60">
        <f t="shared" si="139"/>
        <v>0</v>
      </c>
    </row>
    <row r="1268" spans="1:29">
      <c r="A1268" s="83" t="str">
        <f t="shared" si="133"/>
        <v/>
      </c>
      <c r="B1268" s="83" t="str">
        <f t="shared" si="134"/>
        <v/>
      </c>
      <c r="U1268" s="83" t="str">
        <f t="shared" si="135"/>
        <v/>
      </c>
      <c r="V1268" s="83" t="str">
        <f t="shared" si="136"/>
        <v/>
      </c>
      <c r="AA1268" s="60">
        <f t="shared" si="137"/>
        <v>0</v>
      </c>
      <c r="AB1268" s="49">
        <f t="shared" si="138"/>
        <v>0</v>
      </c>
      <c r="AC1268" s="60">
        <f t="shared" si="139"/>
        <v>0</v>
      </c>
    </row>
    <row r="1269" spans="1:29">
      <c r="A1269" s="83" t="str">
        <f t="shared" si="133"/>
        <v/>
      </c>
      <c r="B1269" s="83" t="str">
        <f t="shared" si="134"/>
        <v/>
      </c>
      <c r="U1269" s="83" t="str">
        <f t="shared" si="135"/>
        <v/>
      </c>
      <c r="V1269" s="83" t="str">
        <f t="shared" si="136"/>
        <v/>
      </c>
      <c r="AA1269" s="60">
        <f t="shared" si="137"/>
        <v>0</v>
      </c>
      <c r="AB1269" s="49">
        <f t="shared" si="138"/>
        <v>0</v>
      </c>
      <c r="AC1269" s="60">
        <f t="shared" si="139"/>
        <v>0</v>
      </c>
    </row>
    <row r="1270" spans="1:29">
      <c r="A1270" s="83" t="str">
        <f t="shared" si="133"/>
        <v/>
      </c>
      <c r="B1270" s="83" t="str">
        <f t="shared" si="134"/>
        <v/>
      </c>
      <c r="U1270" s="83" t="str">
        <f t="shared" si="135"/>
        <v/>
      </c>
      <c r="V1270" s="83" t="str">
        <f t="shared" si="136"/>
        <v/>
      </c>
      <c r="AA1270" s="60">
        <f t="shared" si="137"/>
        <v>0</v>
      </c>
      <c r="AB1270" s="49">
        <f t="shared" si="138"/>
        <v>0</v>
      </c>
      <c r="AC1270" s="60">
        <f t="shared" si="139"/>
        <v>0</v>
      </c>
    </row>
    <row r="1271" spans="1:29">
      <c r="A1271" s="83" t="str">
        <f t="shared" si="133"/>
        <v/>
      </c>
      <c r="B1271" s="83" t="str">
        <f t="shared" si="134"/>
        <v/>
      </c>
      <c r="U1271" s="83" t="str">
        <f t="shared" si="135"/>
        <v/>
      </c>
      <c r="V1271" s="83" t="str">
        <f t="shared" si="136"/>
        <v/>
      </c>
      <c r="AA1271" s="60">
        <f t="shared" si="137"/>
        <v>0</v>
      </c>
      <c r="AB1271" s="49">
        <f t="shared" si="138"/>
        <v>0</v>
      </c>
      <c r="AC1271" s="60">
        <f t="shared" si="139"/>
        <v>0</v>
      </c>
    </row>
    <row r="1272" spans="1:29">
      <c r="A1272" s="83" t="str">
        <f t="shared" si="133"/>
        <v/>
      </c>
      <c r="B1272" s="83" t="str">
        <f t="shared" si="134"/>
        <v/>
      </c>
      <c r="U1272" s="83" t="str">
        <f t="shared" si="135"/>
        <v/>
      </c>
      <c r="V1272" s="83" t="str">
        <f t="shared" si="136"/>
        <v/>
      </c>
      <c r="AA1272" s="60">
        <f t="shared" si="137"/>
        <v>0</v>
      </c>
      <c r="AB1272" s="49">
        <f t="shared" si="138"/>
        <v>0</v>
      </c>
      <c r="AC1272" s="60">
        <f t="shared" si="139"/>
        <v>0</v>
      </c>
    </row>
    <row r="1273" spans="1:29">
      <c r="A1273" s="83" t="str">
        <f t="shared" si="133"/>
        <v/>
      </c>
      <c r="B1273" s="83" t="str">
        <f t="shared" si="134"/>
        <v/>
      </c>
      <c r="U1273" s="83" t="str">
        <f t="shared" si="135"/>
        <v/>
      </c>
      <c r="V1273" s="83" t="str">
        <f t="shared" si="136"/>
        <v/>
      </c>
      <c r="AA1273" s="60">
        <f t="shared" si="137"/>
        <v>0</v>
      </c>
      <c r="AB1273" s="49">
        <f t="shared" si="138"/>
        <v>0</v>
      </c>
      <c r="AC1273" s="60">
        <f t="shared" si="139"/>
        <v>0</v>
      </c>
    </row>
    <row r="1274" spans="1:29">
      <c r="A1274" s="83" t="str">
        <f t="shared" si="133"/>
        <v/>
      </c>
      <c r="B1274" s="83" t="str">
        <f t="shared" si="134"/>
        <v/>
      </c>
      <c r="U1274" s="83" t="str">
        <f t="shared" si="135"/>
        <v/>
      </c>
      <c r="V1274" s="83" t="str">
        <f t="shared" si="136"/>
        <v/>
      </c>
      <c r="AA1274" s="60">
        <f t="shared" si="137"/>
        <v>0</v>
      </c>
      <c r="AB1274" s="49">
        <f t="shared" si="138"/>
        <v>0</v>
      </c>
      <c r="AC1274" s="60">
        <f t="shared" si="139"/>
        <v>0</v>
      </c>
    </row>
    <row r="1275" spans="1:29">
      <c r="A1275" s="83" t="str">
        <f t="shared" si="133"/>
        <v/>
      </c>
      <c r="B1275" s="83" t="str">
        <f t="shared" si="134"/>
        <v/>
      </c>
      <c r="U1275" s="83" t="str">
        <f t="shared" si="135"/>
        <v/>
      </c>
      <c r="V1275" s="83" t="str">
        <f t="shared" si="136"/>
        <v/>
      </c>
      <c r="AA1275" s="60">
        <f t="shared" si="137"/>
        <v>0</v>
      </c>
      <c r="AB1275" s="49">
        <f t="shared" si="138"/>
        <v>0</v>
      </c>
      <c r="AC1275" s="60">
        <f t="shared" si="139"/>
        <v>0</v>
      </c>
    </row>
    <row r="1276" spans="1:29">
      <c r="A1276" s="83" t="str">
        <f t="shared" si="133"/>
        <v/>
      </c>
      <c r="B1276" s="83" t="str">
        <f t="shared" si="134"/>
        <v/>
      </c>
      <c r="U1276" s="83" t="str">
        <f t="shared" si="135"/>
        <v/>
      </c>
      <c r="V1276" s="83" t="str">
        <f t="shared" si="136"/>
        <v/>
      </c>
      <c r="AA1276" s="60">
        <f t="shared" si="137"/>
        <v>0</v>
      </c>
      <c r="AB1276" s="49">
        <f t="shared" si="138"/>
        <v>0</v>
      </c>
      <c r="AC1276" s="60">
        <f t="shared" si="139"/>
        <v>0</v>
      </c>
    </row>
    <row r="1277" spans="1:29">
      <c r="A1277" s="83" t="str">
        <f t="shared" si="133"/>
        <v/>
      </c>
      <c r="B1277" s="83" t="str">
        <f t="shared" si="134"/>
        <v/>
      </c>
      <c r="U1277" s="83" t="str">
        <f t="shared" si="135"/>
        <v/>
      </c>
      <c r="V1277" s="83" t="str">
        <f t="shared" si="136"/>
        <v/>
      </c>
      <c r="AA1277" s="60">
        <f t="shared" si="137"/>
        <v>0</v>
      </c>
      <c r="AB1277" s="49">
        <f t="shared" si="138"/>
        <v>0</v>
      </c>
      <c r="AC1277" s="60">
        <f t="shared" si="139"/>
        <v>0</v>
      </c>
    </row>
    <row r="1278" spans="1:29">
      <c r="A1278" s="83" t="str">
        <f t="shared" si="133"/>
        <v/>
      </c>
      <c r="B1278" s="83" t="str">
        <f t="shared" si="134"/>
        <v/>
      </c>
      <c r="U1278" s="83" t="str">
        <f t="shared" si="135"/>
        <v/>
      </c>
      <c r="V1278" s="83" t="str">
        <f t="shared" si="136"/>
        <v/>
      </c>
      <c r="AA1278" s="60">
        <f t="shared" si="137"/>
        <v>0</v>
      </c>
      <c r="AB1278" s="49">
        <f t="shared" si="138"/>
        <v>0</v>
      </c>
      <c r="AC1278" s="60">
        <f t="shared" si="139"/>
        <v>0</v>
      </c>
    </row>
    <row r="1279" spans="1:29">
      <c r="A1279" s="83" t="str">
        <f t="shared" si="133"/>
        <v/>
      </c>
      <c r="B1279" s="83" t="str">
        <f t="shared" si="134"/>
        <v/>
      </c>
      <c r="U1279" s="83" t="str">
        <f t="shared" si="135"/>
        <v/>
      </c>
      <c r="V1279" s="83" t="str">
        <f t="shared" si="136"/>
        <v/>
      </c>
      <c r="AA1279" s="60">
        <f t="shared" si="137"/>
        <v>0</v>
      </c>
      <c r="AB1279" s="49">
        <f t="shared" si="138"/>
        <v>0</v>
      </c>
      <c r="AC1279" s="60">
        <f t="shared" si="139"/>
        <v>0</v>
      </c>
    </row>
    <row r="1280" spans="1:29">
      <c r="A1280" s="83" t="str">
        <f t="shared" si="133"/>
        <v/>
      </c>
      <c r="B1280" s="83" t="str">
        <f t="shared" si="134"/>
        <v/>
      </c>
      <c r="U1280" s="83" t="str">
        <f t="shared" si="135"/>
        <v/>
      </c>
      <c r="V1280" s="83" t="str">
        <f t="shared" si="136"/>
        <v/>
      </c>
      <c r="AA1280" s="60">
        <f t="shared" si="137"/>
        <v>0</v>
      </c>
      <c r="AB1280" s="49">
        <f t="shared" si="138"/>
        <v>0</v>
      </c>
      <c r="AC1280" s="60">
        <f t="shared" si="139"/>
        <v>0</v>
      </c>
    </row>
    <row r="1281" spans="1:29">
      <c r="A1281" s="83" t="str">
        <f t="shared" si="133"/>
        <v/>
      </c>
      <c r="B1281" s="83" t="str">
        <f t="shared" si="134"/>
        <v/>
      </c>
      <c r="U1281" s="83" t="str">
        <f t="shared" si="135"/>
        <v/>
      </c>
      <c r="V1281" s="83" t="str">
        <f t="shared" si="136"/>
        <v/>
      </c>
      <c r="AA1281" s="60">
        <f t="shared" si="137"/>
        <v>0</v>
      </c>
      <c r="AB1281" s="49">
        <f t="shared" si="138"/>
        <v>0</v>
      </c>
      <c r="AC1281" s="60">
        <f t="shared" si="139"/>
        <v>0</v>
      </c>
    </row>
    <row r="1282" spans="1:29">
      <c r="A1282" s="83" t="str">
        <f t="shared" si="133"/>
        <v/>
      </c>
      <c r="B1282" s="83" t="str">
        <f t="shared" si="134"/>
        <v/>
      </c>
      <c r="U1282" s="83" t="str">
        <f t="shared" si="135"/>
        <v/>
      </c>
      <c r="V1282" s="83" t="str">
        <f t="shared" si="136"/>
        <v/>
      </c>
      <c r="AA1282" s="60">
        <f t="shared" si="137"/>
        <v>0</v>
      </c>
      <c r="AB1282" s="49">
        <f t="shared" si="138"/>
        <v>0</v>
      </c>
      <c r="AC1282" s="60">
        <f t="shared" si="139"/>
        <v>0</v>
      </c>
    </row>
    <row r="1283" spans="1:29">
      <c r="A1283" s="83" t="str">
        <f t="shared" ref="A1283:A1346" si="140">IF(G1283&amp;Q1283&lt;&gt;"",U1283&amp;Q1283,"")</f>
        <v/>
      </c>
      <c r="B1283" s="83" t="str">
        <f t="shared" ref="B1283:B1346" si="141">IF(C1283&lt;&gt;"",LEFT(C1283,9),"")</f>
        <v/>
      </c>
      <c r="U1283" s="83" t="str">
        <f t="shared" ref="U1283:U1346" si="142">IF(G1283&lt;&gt;"",IF(StyleSpaceSplit,IFERROR(IF(FIND(" ",G1283)&gt;=1,MID(G1283,1,FIND(" ",G1283)-1),G1283),G1283),G1283),"")</f>
        <v/>
      </c>
      <c r="V1283" s="83" t="str">
        <f t="shared" ref="V1283:V1346" si="143">IF(A1283&lt;&gt;"",IFERROR(IF(FIND(" ",G1283)&gt;=1,MID(G1283,FIND(" ",G1283)+1,LEN(G1283)),""),G1283),"")</f>
        <v/>
      </c>
      <c r="AA1283" s="60">
        <f t="shared" ref="AA1283:AA1346" si="144">IFERROR(VALUE(MID($C1283,1,2)),0)</f>
        <v>0</v>
      </c>
      <c r="AB1283" s="49">
        <f t="shared" ref="AB1283:AB1346" si="145">IFERROR(VALUE(MID($C1283,4,3)),0)</f>
        <v>0</v>
      </c>
      <c r="AC1283" s="60">
        <f t="shared" ref="AC1283:AC1346" si="146">VALUE(RIGHT("00"&amp;AA1283,2)&amp;RIGHT("000"&amp;AB1283,3))</f>
        <v>0</v>
      </c>
    </row>
    <row r="1284" spans="1:29">
      <c r="A1284" s="83" t="str">
        <f t="shared" si="140"/>
        <v/>
      </c>
      <c r="B1284" s="83" t="str">
        <f t="shared" si="141"/>
        <v/>
      </c>
      <c r="U1284" s="83" t="str">
        <f t="shared" si="142"/>
        <v/>
      </c>
      <c r="V1284" s="83" t="str">
        <f t="shared" si="143"/>
        <v/>
      </c>
      <c r="AA1284" s="60">
        <f t="shared" si="144"/>
        <v>0</v>
      </c>
      <c r="AB1284" s="49">
        <f t="shared" si="145"/>
        <v>0</v>
      </c>
      <c r="AC1284" s="60">
        <f t="shared" si="146"/>
        <v>0</v>
      </c>
    </row>
    <row r="1285" spans="1:29">
      <c r="A1285" s="83" t="str">
        <f t="shared" si="140"/>
        <v/>
      </c>
      <c r="B1285" s="83" t="str">
        <f t="shared" si="141"/>
        <v/>
      </c>
      <c r="U1285" s="83" t="str">
        <f t="shared" si="142"/>
        <v/>
      </c>
      <c r="V1285" s="83" t="str">
        <f t="shared" si="143"/>
        <v/>
      </c>
      <c r="AA1285" s="60">
        <f t="shared" si="144"/>
        <v>0</v>
      </c>
      <c r="AB1285" s="49">
        <f t="shared" si="145"/>
        <v>0</v>
      </c>
      <c r="AC1285" s="60">
        <f t="shared" si="146"/>
        <v>0</v>
      </c>
    </row>
    <row r="1286" spans="1:29">
      <c r="A1286" s="83" t="str">
        <f t="shared" si="140"/>
        <v/>
      </c>
      <c r="B1286" s="83" t="str">
        <f t="shared" si="141"/>
        <v/>
      </c>
      <c r="U1286" s="83" t="str">
        <f t="shared" si="142"/>
        <v/>
      </c>
      <c r="V1286" s="83" t="str">
        <f t="shared" si="143"/>
        <v/>
      </c>
      <c r="AA1286" s="60">
        <f t="shared" si="144"/>
        <v>0</v>
      </c>
      <c r="AB1286" s="49">
        <f t="shared" si="145"/>
        <v>0</v>
      </c>
      <c r="AC1286" s="60">
        <f t="shared" si="146"/>
        <v>0</v>
      </c>
    </row>
    <row r="1287" spans="1:29">
      <c r="A1287" s="83" t="str">
        <f t="shared" si="140"/>
        <v/>
      </c>
      <c r="B1287" s="83" t="str">
        <f t="shared" si="141"/>
        <v/>
      </c>
      <c r="U1287" s="83" t="str">
        <f t="shared" si="142"/>
        <v/>
      </c>
      <c r="V1287" s="83" t="str">
        <f t="shared" si="143"/>
        <v/>
      </c>
      <c r="AA1287" s="60">
        <f t="shared" si="144"/>
        <v>0</v>
      </c>
      <c r="AB1287" s="49">
        <f t="shared" si="145"/>
        <v>0</v>
      </c>
      <c r="AC1287" s="60">
        <f t="shared" si="146"/>
        <v>0</v>
      </c>
    </row>
    <row r="1288" spans="1:29">
      <c r="A1288" s="83" t="str">
        <f t="shared" si="140"/>
        <v/>
      </c>
      <c r="B1288" s="83" t="str">
        <f t="shared" si="141"/>
        <v/>
      </c>
      <c r="U1288" s="83" t="str">
        <f t="shared" si="142"/>
        <v/>
      </c>
      <c r="V1288" s="83" t="str">
        <f t="shared" si="143"/>
        <v/>
      </c>
      <c r="AA1288" s="60">
        <f t="shared" si="144"/>
        <v>0</v>
      </c>
      <c r="AB1288" s="49">
        <f t="shared" si="145"/>
        <v>0</v>
      </c>
      <c r="AC1288" s="60">
        <f t="shared" si="146"/>
        <v>0</v>
      </c>
    </row>
    <row r="1289" spans="1:29">
      <c r="A1289" s="83" t="str">
        <f t="shared" si="140"/>
        <v/>
      </c>
      <c r="B1289" s="83" t="str">
        <f t="shared" si="141"/>
        <v/>
      </c>
      <c r="U1289" s="83" t="str">
        <f t="shared" si="142"/>
        <v/>
      </c>
      <c r="V1289" s="83" t="str">
        <f t="shared" si="143"/>
        <v/>
      </c>
      <c r="AA1289" s="60">
        <f t="shared" si="144"/>
        <v>0</v>
      </c>
      <c r="AB1289" s="49">
        <f t="shared" si="145"/>
        <v>0</v>
      </c>
      <c r="AC1289" s="60">
        <f t="shared" si="146"/>
        <v>0</v>
      </c>
    </row>
    <row r="1290" spans="1:29">
      <c r="A1290" s="83" t="str">
        <f t="shared" si="140"/>
        <v/>
      </c>
      <c r="B1290" s="83" t="str">
        <f t="shared" si="141"/>
        <v/>
      </c>
      <c r="U1290" s="83" t="str">
        <f t="shared" si="142"/>
        <v/>
      </c>
      <c r="V1290" s="83" t="str">
        <f t="shared" si="143"/>
        <v/>
      </c>
      <c r="AA1290" s="60">
        <f t="shared" si="144"/>
        <v>0</v>
      </c>
      <c r="AB1290" s="49">
        <f t="shared" si="145"/>
        <v>0</v>
      </c>
      <c r="AC1290" s="60">
        <f t="shared" si="146"/>
        <v>0</v>
      </c>
    </row>
    <row r="1291" spans="1:29">
      <c r="A1291" s="83" t="str">
        <f t="shared" si="140"/>
        <v/>
      </c>
      <c r="B1291" s="83" t="str">
        <f t="shared" si="141"/>
        <v/>
      </c>
      <c r="U1291" s="83" t="str">
        <f t="shared" si="142"/>
        <v/>
      </c>
      <c r="V1291" s="83" t="str">
        <f t="shared" si="143"/>
        <v/>
      </c>
      <c r="AA1291" s="60">
        <f t="shared" si="144"/>
        <v>0</v>
      </c>
      <c r="AB1291" s="49">
        <f t="shared" si="145"/>
        <v>0</v>
      </c>
      <c r="AC1291" s="60">
        <f t="shared" si="146"/>
        <v>0</v>
      </c>
    </row>
    <row r="1292" spans="1:29">
      <c r="A1292" s="83" t="str">
        <f t="shared" si="140"/>
        <v/>
      </c>
      <c r="B1292" s="83" t="str">
        <f t="shared" si="141"/>
        <v/>
      </c>
      <c r="U1292" s="83" t="str">
        <f t="shared" si="142"/>
        <v/>
      </c>
      <c r="V1292" s="83" t="str">
        <f t="shared" si="143"/>
        <v/>
      </c>
      <c r="AA1292" s="60">
        <f t="shared" si="144"/>
        <v>0</v>
      </c>
      <c r="AB1292" s="49">
        <f t="shared" si="145"/>
        <v>0</v>
      </c>
      <c r="AC1292" s="60">
        <f t="shared" si="146"/>
        <v>0</v>
      </c>
    </row>
    <row r="1293" spans="1:29">
      <c r="A1293" s="83" t="str">
        <f t="shared" si="140"/>
        <v/>
      </c>
      <c r="B1293" s="83" t="str">
        <f t="shared" si="141"/>
        <v/>
      </c>
      <c r="U1293" s="83" t="str">
        <f t="shared" si="142"/>
        <v/>
      </c>
      <c r="V1293" s="83" t="str">
        <f t="shared" si="143"/>
        <v/>
      </c>
      <c r="AA1293" s="60">
        <f t="shared" si="144"/>
        <v>0</v>
      </c>
      <c r="AB1293" s="49">
        <f t="shared" si="145"/>
        <v>0</v>
      </c>
      <c r="AC1293" s="60">
        <f t="shared" si="146"/>
        <v>0</v>
      </c>
    </row>
    <row r="1294" spans="1:29">
      <c r="A1294" s="83" t="str">
        <f t="shared" si="140"/>
        <v/>
      </c>
      <c r="B1294" s="83" t="str">
        <f t="shared" si="141"/>
        <v/>
      </c>
      <c r="U1294" s="83" t="str">
        <f t="shared" si="142"/>
        <v/>
      </c>
      <c r="V1294" s="83" t="str">
        <f t="shared" si="143"/>
        <v/>
      </c>
      <c r="AA1294" s="60">
        <f t="shared" si="144"/>
        <v>0</v>
      </c>
      <c r="AB1294" s="49">
        <f t="shared" si="145"/>
        <v>0</v>
      </c>
      <c r="AC1294" s="60">
        <f t="shared" si="146"/>
        <v>0</v>
      </c>
    </row>
    <row r="1295" spans="1:29">
      <c r="A1295" s="83" t="str">
        <f t="shared" si="140"/>
        <v/>
      </c>
      <c r="B1295" s="83" t="str">
        <f t="shared" si="141"/>
        <v/>
      </c>
      <c r="U1295" s="83" t="str">
        <f t="shared" si="142"/>
        <v/>
      </c>
      <c r="V1295" s="83" t="str">
        <f t="shared" si="143"/>
        <v/>
      </c>
      <c r="AA1295" s="60">
        <f t="shared" si="144"/>
        <v>0</v>
      </c>
      <c r="AB1295" s="49">
        <f t="shared" si="145"/>
        <v>0</v>
      </c>
      <c r="AC1295" s="60">
        <f t="shared" si="146"/>
        <v>0</v>
      </c>
    </row>
    <row r="1296" spans="1:29">
      <c r="A1296" s="83" t="str">
        <f t="shared" si="140"/>
        <v/>
      </c>
      <c r="B1296" s="83" t="str">
        <f t="shared" si="141"/>
        <v/>
      </c>
      <c r="U1296" s="83" t="str">
        <f t="shared" si="142"/>
        <v/>
      </c>
      <c r="V1296" s="83" t="str">
        <f t="shared" si="143"/>
        <v/>
      </c>
      <c r="AA1296" s="60">
        <f t="shared" si="144"/>
        <v>0</v>
      </c>
      <c r="AB1296" s="49">
        <f t="shared" si="145"/>
        <v>0</v>
      </c>
      <c r="AC1296" s="60">
        <f t="shared" si="146"/>
        <v>0</v>
      </c>
    </row>
    <row r="1297" spans="1:29">
      <c r="A1297" s="83" t="str">
        <f t="shared" si="140"/>
        <v/>
      </c>
      <c r="B1297" s="83" t="str">
        <f t="shared" si="141"/>
        <v/>
      </c>
      <c r="U1297" s="83" t="str">
        <f t="shared" si="142"/>
        <v/>
      </c>
      <c r="V1297" s="83" t="str">
        <f t="shared" si="143"/>
        <v/>
      </c>
      <c r="AA1297" s="60">
        <f t="shared" si="144"/>
        <v>0</v>
      </c>
      <c r="AB1297" s="49">
        <f t="shared" si="145"/>
        <v>0</v>
      </c>
      <c r="AC1297" s="60">
        <f t="shared" si="146"/>
        <v>0</v>
      </c>
    </row>
    <row r="1298" spans="1:29">
      <c r="A1298" s="83" t="str">
        <f t="shared" si="140"/>
        <v/>
      </c>
      <c r="B1298" s="83" t="str">
        <f t="shared" si="141"/>
        <v/>
      </c>
      <c r="U1298" s="83" t="str">
        <f t="shared" si="142"/>
        <v/>
      </c>
      <c r="V1298" s="83" t="str">
        <f t="shared" si="143"/>
        <v/>
      </c>
      <c r="AA1298" s="60">
        <f t="shared" si="144"/>
        <v>0</v>
      </c>
      <c r="AB1298" s="49">
        <f t="shared" si="145"/>
        <v>0</v>
      </c>
      <c r="AC1298" s="60">
        <f t="shared" si="146"/>
        <v>0</v>
      </c>
    </row>
    <row r="1299" spans="1:29">
      <c r="A1299" s="83" t="str">
        <f t="shared" si="140"/>
        <v/>
      </c>
      <c r="B1299" s="83" t="str">
        <f t="shared" si="141"/>
        <v/>
      </c>
      <c r="U1299" s="83" t="str">
        <f t="shared" si="142"/>
        <v/>
      </c>
      <c r="V1299" s="83" t="str">
        <f t="shared" si="143"/>
        <v/>
      </c>
      <c r="AA1299" s="60">
        <f t="shared" si="144"/>
        <v>0</v>
      </c>
      <c r="AB1299" s="49">
        <f t="shared" si="145"/>
        <v>0</v>
      </c>
      <c r="AC1299" s="60">
        <f t="shared" si="146"/>
        <v>0</v>
      </c>
    </row>
    <row r="1300" spans="1:29">
      <c r="A1300" s="83" t="str">
        <f t="shared" si="140"/>
        <v/>
      </c>
      <c r="B1300" s="83" t="str">
        <f t="shared" si="141"/>
        <v/>
      </c>
      <c r="U1300" s="83" t="str">
        <f t="shared" si="142"/>
        <v/>
      </c>
      <c r="V1300" s="83" t="str">
        <f t="shared" si="143"/>
        <v/>
      </c>
      <c r="AA1300" s="60">
        <f t="shared" si="144"/>
        <v>0</v>
      </c>
      <c r="AB1300" s="49">
        <f t="shared" si="145"/>
        <v>0</v>
      </c>
      <c r="AC1300" s="60">
        <f t="shared" si="146"/>
        <v>0</v>
      </c>
    </row>
    <row r="1301" spans="1:29">
      <c r="A1301" s="83" t="str">
        <f t="shared" si="140"/>
        <v/>
      </c>
      <c r="B1301" s="83" t="str">
        <f t="shared" si="141"/>
        <v/>
      </c>
      <c r="U1301" s="83" t="str">
        <f t="shared" si="142"/>
        <v/>
      </c>
      <c r="V1301" s="83" t="str">
        <f t="shared" si="143"/>
        <v/>
      </c>
      <c r="AA1301" s="60">
        <f t="shared" si="144"/>
        <v>0</v>
      </c>
      <c r="AB1301" s="49">
        <f t="shared" si="145"/>
        <v>0</v>
      </c>
      <c r="AC1301" s="60">
        <f t="shared" si="146"/>
        <v>0</v>
      </c>
    </row>
    <row r="1302" spans="1:29">
      <c r="A1302" s="83" t="str">
        <f t="shared" si="140"/>
        <v/>
      </c>
      <c r="B1302" s="83" t="str">
        <f t="shared" si="141"/>
        <v/>
      </c>
      <c r="U1302" s="83" t="str">
        <f t="shared" si="142"/>
        <v/>
      </c>
      <c r="V1302" s="83" t="str">
        <f t="shared" si="143"/>
        <v/>
      </c>
      <c r="AA1302" s="60">
        <f t="shared" si="144"/>
        <v>0</v>
      </c>
      <c r="AB1302" s="49">
        <f t="shared" si="145"/>
        <v>0</v>
      </c>
      <c r="AC1302" s="60">
        <f t="shared" si="146"/>
        <v>0</v>
      </c>
    </row>
    <row r="1303" spans="1:29">
      <c r="A1303" s="83" t="str">
        <f t="shared" si="140"/>
        <v/>
      </c>
      <c r="B1303" s="83" t="str">
        <f t="shared" si="141"/>
        <v/>
      </c>
      <c r="U1303" s="83" t="str">
        <f t="shared" si="142"/>
        <v/>
      </c>
      <c r="V1303" s="83" t="str">
        <f t="shared" si="143"/>
        <v/>
      </c>
      <c r="AA1303" s="60">
        <f t="shared" si="144"/>
        <v>0</v>
      </c>
      <c r="AB1303" s="49">
        <f t="shared" si="145"/>
        <v>0</v>
      </c>
      <c r="AC1303" s="60">
        <f t="shared" si="146"/>
        <v>0</v>
      </c>
    </row>
    <row r="1304" spans="1:29">
      <c r="A1304" s="83" t="str">
        <f t="shared" si="140"/>
        <v/>
      </c>
      <c r="B1304" s="83" t="str">
        <f t="shared" si="141"/>
        <v/>
      </c>
      <c r="U1304" s="83" t="str">
        <f t="shared" si="142"/>
        <v/>
      </c>
      <c r="V1304" s="83" t="str">
        <f t="shared" si="143"/>
        <v/>
      </c>
      <c r="AA1304" s="60">
        <f t="shared" si="144"/>
        <v>0</v>
      </c>
      <c r="AB1304" s="49">
        <f t="shared" si="145"/>
        <v>0</v>
      </c>
      <c r="AC1304" s="60">
        <f t="shared" si="146"/>
        <v>0</v>
      </c>
    </row>
    <row r="1305" spans="1:29">
      <c r="A1305" s="83" t="str">
        <f t="shared" si="140"/>
        <v/>
      </c>
      <c r="B1305" s="83" t="str">
        <f t="shared" si="141"/>
        <v/>
      </c>
      <c r="U1305" s="83" t="str">
        <f t="shared" si="142"/>
        <v/>
      </c>
      <c r="V1305" s="83" t="str">
        <f t="shared" si="143"/>
        <v/>
      </c>
      <c r="AA1305" s="60">
        <f t="shared" si="144"/>
        <v>0</v>
      </c>
      <c r="AB1305" s="49">
        <f t="shared" si="145"/>
        <v>0</v>
      </c>
      <c r="AC1305" s="60">
        <f t="shared" si="146"/>
        <v>0</v>
      </c>
    </row>
    <row r="1306" spans="1:29">
      <c r="A1306" s="83" t="str">
        <f t="shared" si="140"/>
        <v/>
      </c>
      <c r="B1306" s="83" t="str">
        <f t="shared" si="141"/>
        <v/>
      </c>
      <c r="U1306" s="83" t="str">
        <f t="shared" si="142"/>
        <v/>
      </c>
      <c r="V1306" s="83" t="str">
        <f t="shared" si="143"/>
        <v/>
      </c>
      <c r="AA1306" s="60">
        <f t="shared" si="144"/>
        <v>0</v>
      </c>
      <c r="AB1306" s="49">
        <f t="shared" si="145"/>
        <v>0</v>
      </c>
      <c r="AC1306" s="60">
        <f t="shared" si="146"/>
        <v>0</v>
      </c>
    </row>
    <row r="1307" spans="1:29">
      <c r="A1307" s="83" t="str">
        <f t="shared" si="140"/>
        <v/>
      </c>
      <c r="B1307" s="83" t="str">
        <f t="shared" si="141"/>
        <v/>
      </c>
      <c r="U1307" s="83" t="str">
        <f t="shared" si="142"/>
        <v/>
      </c>
      <c r="V1307" s="83" t="str">
        <f t="shared" si="143"/>
        <v/>
      </c>
      <c r="AA1307" s="60">
        <f t="shared" si="144"/>
        <v>0</v>
      </c>
      <c r="AB1307" s="49">
        <f t="shared" si="145"/>
        <v>0</v>
      </c>
      <c r="AC1307" s="60">
        <f t="shared" si="146"/>
        <v>0</v>
      </c>
    </row>
    <row r="1308" spans="1:29">
      <c r="A1308" s="83" t="str">
        <f t="shared" si="140"/>
        <v/>
      </c>
      <c r="B1308" s="83" t="str">
        <f t="shared" si="141"/>
        <v/>
      </c>
      <c r="U1308" s="83" t="str">
        <f t="shared" si="142"/>
        <v/>
      </c>
      <c r="V1308" s="83" t="str">
        <f t="shared" si="143"/>
        <v/>
      </c>
      <c r="AA1308" s="60">
        <f t="shared" si="144"/>
        <v>0</v>
      </c>
      <c r="AB1308" s="49">
        <f t="shared" si="145"/>
        <v>0</v>
      </c>
      <c r="AC1308" s="60">
        <f t="shared" si="146"/>
        <v>0</v>
      </c>
    </row>
    <row r="1309" spans="1:29">
      <c r="A1309" s="83" t="str">
        <f t="shared" si="140"/>
        <v/>
      </c>
      <c r="B1309" s="83" t="str">
        <f t="shared" si="141"/>
        <v/>
      </c>
      <c r="U1309" s="83" t="str">
        <f t="shared" si="142"/>
        <v/>
      </c>
      <c r="V1309" s="83" t="str">
        <f t="shared" si="143"/>
        <v/>
      </c>
      <c r="AA1309" s="60">
        <f t="shared" si="144"/>
        <v>0</v>
      </c>
      <c r="AB1309" s="49">
        <f t="shared" si="145"/>
        <v>0</v>
      </c>
      <c r="AC1309" s="60">
        <f t="shared" si="146"/>
        <v>0</v>
      </c>
    </row>
    <row r="1310" spans="1:29">
      <c r="A1310" s="83" t="str">
        <f t="shared" si="140"/>
        <v/>
      </c>
      <c r="B1310" s="83" t="str">
        <f t="shared" si="141"/>
        <v/>
      </c>
      <c r="U1310" s="83" t="str">
        <f t="shared" si="142"/>
        <v/>
      </c>
      <c r="V1310" s="83" t="str">
        <f t="shared" si="143"/>
        <v/>
      </c>
      <c r="AA1310" s="60">
        <f t="shared" si="144"/>
        <v>0</v>
      </c>
      <c r="AB1310" s="49">
        <f t="shared" si="145"/>
        <v>0</v>
      </c>
      <c r="AC1310" s="60">
        <f t="shared" si="146"/>
        <v>0</v>
      </c>
    </row>
    <row r="1311" spans="1:29">
      <c r="A1311" s="83" t="str">
        <f t="shared" si="140"/>
        <v/>
      </c>
      <c r="B1311" s="83" t="str">
        <f t="shared" si="141"/>
        <v/>
      </c>
      <c r="U1311" s="83" t="str">
        <f t="shared" si="142"/>
        <v/>
      </c>
      <c r="V1311" s="83" t="str">
        <f t="shared" si="143"/>
        <v/>
      </c>
      <c r="AA1311" s="60">
        <f t="shared" si="144"/>
        <v>0</v>
      </c>
      <c r="AB1311" s="49">
        <f t="shared" si="145"/>
        <v>0</v>
      </c>
      <c r="AC1311" s="60">
        <f t="shared" si="146"/>
        <v>0</v>
      </c>
    </row>
    <row r="1312" spans="1:29">
      <c r="A1312" s="83" t="str">
        <f t="shared" si="140"/>
        <v/>
      </c>
      <c r="B1312" s="83" t="str">
        <f t="shared" si="141"/>
        <v/>
      </c>
      <c r="U1312" s="83" t="str">
        <f t="shared" si="142"/>
        <v/>
      </c>
      <c r="V1312" s="83" t="str">
        <f t="shared" si="143"/>
        <v/>
      </c>
      <c r="AA1312" s="60">
        <f t="shared" si="144"/>
        <v>0</v>
      </c>
      <c r="AB1312" s="49">
        <f t="shared" si="145"/>
        <v>0</v>
      </c>
      <c r="AC1312" s="60">
        <f t="shared" si="146"/>
        <v>0</v>
      </c>
    </row>
    <row r="1313" spans="1:29">
      <c r="A1313" s="83" t="str">
        <f t="shared" si="140"/>
        <v/>
      </c>
      <c r="B1313" s="83" t="str">
        <f t="shared" si="141"/>
        <v/>
      </c>
      <c r="U1313" s="83" t="str">
        <f t="shared" si="142"/>
        <v/>
      </c>
      <c r="V1313" s="83" t="str">
        <f t="shared" si="143"/>
        <v/>
      </c>
      <c r="AA1313" s="60">
        <f t="shared" si="144"/>
        <v>0</v>
      </c>
      <c r="AB1313" s="49">
        <f t="shared" si="145"/>
        <v>0</v>
      </c>
      <c r="AC1313" s="60">
        <f t="shared" si="146"/>
        <v>0</v>
      </c>
    </row>
    <row r="1314" spans="1:29">
      <c r="A1314" s="83" t="str">
        <f t="shared" si="140"/>
        <v/>
      </c>
      <c r="B1314" s="83" t="str">
        <f t="shared" si="141"/>
        <v/>
      </c>
      <c r="U1314" s="83" t="str">
        <f t="shared" si="142"/>
        <v/>
      </c>
      <c r="V1314" s="83" t="str">
        <f t="shared" si="143"/>
        <v/>
      </c>
      <c r="AA1314" s="60">
        <f t="shared" si="144"/>
        <v>0</v>
      </c>
      <c r="AB1314" s="49">
        <f t="shared" si="145"/>
        <v>0</v>
      </c>
      <c r="AC1314" s="60">
        <f t="shared" si="146"/>
        <v>0</v>
      </c>
    </row>
    <row r="1315" spans="1:29">
      <c r="A1315" s="83" t="str">
        <f t="shared" si="140"/>
        <v/>
      </c>
      <c r="B1315" s="83" t="str">
        <f t="shared" si="141"/>
        <v/>
      </c>
      <c r="U1315" s="83" t="str">
        <f t="shared" si="142"/>
        <v/>
      </c>
      <c r="V1315" s="83" t="str">
        <f t="shared" si="143"/>
        <v/>
      </c>
      <c r="AA1315" s="60">
        <f t="shared" si="144"/>
        <v>0</v>
      </c>
      <c r="AB1315" s="49">
        <f t="shared" si="145"/>
        <v>0</v>
      </c>
      <c r="AC1315" s="60">
        <f t="shared" si="146"/>
        <v>0</v>
      </c>
    </row>
    <row r="1316" spans="1:29">
      <c r="A1316" s="83" t="str">
        <f t="shared" si="140"/>
        <v/>
      </c>
      <c r="B1316" s="83" t="str">
        <f t="shared" si="141"/>
        <v/>
      </c>
      <c r="U1316" s="83" t="str">
        <f t="shared" si="142"/>
        <v/>
      </c>
      <c r="V1316" s="83" t="str">
        <f t="shared" si="143"/>
        <v/>
      </c>
      <c r="AA1316" s="60">
        <f t="shared" si="144"/>
        <v>0</v>
      </c>
      <c r="AB1316" s="49">
        <f t="shared" si="145"/>
        <v>0</v>
      </c>
      <c r="AC1316" s="60">
        <f t="shared" si="146"/>
        <v>0</v>
      </c>
    </row>
    <row r="1317" spans="1:29">
      <c r="A1317" s="83" t="str">
        <f t="shared" si="140"/>
        <v/>
      </c>
      <c r="B1317" s="83" t="str">
        <f t="shared" si="141"/>
        <v/>
      </c>
      <c r="U1317" s="83" t="str">
        <f t="shared" si="142"/>
        <v/>
      </c>
      <c r="V1317" s="83" t="str">
        <f t="shared" si="143"/>
        <v/>
      </c>
      <c r="AA1317" s="60">
        <f t="shared" si="144"/>
        <v>0</v>
      </c>
      <c r="AB1317" s="49">
        <f t="shared" si="145"/>
        <v>0</v>
      </c>
      <c r="AC1317" s="60">
        <f t="shared" si="146"/>
        <v>0</v>
      </c>
    </row>
    <row r="1318" spans="1:29">
      <c r="A1318" s="83" t="str">
        <f t="shared" si="140"/>
        <v/>
      </c>
      <c r="B1318" s="83" t="str">
        <f t="shared" si="141"/>
        <v/>
      </c>
      <c r="U1318" s="83" t="str">
        <f t="shared" si="142"/>
        <v/>
      </c>
      <c r="V1318" s="83" t="str">
        <f t="shared" si="143"/>
        <v/>
      </c>
      <c r="AA1318" s="60">
        <f t="shared" si="144"/>
        <v>0</v>
      </c>
      <c r="AB1318" s="49">
        <f t="shared" si="145"/>
        <v>0</v>
      </c>
      <c r="AC1318" s="60">
        <f t="shared" si="146"/>
        <v>0</v>
      </c>
    </row>
    <row r="1319" spans="1:29">
      <c r="A1319" s="83" t="str">
        <f t="shared" si="140"/>
        <v/>
      </c>
      <c r="B1319" s="83" t="str">
        <f t="shared" si="141"/>
        <v/>
      </c>
      <c r="U1319" s="83" t="str">
        <f t="shared" si="142"/>
        <v/>
      </c>
      <c r="V1319" s="83" t="str">
        <f t="shared" si="143"/>
        <v/>
      </c>
      <c r="AA1319" s="60">
        <f t="shared" si="144"/>
        <v>0</v>
      </c>
      <c r="AB1319" s="49">
        <f t="shared" si="145"/>
        <v>0</v>
      </c>
      <c r="AC1319" s="60">
        <f t="shared" si="146"/>
        <v>0</v>
      </c>
    </row>
    <row r="1320" spans="1:29">
      <c r="A1320" s="83" t="str">
        <f t="shared" si="140"/>
        <v/>
      </c>
      <c r="B1320" s="83" t="str">
        <f t="shared" si="141"/>
        <v/>
      </c>
      <c r="U1320" s="83" t="str">
        <f t="shared" si="142"/>
        <v/>
      </c>
      <c r="V1320" s="83" t="str">
        <f t="shared" si="143"/>
        <v/>
      </c>
      <c r="AA1320" s="60">
        <f t="shared" si="144"/>
        <v>0</v>
      </c>
      <c r="AB1320" s="49">
        <f t="shared" si="145"/>
        <v>0</v>
      </c>
      <c r="AC1320" s="60">
        <f t="shared" si="146"/>
        <v>0</v>
      </c>
    </row>
    <row r="1321" spans="1:29">
      <c r="A1321" s="83" t="str">
        <f t="shared" si="140"/>
        <v/>
      </c>
      <c r="B1321" s="83" t="str">
        <f t="shared" si="141"/>
        <v/>
      </c>
      <c r="U1321" s="83" t="str">
        <f t="shared" si="142"/>
        <v/>
      </c>
      <c r="V1321" s="83" t="str">
        <f t="shared" si="143"/>
        <v/>
      </c>
      <c r="AA1321" s="60">
        <f t="shared" si="144"/>
        <v>0</v>
      </c>
      <c r="AB1321" s="49">
        <f t="shared" si="145"/>
        <v>0</v>
      </c>
      <c r="AC1321" s="60">
        <f t="shared" si="146"/>
        <v>0</v>
      </c>
    </row>
    <row r="1322" spans="1:29">
      <c r="A1322" s="83" t="str">
        <f t="shared" si="140"/>
        <v/>
      </c>
      <c r="B1322" s="83" t="str">
        <f t="shared" si="141"/>
        <v/>
      </c>
      <c r="U1322" s="83" t="str">
        <f t="shared" si="142"/>
        <v/>
      </c>
      <c r="V1322" s="83" t="str">
        <f t="shared" si="143"/>
        <v/>
      </c>
      <c r="AA1322" s="60">
        <f t="shared" si="144"/>
        <v>0</v>
      </c>
      <c r="AB1322" s="49">
        <f t="shared" si="145"/>
        <v>0</v>
      </c>
      <c r="AC1322" s="60">
        <f t="shared" si="146"/>
        <v>0</v>
      </c>
    </row>
    <row r="1323" spans="1:29">
      <c r="A1323" s="83" t="str">
        <f t="shared" si="140"/>
        <v/>
      </c>
      <c r="B1323" s="83" t="str">
        <f t="shared" si="141"/>
        <v/>
      </c>
      <c r="U1323" s="83" t="str">
        <f t="shared" si="142"/>
        <v/>
      </c>
      <c r="V1323" s="83" t="str">
        <f t="shared" si="143"/>
        <v/>
      </c>
      <c r="AA1323" s="60">
        <f t="shared" si="144"/>
        <v>0</v>
      </c>
      <c r="AB1323" s="49">
        <f t="shared" si="145"/>
        <v>0</v>
      </c>
      <c r="AC1323" s="60">
        <f t="shared" si="146"/>
        <v>0</v>
      </c>
    </row>
    <row r="1324" spans="1:29">
      <c r="A1324" s="83" t="str">
        <f t="shared" si="140"/>
        <v/>
      </c>
      <c r="B1324" s="83" t="str">
        <f t="shared" si="141"/>
        <v/>
      </c>
      <c r="U1324" s="83" t="str">
        <f t="shared" si="142"/>
        <v/>
      </c>
      <c r="V1324" s="83" t="str">
        <f t="shared" si="143"/>
        <v/>
      </c>
      <c r="AA1324" s="60">
        <f t="shared" si="144"/>
        <v>0</v>
      </c>
      <c r="AB1324" s="49">
        <f t="shared" si="145"/>
        <v>0</v>
      </c>
      <c r="AC1324" s="60">
        <f t="shared" si="146"/>
        <v>0</v>
      </c>
    </row>
    <row r="1325" spans="1:29">
      <c r="A1325" s="83" t="str">
        <f t="shared" si="140"/>
        <v/>
      </c>
      <c r="B1325" s="83" t="str">
        <f t="shared" si="141"/>
        <v/>
      </c>
      <c r="U1325" s="83" t="str">
        <f t="shared" si="142"/>
        <v/>
      </c>
      <c r="V1325" s="83" t="str">
        <f t="shared" si="143"/>
        <v/>
      </c>
      <c r="AA1325" s="60">
        <f t="shared" si="144"/>
        <v>0</v>
      </c>
      <c r="AB1325" s="49">
        <f t="shared" si="145"/>
        <v>0</v>
      </c>
      <c r="AC1325" s="60">
        <f t="shared" si="146"/>
        <v>0</v>
      </c>
    </row>
    <row r="1326" spans="1:29">
      <c r="A1326" s="83" t="str">
        <f t="shared" si="140"/>
        <v/>
      </c>
      <c r="B1326" s="83" t="str">
        <f t="shared" si="141"/>
        <v/>
      </c>
      <c r="U1326" s="83" t="str">
        <f t="shared" si="142"/>
        <v/>
      </c>
      <c r="V1326" s="83" t="str">
        <f t="shared" si="143"/>
        <v/>
      </c>
      <c r="AA1326" s="60">
        <f t="shared" si="144"/>
        <v>0</v>
      </c>
      <c r="AB1326" s="49">
        <f t="shared" si="145"/>
        <v>0</v>
      </c>
      <c r="AC1326" s="60">
        <f t="shared" si="146"/>
        <v>0</v>
      </c>
    </row>
    <row r="1327" spans="1:29">
      <c r="A1327" s="83" t="str">
        <f t="shared" si="140"/>
        <v/>
      </c>
      <c r="B1327" s="83" t="str">
        <f t="shared" si="141"/>
        <v/>
      </c>
      <c r="U1327" s="83" t="str">
        <f t="shared" si="142"/>
        <v/>
      </c>
      <c r="V1327" s="83" t="str">
        <f t="shared" si="143"/>
        <v/>
      </c>
      <c r="AA1327" s="60">
        <f t="shared" si="144"/>
        <v>0</v>
      </c>
      <c r="AB1327" s="49">
        <f t="shared" si="145"/>
        <v>0</v>
      </c>
      <c r="AC1327" s="60">
        <f t="shared" si="146"/>
        <v>0</v>
      </c>
    </row>
    <row r="1328" spans="1:29">
      <c r="A1328" s="83" t="str">
        <f t="shared" si="140"/>
        <v/>
      </c>
      <c r="B1328" s="83" t="str">
        <f t="shared" si="141"/>
        <v/>
      </c>
      <c r="U1328" s="83" t="str">
        <f t="shared" si="142"/>
        <v/>
      </c>
      <c r="V1328" s="83" t="str">
        <f t="shared" si="143"/>
        <v/>
      </c>
      <c r="AA1328" s="60">
        <f t="shared" si="144"/>
        <v>0</v>
      </c>
      <c r="AB1328" s="49">
        <f t="shared" si="145"/>
        <v>0</v>
      </c>
      <c r="AC1328" s="60">
        <f t="shared" si="146"/>
        <v>0</v>
      </c>
    </row>
    <row r="1329" spans="1:29">
      <c r="A1329" s="83" t="str">
        <f t="shared" si="140"/>
        <v/>
      </c>
      <c r="B1329" s="83" t="str">
        <f t="shared" si="141"/>
        <v/>
      </c>
      <c r="U1329" s="83" t="str">
        <f t="shared" si="142"/>
        <v/>
      </c>
      <c r="V1329" s="83" t="str">
        <f t="shared" si="143"/>
        <v/>
      </c>
      <c r="AA1329" s="60">
        <f t="shared" si="144"/>
        <v>0</v>
      </c>
      <c r="AB1329" s="49">
        <f t="shared" si="145"/>
        <v>0</v>
      </c>
      <c r="AC1329" s="60">
        <f t="shared" si="146"/>
        <v>0</v>
      </c>
    </row>
    <row r="1330" spans="1:29">
      <c r="A1330" s="83" t="str">
        <f t="shared" si="140"/>
        <v/>
      </c>
      <c r="B1330" s="83" t="str">
        <f t="shared" si="141"/>
        <v/>
      </c>
      <c r="U1330" s="83" t="str">
        <f t="shared" si="142"/>
        <v/>
      </c>
      <c r="V1330" s="83" t="str">
        <f t="shared" si="143"/>
        <v/>
      </c>
      <c r="AA1330" s="60">
        <f t="shared" si="144"/>
        <v>0</v>
      </c>
      <c r="AB1330" s="49">
        <f t="shared" si="145"/>
        <v>0</v>
      </c>
      <c r="AC1330" s="60">
        <f t="shared" si="146"/>
        <v>0</v>
      </c>
    </row>
    <row r="1331" spans="1:29">
      <c r="A1331" s="83" t="str">
        <f t="shared" si="140"/>
        <v/>
      </c>
      <c r="B1331" s="83" t="str">
        <f t="shared" si="141"/>
        <v/>
      </c>
      <c r="U1331" s="83" t="str">
        <f t="shared" si="142"/>
        <v/>
      </c>
      <c r="V1331" s="83" t="str">
        <f t="shared" si="143"/>
        <v/>
      </c>
      <c r="AA1331" s="60">
        <f t="shared" si="144"/>
        <v>0</v>
      </c>
      <c r="AB1331" s="49">
        <f t="shared" si="145"/>
        <v>0</v>
      </c>
      <c r="AC1331" s="60">
        <f t="shared" si="146"/>
        <v>0</v>
      </c>
    </row>
    <row r="1332" spans="1:29">
      <c r="A1332" s="83" t="str">
        <f t="shared" si="140"/>
        <v/>
      </c>
      <c r="B1332" s="83" t="str">
        <f t="shared" si="141"/>
        <v/>
      </c>
      <c r="U1332" s="83" t="str">
        <f t="shared" si="142"/>
        <v/>
      </c>
      <c r="V1332" s="83" t="str">
        <f t="shared" si="143"/>
        <v/>
      </c>
      <c r="AA1332" s="60">
        <f t="shared" si="144"/>
        <v>0</v>
      </c>
      <c r="AB1332" s="49">
        <f t="shared" si="145"/>
        <v>0</v>
      </c>
      <c r="AC1332" s="60">
        <f t="shared" si="146"/>
        <v>0</v>
      </c>
    </row>
    <row r="1333" spans="1:29">
      <c r="A1333" s="83" t="str">
        <f t="shared" si="140"/>
        <v/>
      </c>
      <c r="B1333" s="83" t="str">
        <f t="shared" si="141"/>
        <v/>
      </c>
      <c r="U1333" s="83" t="str">
        <f t="shared" si="142"/>
        <v/>
      </c>
      <c r="V1333" s="83" t="str">
        <f t="shared" si="143"/>
        <v/>
      </c>
      <c r="AA1333" s="60">
        <f t="shared" si="144"/>
        <v>0</v>
      </c>
      <c r="AB1333" s="49">
        <f t="shared" si="145"/>
        <v>0</v>
      </c>
      <c r="AC1333" s="60">
        <f t="shared" si="146"/>
        <v>0</v>
      </c>
    </row>
    <row r="1334" spans="1:29">
      <c r="A1334" s="83" t="str">
        <f t="shared" si="140"/>
        <v/>
      </c>
      <c r="B1334" s="83" t="str">
        <f t="shared" si="141"/>
        <v/>
      </c>
      <c r="U1334" s="83" t="str">
        <f t="shared" si="142"/>
        <v/>
      </c>
      <c r="V1334" s="83" t="str">
        <f t="shared" si="143"/>
        <v/>
      </c>
      <c r="AA1334" s="60">
        <f t="shared" si="144"/>
        <v>0</v>
      </c>
      <c r="AB1334" s="49">
        <f t="shared" si="145"/>
        <v>0</v>
      </c>
      <c r="AC1334" s="60">
        <f t="shared" si="146"/>
        <v>0</v>
      </c>
    </row>
    <row r="1335" spans="1:29">
      <c r="A1335" s="83" t="str">
        <f t="shared" si="140"/>
        <v/>
      </c>
      <c r="B1335" s="83" t="str">
        <f t="shared" si="141"/>
        <v/>
      </c>
      <c r="U1335" s="83" t="str">
        <f t="shared" si="142"/>
        <v/>
      </c>
      <c r="V1335" s="83" t="str">
        <f t="shared" si="143"/>
        <v/>
      </c>
      <c r="AA1335" s="60">
        <f t="shared" si="144"/>
        <v>0</v>
      </c>
      <c r="AB1335" s="49">
        <f t="shared" si="145"/>
        <v>0</v>
      </c>
      <c r="AC1335" s="60">
        <f t="shared" si="146"/>
        <v>0</v>
      </c>
    </row>
    <row r="1336" spans="1:29">
      <c r="A1336" s="83" t="str">
        <f t="shared" si="140"/>
        <v/>
      </c>
      <c r="B1336" s="83" t="str">
        <f t="shared" si="141"/>
        <v/>
      </c>
      <c r="U1336" s="83" t="str">
        <f t="shared" si="142"/>
        <v/>
      </c>
      <c r="V1336" s="83" t="str">
        <f t="shared" si="143"/>
        <v/>
      </c>
      <c r="AA1336" s="60">
        <f t="shared" si="144"/>
        <v>0</v>
      </c>
      <c r="AB1336" s="49">
        <f t="shared" si="145"/>
        <v>0</v>
      </c>
      <c r="AC1336" s="60">
        <f t="shared" si="146"/>
        <v>0</v>
      </c>
    </row>
    <row r="1337" spans="1:29">
      <c r="A1337" s="83" t="str">
        <f t="shared" si="140"/>
        <v/>
      </c>
      <c r="B1337" s="83" t="str">
        <f t="shared" si="141"/>
        <v/>
      </c>
      <c r="U1337" s="83" t="str">
        <f t="shared" si="142"/>
        <v/>
      </c>
      <c r="V1337" s="83" t="str">
        <f t="shared" si="143"/>
        <v/>
      </c>
      <c r="AA1337" s="60">
        <f t="shared" si="144"/>
        <v>0</v>
      </c>
      <c r="AB1337" s="49">
        <f t="shared" si="145"/>
        <v>0</v>
      </c>
      <c r="AC1337" s="60">
        <f t="shared" si="146"/>
        <v>0</v>
      </c>
    </row>
    <row r="1338" spans="1:29">
      <c r="A1338" s="83" t="str">
        <f t="shared" si="140"/>
        <v/>
      </c>
      <c r="B1338" s="83" t="str">
        <f t="shared" si="141"/>
        <v/>
      </c>
      <c r="U1338" s="83" t="str">
        <f t="shared" si="142"/>
        <v/>
      </c>
      <c r="V1338" s="83" t="str">
        <f t="shared" si="143"/>
        <v/>
      </c>
      <c r="AA1338" s="60">
        <f t="shared" si="144"/>
        <v>0</v>
      </c>
      <c r="AB1338" s="49">
        <f t="shared" si="145"/>
        <v>0</v>
      </c>
      <c r="AC1338" s="60">
        <f t="shared" si="146"/>
        <v>0</v>
      </c>
    </row>
    <row r="1339" spans="1:29">
      <c r="A1339" s="83" t="str">
        <f t="shared" si="140"/>
        <v/>
      </c>
      <c r="B1339" s="83" t="str">
        <f t="shared" si="141"/>
        <v/>
      </c>
      <c r="U1339" s="83" t="str">
        <f t="shared" si="142"/>
        <v/>
      </c>
      <c r="V1339" s="83" t="str">
        <f t="shared" si="143"/>
        <v/>
      </c>
      <c r="AA1339" s="60">
        <f t="shared" si="144"/>
        <v>0</v>
      </c>
      <c r="AB1339" s="49">
        <f t="shared" si="145"/>
        <v>0</v>
      </c>
      <c r="AC1339" s="60">
        <f t="shared" si="146"/>
        <v>0</v>
      </c>
    </row>
    <row r="1340" spans="1:29">
      <c r="A1340" s="83" t="str">
        <f t="shared" si="140"/>
        <v/>
      </c>
      <c r="B1340" s="83" t="str">
        <f t="shared" si="141"/>
        <v/>
      </c>
      <c r="U1340" s="83" t="str">
        <f t="shared" si="142"/>
        <v/>
      </c>
      <c r="V1340" s="83" t="str">
        <f t="shared" si="143"/>
        <v/>
      </c>
      <c r="AA1340" s="60">
        <f t="shared" si="144"/>
        <v>0</v>
      </c>
      <c r="AB1340" s="49">
        <f t="shared" si="145"/>
        <v>0</v>
      </c>
      <c r="AC1340" s="60">
        <f t="shared" si="146"/>
        <v>0</v>
      </c>
    </row>
    <row r="1341" spans="1:29">
      <c r="A1341" s="83" t="str">
        <f t="shared" si="140"/>
        <v/>
      </c>
      <c r="B1341" s="83" t="str">
        <f t="shared" si="141"/>
        <v/>
      </c>
      <c r="U1341" s="83" t="str">
        <f t="shared" si="142"/>
        <v/>
      </c>
      <c r="V1341" s="83" t="str">
        <f t="shared" si="143"/>
        <v/>
      </c>
      <c r="AA1341" s="60">
        <f t="shared" si="144"/>
        <v>0</v>
      </c>
      <c r="AB1341" s="49">
        <f t="shared" si="145"/>
        <v>0</v>
      </c>
      <c r="AC1341" s="60">
        <f t="shared" si="146"/>
        <v>0</v>
      </c>
    </row>
    <row r="1342" spans="1:29">
      <c r="A1342" s="83" t="str">
        <f t="shared" si="140"/>
        <v/>
      </c>
      <c r="B1342" s="83" t="str">
        <f t="shared" si="141"/>
        <v/>
      </c>
      <c r="U1342" s="83" t="str">
        <f t="shared" si="142"/>
        <v/>
      </c>
      <c r="V1342" s="83" t="str">
        <f t="shared" si="143"/>
        <v/>
      </c>
      <c r="AA1342" s="60">
        <f t="shared" si="144"/>
        <v>0</v>
      </c>
      <c r="AB1342" s="49">
        <f t="shared" si="145"/>
        <v>0</v>
      </c>
      <c r="AC1342" s="60">
        <f t="shared" si="146"/>
        <v>0</v>
      </c>
    </row>
    <row r="1343" spans="1:29">
      <c r="A1343" s="83" t="str">
        <f t="shared" si="140"/>
        <v/>
      </c>
      <c r="B1343" s="83" t="str">
        <f t="shared" si="141"/>
        <v/>
      </c>
      <c r="U1343" s="83" t="str">
        <f t="shared" si="142"/>
        <v/>
      </c>
      <c r="V1343" s="83" t="str">
        <f t="shared" si="143"/>
        <v/>
      </c>
      <c r="AA1343" s="60">
        <f t="shared" si="144"/>
        <v>0</v>
      </c>
      <c r="AB1343" s="49">
        <f t="shared" si="145"/>
        <v>0</v>
      </c>
      <c r="AC1343" s="60">
        <f t="shared" si="146"/>
        <v>0</v>
      </c>
    </row>
    <row r="1344" spans="1:29">
      <c r="A1344" s="83" t="str">
        <f t="shared" si="140"/>
        <v/>
      </c>
      <c r="B1344" s="83" t="str">
        <f t="shared" si="141"/>
        <v/>
      </c>
      <c r="U1344" s="83" t="str">
        <f t="shared" si="142"/>
        <v/>
      </c>
      <c r="V1344" s="83" t="str">
        <f t="shared" si="143"/>
        <v/>
      </c>
      <c r="AA1344" s="60">
        <f t="shared" si="144"/>
        <v>0</v>
      </c>
      <c r="AB1344" s="49">
        <f t="shared" si="145"/>
        <v>0</v>
      </c>
      <c r="AC1344" s="60">
        <f t="shared" si="146"/>
        <v>0</v>
      </c>
    </row>
    <row r="1345" spans="1:29">
      <c r="A1345" s="83" t="str">
        <f t="shared" si="140"/>
        <v/>
      </c>
      <c r="B1345" s="83" t="str">
        <f t="shared" si="141"/>
        <v/>
      </c>
      <c r="U1345" s="83" t="str">
        <f t="shared" si="142"/>
        <v/>
      </c>
      <c r="V1345" s="83" t="str">
        <f t="shared" si="143"/>
        <v/>
      </c>
      <c r="AA1345" s="60">
        <f t="shared" si="144"/>
        <v>0</v>
      </c>
      <c r="AB1345" s="49">
        <f t="shared" si="145"/>
        <v>0</v>
      </c>
      <c r="AC1345" s="60">
        <f t="shared" si="146"/>
        <v>0</v>
      </c>
    </row>
    <row r="1346" spans="1:29">
      <c r="A1346" s="83" t="str">
        <f t="shared" si="140"/>
        <v/>
      </c>
      <c r="B1346" s="83" t="str">
        <f t="shared" si="141"/>
        <v/>
      </c>
      <c r="U1346" s="83" t="str">
        <f t="shared" si="142"/>
        <v/>
      </c>
      <c r="V1346" s="83" t="str">
        <f t="shared" si="143"/>
        <v/>
      </c>
      <c r="AA1346" s="60">
        <f t="shared" si="144"/>
        <v>0</v>
      </c>
      <c r="AB1346" s="49">
        <f t="shared" si="145"/>
        <v>0</v>
      </c>
      <c r="AC1346" s="60">
        <f t="shared" si="146"/>
        <v>0</v>
      </c>
    </row>
    <row r="1347" spans="1:29">
      <c r="A1347" s="83" t="str">
        <f t="shared" ref="A1347:A1410" si="147">IF(G1347&amp;Q1347&lt;&gt;"",U1347&amp;Q1347,"")</f>
        <v/>
      </c>
      <c r="B1347" s="83" t="str">
        <f t="shared" ref="B1347:B1410" si="148">IF(C1347&lt;&gt;"",LEFT(C1347,9),"")</f>
        <v/>
      </c>
      <c r="U1347" s="83" t="str">
        <f t="shared" ref="U1347:U1410" si="149">IF(G1347&lt;&gt;"",IF(StyleSpaceSplit,IFERROR(IF(FIND(" ",G1347)&gt;=1,MID(G1347,1,FIND(" ",G1347)-1),G1347),G1347),G1347),"")</f>
        <v/>
      </c>
      <c r="V1347" s="83" t="str">
        <f t="shared" ref="V1347:V1410" si="150">IF(A1347&lt;&gt;"",IFERROR(IF(FIND(" ",G1347)&gt;=1,MID(G1347,FIND(" ",G1347)+1,LEN(G1347)),""),G1347),"")</f>
        <v/>
      </c>
      <c r="AA1347" s="60">
        <f t="shared" ref="AA1347:AA1410" si="151">IFERROR(VALUE(MID($C1347,1,2)),0)</f>
        <v>0</v>
      </c>
      <c r="AB1347" s="49">
        <f t="shared" ref="AB1347:AB1410" si="152">IFERROR(VALUE(MID($C1347,4,3)),0)</f>
        <v>0</v>
      </c>
      <c r="AC1347" s="60">
        <f t="shared" ref="AC1347:AC1410" si="153">VALUE(RIGHT("00"&amp;AA1347,2)&amp;RIGHT("000"&amp;AB1347,3))</f>
        <v>0</v>
      </c>
    </row>
    <row r="1348" spans="1:29">
      <c r="A1348" s="83" t="str">
        <f t="shared" si="147"/>
        <v/>
      </c>
      <c r="B1348" s="83" t="str">
        <f t="shared" si="148"/>
        <v/>
      </c>
      <c r="U1348" s="83" t="str">
        <f t="shared" si="149"/>
        <v/>
      </c>
      <c r="V1348" s="83" t="str">
        <f t="shared" si="150"/>
        <v/>
      </c>
      <c r="AA1348" s="60">
        <f t="shared" si="151"/>
        <v>0</v>
      </c>
      <c r="AB1348" s="49">
        <f t="shared" si="152"/>
        <v>0</v>
      </c>
      <c r="AC1348" s="60">
        <f t="shared" si="153"/>
        <v>0</v>
      </c>
    </row>
    <row r="1349" spans="1:29">
      <c r="A1349" s="83" t="str">
        <f t="shared" si="147"/>
        <v/>
      </c>
      <c r="B1349" s="83" t="str">
        <f t="shared" si="148"/>
        <v/>
      </c>
      <c r="U1349" s="83" t="str">
        <f t="shared" si="149"/>
        <v/>
      </c>
      <c r="V1349" s="83" t="str">
        <f t="shared" si="150"/>
        <v/>
      </c>
      <c r="AA1349" s="60">
        <f t="shared" si="151"/>
        <v>0</v>
      </c>
      <c r="AB1349" s="49">
        <f t="shared" si="152"/>
        <v>0</v>
      </c>
      <c r="AC1349" s="60">
        <f t="shared" si="153"/>
        <v>0</v>
      </c>
    </row>
    <row r="1350" spans="1:29">
      <c r="A1350" s="83" t="str">
        <f t="shared" si="147"/>
        <v/>
      </c>
      <c r="B1350" s="83" t="str">
        <f t="shared" si="148"/>
        <v/>
      </c>
      <c r="U1350" s="83" t="str">
        <f t="shared" si="149"/>
        <v/>
      </c>
      <c r="V1350" s="83" t="str">
        <f t="shared" si="150"/>
        <v/>
      </c>
      <c r="AA1350" s="60">
        <f t="shared" si="151"/>
        <v>0</v>
      </c>
      <c r="AB1350" s="49">
        <f t="shared" si="152"/>
        <v>0</v>
      </c>
      <c r="AC1350" s="60">
        <f t="shared" si="153"/>
        <v>0</v>
      </c>
    </row>
    <row r="1351" spans="1:29">
      <c r="A1351" s="83" t="str">
        <f t="shared" si="147"/>
        <v/>
      </c>
      <c r="B1351" s="83" t="str">
        <f t="shared" si="148"/>
        <v/>
      </c>
      <c r="U1351" s="83" t="str">
        <f t="shared" si="149"/>
        <v/>
      </c>
      <c r="V1351" s="83" t="str">
        <f t="shared" si="150"/>
        <v/>
      </c>
      <c r="AA1351" s="60">
        <f t="shared" si="151"/>
        <v>0</v>
      </c>
      <c r="AB1351" s="49">
        <f t="shared" si="152"/>
        <v>0</v>
      </c>
      <c r="AC1351" s="60">
        <f t="shared" si="153"/>
        <v>0</v>
      </c>
    </row>
    <row r="1352" spans="1:29">
      <c r="A1352" s="83" t="str">
        <f t="shared" si="147"/>
        <v/>
      </c>
      <c r="B1352" s="83" t="str">
        <f t="shared" si="148"/>
        <v/>
      </c>
      <c r="U1352" s="83" t="str">
        <f t="shared" si="149"/>
        <v/>
      </c>
      <c r="V1352" s="83" t="str">
        <f t="shared" si="150"/>
        <v/>
      </c>
      <c r="AA1352" s="60">
        <f t="shared" si="151"/>
        <v>0</v>
      </c>
      <c r="AB1352" s="49">
        <f t="shared" si="152"/>
        <v>0</v>
      </c>
      <c r="AC1352" s="60">
        <f t="shared" si="153"/>
        <v>0</v>
      </c>
    </row>
    <row r="1353" spans="1:29">
      <c r="A1353" s="83" t="str">
        <f t="shared" si="147"/>
        <v/>
      </c>
      <c r="B1353" s="83" t="str">
        <f t="shared" si="148"/>
        <v/>
      </c>
      <c r="U1353" s="83" t="str">
        <f t="shared" si="149"/>
        <v/>
      </c>
      <c r="V1353" s="83" t="str">
        <f t="shared" si="150"/>
        <v/>
      </c>
      <c r="AA1353" s="60">
        <f t="shared" si="151"/>
        <v>0</v>
      </c>
      <c r="AB1353" s="49">
        <f t="shared" si="152"/>
        <v>0</v>
      </c>
      <c r="AC1353" s="60">
        <f t="shared" si="153"/>
        <v>0</v>
      </c>
    </row>
    <row r="1354" spans="1:29">
      <c r="A1354" s="83" t="str">
        <f t="shared" si="147"/>
        <v/>
      </c>
      <c r="B1354" s="83" t="str">
        <f t="shared" si="148"/>
        <v/>
      </c>
      <c r="U1354" s="83" t="str">
        <f t="shared" si="149"/>
        <v/>
      </c>
      <c r="V1354" s="83" t="str">
        <f t="shared" si="150"/>
        <v/>
      </c>
      <c r="AA1354" s="60">
        <f t="shared" si="151"/>
        <v>0</v>
      </c>
      <c r="AB1354" s="49">
        <f t="shared" si="152"/>
        <v>0</v>
      </c>
      <c r="AC1354" s="60">
        <f t="shared" si="153"/>
        <v>0</v>
      </c>
    </row>
    <row r="1355" spans="1:29">
      <c r="A1355" s="83" t="str">
        <f t="shared" si="147"/>
        <v/>
      </c>
      <c r="B1355" s="83" t="str">
        <f t="shared" si="148"/>
        <v/>
      </c>
      <c r="U1355" s="83" t="str">
        <f t="shared" si="149"/>
        <v/>
      </c>
      <c r="V1355" s="83" t="str">
        <f t="shared" si="150"/>
        <v/>
      </c>
      <c r="AA1355" s="60">
        <f t="shared" si="151"/>
        <v>0</v>
      </c>
      <c r="AB1355" s="49">
        <f t="shared" si="152"/>
        <v>0</v>
      </c>
      <c r="AC1355" s="60">
        <f t="shared" si="153"/>
        <v>0</v>
      </c>
    </row>
    <row r="1356" spans="1:29">
      <c r="A1356" s="83" t="str">
        <f t="shared" si="147"/>
        <v/>
      </c>
      <c r="B1356" s="83" t="str">
        <f t="shared" si="148"/>
        <v/>
      </c>
      <c r="U1356" s="83" t="str">
        <f t="shared" si="149"/>
        <v/>
      </c>
      <c r="V1356" s="83" t="str">
        <f t="shared" si="150"/>
        <v/>
      </c>
      <c r="AA1356" s="60">
        <f t="shared" si="151"/>
        <v>0</v>
      </c>
      <c r="AB1356" s="49">
        <f t="shared" si="152"/>
        <v>0</v>
      </c>
      <c r="AC1356" s="60">
        <f t="shared" si="153"/>
        <v>0</v>
      </c>
    </row>
    <row r="1357" spans="1:29">
      <c r="A1357" s="83" t="str">
        <f t="shared" si="147"/>
        <v/>
      </c>
      <c r="B1357" s="83" t="str">
        <f t="shared" si="148"/>
        <v/>
      </c>
      <c r="U1357" s="83" t="str">
        <f t="shared" si="149"/>
        <v/>
      </c>
      <c r="V1357" s="83" t="str">
        <f t="shared" si="150"/>
        <v/>
      </c>
      <c r="AA1357" s="60">
        <f t="shared" si="151"/>
        <v>0</v>
      </c>
      <c r="AB1357" s="49">
        <f t="shared" si="152"/>
        <v>0</v>
      </c>
      <c r="AC1357" s="60">
        <f t="shared" si="153"/>
        <v>0</v>
      </c>
    </row>
    <row r="1358" spans="1:29">
      <c r="A1358" s="83" t="str">
        <f t="shared" si="147"/>
        <v/>
      </c>
      <c r="B1358" s="83" t="str">
        <f t="shared" si="148"/>
        <v/>
      </c>
      <c r="U1358" s="83" t="str">
        <f t="shared" si="149"/>
        <v/>
      </c>
      <c r="V1358" s="83" t="str">
        <f t="shared" si="150"/>
        <v/>
      </c>
      <c r="AA1358" s="60">
        <f t="shared" si="151"/>
        <v>0</v>
      </c>
      <c r="AB1358" s="49">
        <f t="shared" si="152"/>
        <v>0</v>
      </c>
      <c r="AC1358" s="60">
        <f t="shared" si="153"/>
        <v>0</v>
      </c>
    </row>
    <row r="1359" spans="1:29">
      <c r="A1359" s="83" t="str">
        <f t="shared" si="147"/>
        <v/>
      </c>
      <c r="B1359" s="83" t="str">
        <f t="shared" si="148"/>
        <v/>
      </c>
      <c r="U1359" s="83" t="str">
        <f t="shared" si="149"/>
        <v/>
      </c>
      <c r="V1359" s="83" t="str">
        <f t="shared" si="150"/>
        <v/>
      </c>
      <c r="AA1359" s="60">
        <f t="shared" si="151"/>
        <v>0</v>
      </c>
      <c r="AB1359" s="49">
        <f t="shared" si="152"/>
        <v>0</v>
      </c>
      <c r="AC1359" s="60">
        <f t="shared" si="153"/>
        <v>0</v>
      </c>
    </row>
    <row r="1360" spans="1:29">
      <c r="A1360" s="83" t="str">
        <f t="shared" si="147"/>
        <v/>
      </c>
      <c r="B1360" s="83" t="str">
        <f t="shared" si="148"/>
        <v/>
      </c>
      <c r="U1360" s="83" t="str">
        <f t="shared" si="149"/>
        <v/>
      </c>
      <c r="V1360" s="83" t="str">
        <f t="shared" si="150"/>
        <v/>
      </c>
      <c r="AA1360" s="60">
        <f t="shared" si="151"/>
        <v>0</v>
      </c>
      <c r="AB1360" s="49">
        <f t="shared" si="152"/>
        <v>0</v>
      </c>
      <c r="AC1360" s="60">
        <f t="shared" si="153"/>
        <v>0</v>
      </c>
    </row>
    <row r="1361" spans="1:29">
      <c r="A1361" s="83" t="str">
        <f t="shared" si="147"/>
        <v/>
      </c>
      <c r="B1361" s="83" t="str">
        <f t="shared" si="148"/>
        <v/>
      </c>
      <c r="U1361" s="83" t="str">
        <f t="shared" si="149"/>
        <v/>
      </c>
      <c r="V1361" s="83" t="str">
        <f t="shared" si="150"/>
        <v/>
      </c>
      <c r="AA1361" s="60">
        <f t="shared" si="151"/>
        <v>0</v>
      </c>
      <c r="AB1361" s="49">
        <f t="shared" si="152"/>
        <v>0</v>
      </c>
      <c r="AC1361" s="60">
        <f t="shared" si="153"/>
        <v>0</v>
      </c>
    </row>
    <row r="1362" spans="1:29">
      <c r="A1362" s="83" t="str">
        <f t="shared" si="147"/>
        <v/>
      </c>
      <c r="B1362" s="83" t="str">
        <f t="shared" si="148"/>
        <v/>
      </c>
      <c r="U1362" s="83" t="str">
        <f t="shared" si="149"/>
        <v/>
      </c>
      <c r="V1362" s="83" t="str">
        <f t="shared" si="150"/>
        <v/>
      </c>
      <c r="AA1362" s="60">
        <f t="shared" si="151"/>
        <v>0</v>
      </c>
      <c r="AB1362" s="49">
        <f t="shared" si="152"/>
        <v>0</v>
      </c>
      <c r="AC1362" s="60">
        <f t="shared" si="153"/>
        <v>0</v>
      </c>
    </row>
    <row r="1363" spans="1:29">
      <c r="A1363" s="83" t="str">
        <f t="shared" si="147"/>
        <v/>
      </c>
      <c r="B1363" s="83" t="str">
        <f t="shared" si="148"/>
        <v/>
      </c>
      <c r="U1363" s="83" t="str">
        <f t="shared" si="149"/>
        <v/>
      </c>
      <c r="V1363" s="83" t="str">
        <f t="shared" si="150"/>
        <v/>
      </c>
      <c r="AA1363" s="60">
        <f t="shared" si="151"/>
        <v>0</v>
      </c>
      <c r="AB1363" s="49">
        <f t="shared" si="152"/>
        <v>0</v>
      </c>
      <c r="AC1363" s="60">
        <f t="shared" si="153"/>
        <v>0</v>
      </c>
    </row>
    <row r="1364" spans="1:29">
      <c r="A1364" s="83" t="str">
        <f t="shared" si="147"/>
        <v/>
      </c>
      <c r="B1364" s="83" t="str">
        <f t="shared" si="148"/>
        <v/>
      </c>
      <c r="U1364" s="83" t="str">
        <f t="shared" si="149"/>
        <v/>
      </c>
      <c r="V1364" s="83" t="str">
        <f t="shared" si="150"/>
        <v/>
      </c>
      <c r="AA1364" s="60">
        <f t="shared" si="151"/>
        <v>0</v>
      </c>
      <c r="AB1364" s="49">
        <f t="shared" si="152"/>
        <v>0</v>
      </c>
      <c r="AC1364" s="60">
        <f t="shared" si="153"/>
        <v>0</v>
      </c>
    </row>
    <row r="1365" spans="1:29">
      <c r="A1365" s="83" t="str">
        <f t="shared" si="147"/>
        <v/>
      </c>
      <c r="B1365" s="83" t="str">
        <f t="shared" si="148"/>
        <v/>
      </c>
      <c r="U1365" s="83" t="str">
        <f t="shared" si="149"/>
        <v/>
      </c>
      <c r="V1365" s="83" t="str">
        <f t="shared" si="150"/>
        <v/>
      </c>
      <c r="AA1365" s="60">
        <f t="shared" si="151"/>
        <v>0</v>
      </c>
      <c r="AB1365" s="49">
        <f t="shared" si="152"/>
        <v>0</v>
      </c>
      <c r="AC1365" s="60">
        <f t="shared" si="153"/>
        <v>0</v>
      </c>
    </row>
    <row r="1366" spans="1:29">
      <c r="A1366" s="83" t="str">
        <f t="shared" si="147"/>
        <v/>
      </c>
      <c r="B1366" s="83" t="str">
        <f t="shared" si="148"/>
        <v/>
      </c>
      <c r="U1366" s="83" t="str">
        <f t="shared" si="149"/>
        <v/>
      </c>
      <c r="V1366" s="83" t="str">
        <f t="shared" si="150"/>
        <v/>
      </c>
      <c r="AA1366" s="60">
        <f t="shared" si="151"/>
        <v>0</v>
      </c>
      <c r="AB1366" s="49">
        <f t="shared" si="152"/>
        <v>0</v>
      </c>
      <c r="AC1366" s="60">
        <f t="shared" si="153"/>
        <v>0</v>
      </c>
    </row>
    <row r="1367" spans="1:29">
      <c r="A1367" s="83" t="str">
        <f t="shared" si="147"/>
        <v/>
      </c>
      <c r="B1367" s="83" t="str">
        <f t="shared" si="148"/>
        <v/>
      </c>
      <c r="U1367" s="83" t="str">
        <f t="shared" si="149"/>
        <v/>
      </c>
      <c r="V1367" s="83" t="str">
        <f t="shared" si="150"/>
        <v/>
      </c>
      <c r="AA1367" s="60">
        <f t="shared" si="151"/>
        <v>0</v>
      </c>
      <c r="AB1367" s="49">
        <f t="shared" si="152"/>
        <v>0</v>
      </c>
      <c r="AC1367" s="60">
        <f t="shared" si="153"/>
        <v>0</v>
      </c>
    </row>
    <row r="1368" spans="1:29">
      <c r="A1368" s="83" t="str">
        <f t="shared" si="147"/>
        <v/>
      </c>
      <c r="B1368" s="83" t="str">
        <f t="shared" si="148"/>
        <v/>
      </c>
      <c r="U1368" s="83" t="str">
        <f t="shared" si="149"/>
        <v/>
      </c>
      <c r="V1368" s="83" t="str">
        <f t="shared" si="150"/>
        <v/>
      </c>
      <c r="AA1368" s="60">
        <f t="shared" si="151"/>
        <v>0</v>
      </c>
      <c r="AB1368" s="49">
        <f t="shared" si="152"/>
        <v>0</v>
      </c>
      <c r="AC1368" s="60">
        <f t="shared" si="153"/>
        <v>0</v>
      </c>
    </row>
    <row r="1369" spans="1:29">
      <c r="A1369" s="83" t="str">
        <f t="shared" si="147"/>
        <v/>
      </c>
      <c r="B1369" s="83" t="str">
        <f t="shared" si="148"/>
        <v/>
      </c>
      <c r="U1369" s="83" t="str">
        <f t="shared" si="149"/>
        <v/>
      </c>
      <c r="V1369" s="83" t="str">
        <f t="shared" si="150"/>
        <v/>
      </c>
      <c r="AA1369" s="60">
        <f t="shared" si="151"/>
        <v>0</v>
      </c>
      <c r="AB1369" s="49">
        <f t="shared" si="152"/>
        <v>0</v>
      </c>
      <c r="AC1369" s="60">
        <f t="shared" si="153"/>
        <v>0</v>
      </c>
    </row>
    <row r="1370" spans="1:29">
      <c r="A1370" s="83" t="str">
        <f t="shared" si="147"/>
        <v/>
      </c>
      <c r="B1370" s="83" t="str">
        <f t="shared" si="148"/>
        <v/>
      </c>
      <c r="U1370" s="83" t="str">
        <f t="shared" si="149"/>
        <v/>
      </c>
      <c r="V1370" s="83" t="str">
        <f t="shared" si="150"/>
        <v/>
      </c>
      <c r="AA1370" s="60">
        <f t="shared" si="151"/>
        <v>0</v>
      </c>
      <c r="AB1370" s="49">
        <f t="shared" si="152"/>
        <v>0</v>
      </c>
      <c r="AC1370" s="60">
        <f t="shared" si="153"/>
        <v>0</v>
      </c>
    </row>
    <row r="1371" spans="1:29">
      <c r="A1371" s="83" t="str">
        <f t="shared" si="147"/>
        <v/>
      </c>
      <c r="B1371" s="83" t="str">
        <f t="shared" si="148"/>
        <v/>
      </c>
      <c r="U1371" s="83" t="str">
        <f t="shared" si="149"/>
        <v/>
      </c>
      <c r="V1371" s="83" t="str">
        <f t="shared" si="150"/>
        <v/>
      </c>
      <c r="AA1371" s="60">
        <f t="shared" si="151"/>
        <v>0</v>
      </c>
      <c r="AB1371" s="49">
        <f t="shared" si="152"/>
        <v>0</v>
      </c>
      <c r="AC1371" s="60">
        <f t="shared" si="153"/>
        <v>0</v>
      </c>
    </row>
    <row r="1372" spans="1:29">
      <c r="A1372" s="83" t="str">
        <f t="shared" si="147"/>
        <v/>
      </c>
      <c r="B1372" s="83" t="str">
        <f t="shared" si="148"/>
        <v/>
      </c>
      <c r="U1372" s="83" t="str">
        <f t="shared" si="149"/>
        <v/>
      </c>
      <c r="V1372" s="83" t="str">
        <f t="shared" si="150"/>
        <v/>
      </c>
      <c r="AA1372" s="60">
        <f t="shared" si="151"/>
        <v>0</v>
      </c>
      <c r="AB1372" s="49">
        <f t="shared" si="152"/>
        <v>0</v>
      </c>
      <c r="AC1372" s="60">
        <f t="shared" si="153"/>
        <v>0</v>
      </c>
    </row>
    <row r="1373" spans="1:29">
      <c r="A1373" s="83" t="str">
        <f t="shared" si="147"/>
        <v/>
      </c>
      <c r="B1373" s="83" t="str">
        <f t="shared" si="148"/>
        <v/>
      </c>
      <c r="U1373" s="83" t="str">
        <f t="shared" si="149"/>
        <v/>
      </c>
      <c r="V1373" s="83" t="str">
        <f t="shared" si="150"/>
        <v/>
      </c>
      <c r="AA1373" s="60">
        <f t="shared" si="151"/>
        <v>0</v>
      </c>
      <c r="AB1373" s="49">
        <f t="shared" si="152"/>
        <v>0</v>
      </c>
      <c r="AC1373" s="60">
        <f t="shared" si="153"/>
        <v>0</v>
      </c>
    </row>
    <row r="1374" spans="1:29">
      <c r="A1374" s="83" t="str">
        <f t="shared" si="147"/>
        <v/>
      </c>
      <c r="B1374" s="83" t="str">
        <f t="shared" si="148"/>
        <v/>
      </c>
      <c r="U1374" s="83" t="str">
        <f t="shared" si="149"/>
        <v/>
      </c>
      <c r="V1374" s="83" t="str">
        <f t="shared" si="150"/>
        <v/>
      </c>
      <c r="AA1374" s="60">
        <f t="shared" si="151"/>
        <v>0</v>
      </c>
      <c r="AB1374" s="49">
        <f t="shared" si="152"/>
        <v>0</v>
      </c>
      <c r="AC1374" s="60">
        <f t="shared" si="153"/>
        <v>0</v>
      </c>
    </row>
    <row r="1375" spans="1:29">
      <c r="A1375" s="83" t="str">
        <f t="shared" si="147"/>
        <v/>
      </c>
      <c r="B1375" s="83" t="str">
        <f t="shared" si="148"/>
        <v/>
      </c>
      <c r="U1375" s="83" t="str">
        <f t="shared" si="149"/>
        <v/>
      </c>
      <c r="V1375" s="83" t="str">
        <f t="shared" si="150"/>
        <v/>
      </c>
      <c r="AA1375" s="60">
        <f t="shared" si="151"/>
        <v>0</v>
      </c>
      <c r="AB1375" s="49">
        <f t="shared" si="152"/>
        <v>0</v>
      </c>
      <c r="AC1375" s="60">
        <f t="shared" si="153"/>
        <v>0</v>
      </c>
    </row>
    <row r="1376" spans="1:29">
      <c r="A1376" s="83" t="str">
        <f t="shared" si="147"/>
        <v/>
      </c>
      <c r="B1376" s="83" t="str">
        <f t="shared" si="148"/>
        <v/>
      </c>
      <c r="U1376" s="83" t="str">
        <f t="shared" si="149"/>
        <v/>
      </c>
      <c r="V1376" s="83" t="str">
        <f t="shared" si="150"/>
        <v/>
      </c>
      <c r="AA1376" s="60">
        <f t="shared" si="151"/>
        <v>0</v>
      </c>
      <c r="AB1376" s="49">
        <f t="shared" si="152"/>
        <v>0</v>
      </c>
      <c r="AC1376" s="60">
        <f t="shared" si="153"/>
        <v>0</v>
      </c>
    </row>
    <row r="1377" spans="1:29">
      <c r="A1377" s="83" t="str">
        <f t="shared" si="147"/>
        <v/>
      </c>
      <c r="B1377" s="83" t="str">
        <f t="shared" si="148"/>
        <v/>
      </c>
      <c r="U1377" s="83" t="str">
        <f t="shared" si="149"/>
        <v/>
      </c>
      <c r="V1377" s="83" t="str">
        <f t="shared" si="150"/>
        <v/>
      </c>
      <c r="AA1377" s="60">
        <f t="shared" si="151"/>
        <v>0</v>
      </c>
      <c r="AB1377" s="49">
        <f t="shared" si="152"/>
        <v>0</v>
      </c>
      <c r="AC1377" s="60">
        <f t="shared" si="153"/>
        <v>0</v>
      </c>
    </row>
    <row r="1378" spans="1:29">
      <c r="A1378" s="83" t="str">
        <f t="shared" si="147"/>
        <v/>
      </c>
      <c r="B1378" s="83" t="str">
        <f t="shared" si="148"/>
        <v/>
      </c>
      <c r="U1378" s="83" t="str">
        <f t="shared" si="149"/>
        <v/>
      </c>
      <c r="V1378" s="83" t="str">
        <f t="shared" si="150"/>
        <v/>
      </c>
      <c r="AA1378" s="60">
        <f t="shared" si="151"/>
        <v>0</v>
      </c>
      <c r="AB1378" s="49">
        <f t="shared" si="152"/>
        <v>0</v>
      </c>
      <c r="AC1378" s="60">
        <f t="shared" si="153"/>
        <v>0</v>
      </c>
    </row>
    <row r="1379" spans="1:29">
      <c r="A1379" s="83" t="str">
        <f t="shared" si="147"/>
        <v/>
      </c>
      <c r="B1379" s="83" t="str">
        <f t="shared" si="148"/>
        <v/>
      </c>
      <c r="U1379" s="83" t="str">
        <f t="shared" si="149"/>
        <v/>
      </c>
      <c r="V1379" s="83" t="str">
        <f t="shared" si="150"/>
        <v/>
      </c>
      <c r="AA1379" s="60">
        <f t="shared" si="151"/>
        <v>0</v>
      </c>
      <c r="AB1379" s="49">
        <f t="shared" si="152"/>
        <v>0</v>
      </c>
      <c r="AC1379" s="60">
        <f t="shared" si="153"/>
        <v>0</v>
      </c>
    </row>
    <row r="1380" spans="1:29">
      <c r="A1380" s="83" t="str">
        <f t="shared" si="147"/>
        <v/>
      </c>
      <c r="B1380" s="83" t="str">
        <f t="shared" si="148"/>
        <v/>
      </c>
      <c r="U1380" s="83" t="str">
        <f t="shared" si="149"/>
        <v/>
      </c>
      <c r="V1380" s="83" t="str">
        <f t="shared" si="150"/>
        <v/>
      </c>
      <c r="AA1380" s="60">
        <f t="shared" si="151"/>
        <v>0</v>
      </c>
      <c r="AB1380" s="49">
        <f t="shared" si="152"/>
        <v>0</v>
      </c>
      <c r="AC1380" s="60">
        <f t="shared" si="153"/>
        <v>0</v>
      </c>
    </row>
    <row r="1381" spans="1:29">
      <c r="A1381" s="83" t="str">
        <f t="shared" si="147"/>
        <v/>
      </c>
      <c r="B1381" s="83" t="str">
        <f t="shared" si="148"/>
        <v/>
      </c>
      <c r="U1381" s="83" t="str">
        <f t="shared" si="149"/>
        <v/>
      </c>
      <c r="V1381" s="83" t="str">
        <f t="shared" si="150"/>
        <v/>
      </c>
      <c r="AA1381" s="60">
        <f t="shared" si="151"/>
        <v>0</v>
      </c>
      <c r="AB1381" s="49">
        <f t="shared" si="152"/>
        <v>0</v>
      </c>
      <c r="AC1381" s="60">
        <f t="shared" si="153"/>
        <v>0</v>
      </c>
    </row>
    <row r="1382" spans="1:29">
      <c r="A1382" s="83" t="str">
        <f t="shared" si="147"/>
        <v/>
      </c>
      <c r="B1382" s="83" t="str">
        <f t="shared" si="148"/>
        <v/>
      </c>
      <c r="U1382" s="83" t="str">
        <f t="shared" si="149"/>
        <v/>
      </c>
      <c r="V1382" s="83" t="str">
        <f t="shared" si="150"/>
        <v/>
      </c>
      <c r="AA1382" s="60">
        <f t="shared" si="151"/>
        <v>0</v>
      </c>
      <c r="AB1382" s="49">
        <f t="shared" si="152"/>
        <v>0</v>
      </c>
      <c r="AC1382" s="60">
        <f t="shared" si="153"/>
        <v>0</v>
      </c>
    </row>
    <row r="1383" spans="1:29">
      <c r="A1383" s="83" t="str">
        <f t="shared" si="147"/>
        <v/>
      </c>
      <c r="B1383" s="83" t="str">
        <f t="shared" si="148"/>
        <v/>
      </c>
      <c r="U1383" s="83" t="str">
        <f t="shared" si="149"/>
        <v/>
      </c>
      <c r="V1383" s="83" t="str">
        <f t="shared" si="150"/>
        <v/>
      </c>
      <c r="AA1383" s="60">
        <f t="shared" si="151"/>
        <v>0</v>
      </c>
      <c r="AB1383" s="49">
        <f t="shared" si="152"/>
        <v>0</v>
      </c>
      <c r="AC1383" s="60">
        <f t="shared" si="153"/>
        <v>0</v>
      </c>
    </row>
    <row r="1384" spans="1:29">
      <c r="A1384" s="83" t="str">
        <f t="shared" si="147"/>
        <v/>
      </c>
      <c r="B1384" s="83" t="str">
        <f t="shared" si="148"/>
        <v/>
      </c>
      <c r="U1384" s="83" t="str">
        <f t="shared" si="149"/>
        <v/>
      </c>
      <c r="V1384" s="83" t="str">
        <f t="shared" si="150"/>
        <v/>
      </c>
      <c r="AA1384" s="60">
        <f t="shared" si="151"/>
        <v>0</v>
      </c>
      <c r="AB1384" s="49">
        <f t="shared" si="152"/>
        <v>0</v>
      </c>
      <c r="AC1384" s="60">
        <f t="shared" si="153"/>
        <v>0</v>
      </c>
    </row>
    <row r="1385" spans="1:29">
      <c r="A1385" s="83" t="str">
        <f t="shared" si="147"/>
        <v/>
      </c>
      <c r="B1385" s="83" t="str">
        <f t="shared" si="148"/>
        <v/>
      </c>
      <c r="U1385" s="83" t="str">
        <f t="shared" si="149"/>
        <v/>
      </c>
      <c r="V1385" s="83" t="str">
        <f t="shared" si="150"/>
        <v/>
      </c>
      <c r="AA1385" s="60">
        <f t="shared" si="151"/>
        <v>0</v>
      </c>
      <c r="AB1385" s="49">
        <f t="shared" si="152"/>
        <v>0</v>
      </c>
      <c r="AC1385" s="60">
        <f t="shared" si="153"/>
        <v>0</v>
      </c>
    </row>
    <row r="1386" spans="1:29">
      <c r="A1386" s="83" t="str">
        <f t="shared" si="147"/>
        <v/>
      </c>
      <c r="B1386" s="83" t="str">
        <f t="shared" si="148"/>
        <v/>
      </c>
      <c r="U1386" s="83" t="str">
        <f t="shared" si="149"/>
        <v/>
      </c>
      <c r="V1386" s="83" t="str">
        <f t="shared" si="150"/>
        <v/>
      </c>
      <c r="AA1386" s="60">
        <f t="shared" si="151"/>
        <v>0</v>
      </c>
      <c r="AB1386" s="49">
        <f t="shared" si="152"/>
        <v>0</v>
      </c>
      <c r="AC1386" s="60">
        <f t="shared" si="153"/>
        <v>0</v>
      </c>
    </row>
    <row r="1387" spans="1:29">
      <c r="A1387" s="83" t="str">
        <f t="shared" si="147"/>
        <v/>
      </c>
      <c r="B1387" s="83" t="str">
        <f t="shared" si="148"/>
        <v/>
      </c>
      <c r="U1387" s="83" t="str">
        <f t="shared" si="149"/>
        <v/>
      </c>
      <c r="V1387" s="83" t="str">
        <f t="shared" si="150"/>
        <v/>
      </c>
      <c r="AA1387" s="60">
        <f t="shared" si="151"/>
        <v>0</v>
      </c>
      <c r="AB1387" s="49">
        <f t="shared" si="152"/>
        <v>0</v>
      </c>
      <c r="AC1387" s="60">
        <f t="shared" si="153"/>
        <v>0</v>
      </c>
    </row>
    <row r="1388" spans="1:29">
      <c r="A1388" s="83" t="str">
        <f t="shared" si="147"/>
        <v/>
      </c>
      <c r="B1388" s="83" t="str">
        <f t="shared" si="148"/>
        <v/>
      </c>
      <c r="U1388" s="83" t="str">
        <f t="shared" si="149"/>
        <v/>
      </c>
      <c r="V1388" s="83" t="str">
        <f t="shared" si="150"/>
        <v/>
      </c>
      <c r="AA1388" s="60">
        <f t="shared" si="151"/>
        <v>0</v>
      </c>
      <c r="AB1388" s="49">
        <f t="shared" si="152"/>
        <v>0</v>
      </c>
      <c r="AC1388" s="60">
        <f t="shared" si="153"/>
        <v>0</v>
      </c>
    </row>
    <row r="1389" spans="1:29">
      <c r="A1389" s="83" t="str">
        <f t="shared" si="147"/>
        <v/>
      </c>
      <c r="B1389" s="83" t="str">
        <f t="shared" si="148"/>
        <v/>
      </c>
      <c r="U1389" s="83" t="str">
        <f t="shared" si="149"/>
        <v/>
      </c>
      <c r="V1389" s="83" t="str">
        <f t="shared" si="150"/>
        <v/>
      </c>
      <c r="AA1389" s="60">
        <f t="shared" si="151"/>
        <v>0</v>
      </c>
      <c r="AB1389" s="49">
        <f t="shared" si="152"/>
        <v>0</v>
      </c>
      <c r="AC1389" s="60">
        <f t="shared" si="153"/>
        <v>0</v>
      </c>
    </row>
    <row r="1390" spans="1:29">
      <c r="A1390" s="83" t="str">
        <f t="shared" si="147"/>
        <v/>
      </c>
      <c r="B1390" s="83" t="str">
        <f t="shared" si="148"/>
        <v/>
      </c>
      <c r="U1390" s="83" t="str">
        <f t="shared" si="149"/>
        <v/>
      </c>
      <c r="V1390" s="83" t="str">
        <f t="shared" si="150"/>
        <v/>
      </c>
      <c r="AA1390" s="60">
        <f t="shared" si="151"/>
        <v>0</v>
      </c>
      <c r="AB1390" s="49">
        <f t="shared" si="152"/>
        <v>0</v>
      </c>
      <c r="AC1390" s="60">
        <f t="shared" si="153"/>
        <v>0</v>
      </c>
    </row>
    <row r="1391" spans="1:29">
      <c r="A1391" s="83" t="str">
        <f t="shared" si="147"/>
        <v/>
      </c>
      <c r="B1391" s="83" t="str">
        <f t="shared" si="148"/>
        <v/>
      </c>
      <c r="U1391" s="83" t="str">
        <f t="shared" si="149"/>
        <v/>
      </c>
      <c r="V1391" s="83" t="str">
        <f t="shared" si="150"/>
        <v/>
      </c>
      <c r="AA1391" s="60">
        <f t="shared" si="151"/>
        <v>0</v>
      </c>
      <c r="AB1391" s="49">
        <f t="shared" si="152"/>
        <v>0</v>
      </c>
      <c r="AC1391" s="60">
        <f t="shared" si="153"/>
        <v>0</v>
      </c>
    </row>
    <row r="1392" spans="1:29">
      <c r="A1392" s="83" t="str">
        <f t="shared" si="147"/>
        <v/>
      </c>
      <c r="B1392" s="83" t="str">
        <f t="shared" si="148"/>
        <v/>
      </c>
      <c r="U1392" s="83" t="str">
        <f t="shared" si="149"/>
        <v/>
      </c>
      <c r="V1392" s="83" t="str">
        <f t="shared" si="150"/>
        <v/>
      </c>
      <c r="AA1392" s="60">
        <f t="shared" si="151"/>
        <v>0</v>
      </c>
      <c r="AB1392" s="49">
        <f t="shared" si="152"/>
        <v>0</v>
      </c>
      <c r="AC1392" s="60">
        <f t="shared" si="153"/>
        <v>0</v>
      </c>
    </row>
    <row r="1393" spans="1:29">
      <c r="A1393" s="83" t="str">
        <f t="shared" si="147"/>
        <v/>
      </c>
      <c r="B1393" s="83" t="str">
        <f t="shared" si="148"/>
        <v/>
      </c>
      <c r="U1393" s="83" t="str">
        <f t="shared" si="149"/>
        <v/>
      </c>
      <c r="V1393" s="83" t="str">
        <f t="shared" si="150"/>
        <v/>
      </c>
      <c r="AA1393" s="60">
        <f t="shared" si="151"/>
        <v>0</v>
      </c>
      <c r="AB1393" s="49">
        <f t="shared" si="152"/>
        <v>0</v>
      </c>
      <c r="AC1393" s="60">
        <f t="shared" si="153"/>
        <v>0</v>
      </c>
    </row>
    <row r="1394" spans="1:29">
      <c r="A1394" s="83" t="str">
        <f t="shared" si="147"/>
        <v/>
      </c>
      <c r="B1394" s="83" t="str">
        <f t="shared" si="148"/>
        <v/>
      </c>
      <c r="U1394" s="83" t="str">
        <f t="shared" si="149"/>
        <v/>
      </c>
      <c r="V1394" s="83" t="str">
        <f t="shared" si="150"/>
        <v/>
      </c>
      <c r="AA1394" s="60">
        <f t="shared" si="151"/>
        <v>0</v>
      </c>
      <c r="AB1394" s="49">
        <f t="shared" si="152"/>
        <v>0</v>
      </c>
      <c r="AC1394" s="60">
        <f t="shared" si="153"/>
        <v>0</v>
      </c>
    </row>
    <row r="1395" spans="1:29">
      <c r="A1395" s="83" t="str">
        <f t="shared" si="147"/>
        <v/>
      </c>
      <c r="B1395" s="83" t="str">
        <f t="shared" si="148"/>
        <v/>
      </c>
      <c r="U1395" s="83" t="str">
        <f t="shared" si="149"/>
        <v/>
      </c>
      <c r="V1395" s="83" t="str">
        <f t="shared" si="150"/>
        <v/>
      </c>
      <c r="AA1395" s="60">
        <f t="shared" si="151"/>
        <v>0</v>
      </c>
      <c r="AB1395" s="49">
        <f t="shared" si="152"/>
        <v>0</v>
      </c>
      <c r="AC1395" s="60">
        <f t="shared" si="153"/>
        <v>0</v>
      </c>
    </row>
    <row r="1396" spans="1:29">
      <c r="A1396" s="83" t="str">
        <f t="shared" si="147"/>
        <v/>
      </c>
      <c r="B1396" s="83" t="str">
        <f t="shared" si="148"/>
        <v/>
      </c>
      <c r="U1396" s="83" t="str">
        <f t="shared" si="149"/>
        <v/>
      </c>
      <c r="V1396" s="83" t="str">
        <f t="shared" si="150"/>
        <v/>
      </c>
      <c r="AA1396" s="60">
        <f t="shared" si="151"/>
        <v>0</v>
      </c>
      <c r="AB1396" s="49">
        <f t="shared" si="152"/>
        <v>0</v>
      </c>
      <c r="AC1396" s="60">
        <f t="shared" si="153"/>
        <v>0</v>
      </c>
    </row>
    <row r="1397" spans="1:29">
      <c r="A1397" s="83" t="str">
        <f t="shared" si="147"/>
        <v/>
      </c>
      <c r="B1397" s="83" t="str">
        <f t="shared" si="148"/>
        <v/>
      </c>
      <c r="U1397" s="83" t="str">
        <f t="shared" si="149"/>
        <v/>
      </c>
      <c r="V1397" s="83" t="str">
        <f t="shared" si="150"/>
        <v/>
      </c>
      <c r="AA1397" s="60">
        <f t="shared" si="151"/>
        <v>0</v>
      </c>
      <c r="AB1397" s="49">
        <f t="shared" si="152"/>
        <v>0</v>
      </c>
      <c r="AC1397" s="60">
        <f t="shared" si="153"/>
        <v>0</v>
      </c>
    </row>
    <row r="1398" spans="1:29">
      <c r="A1398" s="83" t="str">
        <f t="shared" si="147"/>
        <v/>
      </c>
      <c r="B1398" s="83" t="str">
        <f t="shared" si="148"/>
        <v/>
      </c>
      <c r="U1398" s="83" t="str">
        <f t="shared" si="149"/>
        <v/>
      </c>
      <c r="V1398" s="83" t="str">
        <f t="shared" si="150"/>
        <v/>
      </c>
      <c r="AA1398" s="60">
        <f t="shared" si="151"/>
        <v>0</v>
      </c>
      <c r="AB1398" s="49">
        <f t="shared" si="152"/>
        <v>0</v>
      </c>
      <c r="AC1398" s="60">
        <f t="shared" si="153"/>
        <v>0</v>
      </c>
    </row>
    <row r="1399" spans="1:29">
      <c r="A1399" s="83" t="str">
        <f t="shared" si="147"/>
        <v/>
      </c>
      <c r="B1399" s="83" t="str">
        <f t="shared" si="148"/>
        <v/>
      </c>
      <c r="U1399" s="83" t="str">
        <f t="shared" si="149"/>
        <v/>
      </c>
      <c r="V1399" s="83" t="str">
        <f t="shared" si="150"/>
        <v/>
      </c>
      <c r="AA1399" s="60">
        <f t="shared" si="151"/>
        <v>0</v>
      </c>
      <c r="AB1399" s="49">
        <f t="shared" si="152"/>
        <v>0</v>
      </c>
      <c r="AC1399" s="60">
        <f t="shared" si="153"/>
        <v>0</v>
      </c>
    </row>
    <row r="1400" spans="1:29">
      <c r="A1400" s="83" t="str">
        <f t="shared" si="147"/>
        <v/>
      </c>
      <c r="B1400" s="83" t="str">
        <f t="shared" si="148"/>
        <v/>
      </c>
      <c r="U1400" s="83" t="str">
        <f t="shared" si="149"/>
        <v/>
      </c>
      <c r="V1400" s="83" t="str">
        <f t="shared" si="150"/>
        <v/>
      </c>
      <c r="AA1400" s="60">
        <f t="shared" si="151"/>
        <v>0</v>
      </c>
      <c r="AB1400" s="49">
        <f t="shared" si="152"/>
        <v>0</v>
      </c>
      <c r="AC1400" s="60">
        <f t="shared" si="153"/>
        <v>0</v>
      </c>
    </row>
    <row r="1401" spans="1:29">
      <c r="A1401" s="83" t="str">
        <f t="shared" si="147"/>
        <v/>
      </c>
      <c r="B1401" s="83" t="str">
        <f t="shared" si="148"/>
        <v/>
      </c>
      <c r="U1401" s="83" t="str">
        <f t="shared" si="149"/>
        <v/>
      </c>
      <c r="V1401" s="83" t="str">
        <f t="shared" si="150"/>
        <v/>
      </c>
      <c r="AA1401" s="60">
        <f t="shared" si="151"/>
        <v>0</v>
      </c>
      <c r="AB1401" s="49">
        <f t="shared" si="152"/>
        <v>0</v>
      </c>
      <c r="AC1401" s="60">
        <f t="shared" si="153"/>
        <v>0</v>
      </c>
    </row>
    <row r="1402" spans="1:29">
      <c r="A1402" s="83" t="str">
        <f t="shared" si="147"/>
        <v/>
      </c>
      <c r="B1402" s="83" t="str">
        <f t="shared" si="148"/>
        <v/>
      </c>
      <c r="U1402" s="83" t="str">
        <f t="shared" si="149"/>
        <v/>
      </c>
      <c r="V1402" s="83" t="str">
        <f t="shared" si="150"/>
        <v/>
      </c>
      <c r="AA1402" s="60">
        <f t="shared" si="151"/>
        <v>0</v>
      </c>
      <c r="AB1402" s="49">
        <f t="shared" si="152"/>
        <v>0</v>
      </c>
      <c r="AC1402" s="60">
        <f t="shared" si="153"/>
        <v>0</v>
      </c>
    </row>
    <row r="1403" spans="1:29">
      <c r="A1403" s="83" t="str">
        <f t="shared" si="147"/>
        <v/>
      </c>
      <c r="B1403" s="83" t="str">
        <f t="shared" si="148"/>
        <v/>
      </c>
      <c r="U1403" s="83" t="str">
        <f t="shared" si="149"/>
        <v/>
      </c>
      <c r="V1403" s="83" t="str">
        <f t="shared" si="150"/>
        <v/>
      </c>
      <c r="AA1403" s="60">
        <f t="shared" si="151"/>
        <v>0</v>
      </c>
      <c r="AB1403" s="49">
        <f t="shared" si="152"/>
        <v>0</v>
      </c>
      <c r="AC1403" s="60">
        <f t="shared" si="153"/>
        <v>0</v>
      </c>
    </row>
    <row r="1404" spans="1:29">
      <c r="A1404" s="83" t="str">
        <f t="shared" si="147"/>
        <v/>
      </c>
      <c r="B1404" s="83" t="str">
        <f t="shared" si="148"/>
        <v/>
      </c>
      <c r="U1404" s="83" t="str">
        <f t="shared" si="149"/>
        <v/>
      </c>
      <c r="V1404" s="83" t="str">
        <f t="shared" si="150"/>
        <v/>
      </c>
      <c r="AA1404" s="60">
        <f t="shared" si="151"/>
        <v>0</v>
      </c>
      <c r="AB1404" s="49">
        <f t="shared" si="152"/>
        <v>0</v>
      </c>
      <c r="AC1404" s="60">
        <f t="shared" si="153"/>
        <v>0</v>
      </c>
    </row>
    <row r="1405" spans="1:29">
      <c r="A1405" s="83" t="str">
        <f t="shared" si="147"/>
        <v/>
      </c>
      <c r="B1405" s="83" t="str">
        <f t="shared" si="148"/>
        <v/>
      </c>
      <c r="U1405" s="83" t="str">
        <f t="shared" si="149"/>
        <v/>
      </c>
      <c r="V1405" s="83" t="str">
        <f t="shared" si="150"/>
        <v/>
      </c>
      <c r="AA1405" s="60">
        <f t="shared" si="151"/>
        <v>0</v>
      </c>
      <c r="AB1405" s="49">
        <f t="shared" si="152"/>
        <v>0</v>
      </c>
      <c r="AC1405" s="60">
        <f t="shared" si="153"/>
        <v>0</v>
      </c>
    </row>
    <row r="1406" spans="1:29">
      <c r="A1406" s="83" t="str">
        <f t="shared" si="147"/>
        <v/>
      </c>
      <c r="B1406" s="83" t="str">
        <f t="shared" si="148"/>
        <v/>
      </c>
      <c r="U1406" s="83" t="str">
        <f t="shared" si="149"/>
        <v/>
      </c>
      <c r="V1406" s="83" t="str">
        <f t="shared" si="150"/>
        <v/>
      </c>
      <c r="AA1406" s="60">
        <f t="shared" si="151"/>
        <v>0</v>
      </c>
      <c r="AB1406" s="49">
        <f t="shared" si="152"/>
        <v>0</v>
      </c>
      <c r="AC1406" s="60">
        <f t="shared" si="153"/>
        <v>0</v>
      </c>
    </row>
    <row r="1407" spans="1:29">
      <c r="A1407" s="83" t="str">
        <f t="shared" si="147"/>
        <v/>
      </c>
      <c r="B1407" s="83" t="str">
        <f t="shared" si="148"/>
        <v/>
      </c>
      <c r="U1407" s="83" t="str">
        <f t="shared" si="149"/>
        <v/>
      </c>
      <c r="V1407" s="83" t="str">
        <f t="shared" si="150"/>
        <v/>
      </c>
      <c r="AA1407" s="60">
        <f t="shared" si="151"/>
        <v>0</v>
      </c>
      <c r="AB1407" s="49">
        <f t="shared" si="152"/>
        <v>0</v>
      </c>
      <c r="AC1407" s="60">
        <f t="shared" si="153"/>
        <v>0</v>
      </c>
    </row>
    <row r="1408" spans="1:29">
      <c r="A1408" s="83" t="str">
        <f t="shared" si="147"/>
        <v/>
      </c>
      <c r="B1408" s="83" t="str">
        <f t="shared" si="148"/>
        <v/>
      </c>
      <c r="U1408" s="83" t="str">
        <f t="shared" si="149"/>
        <v/>
      </c>
      <c r="V1408" s="83" t="str">
        <f t="shared" si="150"/>
        <v/>
      </c>
      <c r="AA1408" s="60">
        <f t="shared" si="151"/>
        <v>0</v>
      </c>
      <c r="AB1408" s="49">
        <f t="shared" si="152"/>
        <v>0</v>
      </c>
      <c r="AC1408" s="60">
        <f t="shared" si="153"/>
        <v>0</v>
      </c>
    </row>
    <row r="1409" spans="1:29">
      <c r="A1409" s="83" t="str">
        <f t="shared" si="147"/>
        <v/>
      </c>
      <c r="B1409" s="83" t="str">
        <f t="shared" si="148"/>
        <v/>
      </c>
      <c r="U1409" s="83" t="str">
        <f t="shared" si="149"/>
        <v/>
      </c>
      <c r="V1409" s="83" t="str">
        <f t="shared" si="150"/>
        <v/>
      </c>
      <c r="AA1409" s="60">
        <f t="shared" si="151"/>
        <v>0</v>
      </c>
      <c r="AB1409" s="49">
        <f t="shared" si="152"/>
        <v>0</v>
      </c>
      <c r="AC1409" s="60">
        <f t="shared" si="153"/>
        <v>0</v>
      </c>
    </row>
    <row r="1410" spans="1:29">
      <c r="A1410" s="83" t="str">
        <f t="shared" si="147"/>
        <v/>
      </c>
      <c r="B1410" s="83" t="str">
        <f t="shared" si="148"/>
        <v/>
      </c>
      <c r="U1410" s="83" t="str">
        <f t="shared" si="149"/>
        <v/>
      </c>
      <c r="V1410" s="83" t="str">
        <f t="shared" si="150"/>
        <v/>
      </c>
      <c r="AA1410" s="60">
        <f t="shared" si="151"/>
        <v>0</v>
      </c>
      <c r="AB1410" s="49">
        <f t="shared" si="152"/>
        <v>0</v>
      </c>
      <c r="AC1410" s="60">
        <f t="shared" si="153"/>
        <v>0</v>
      </c>
    </row>
    <row r="1411" spans="1:29">
      <c r="A1411" s="83" t="str">
        <f t="shared" ref="A1411:A1474" si="154">IF(G1411&amp;Q1411&lt;&gt;"",U1411&amp;Q1411,"")</f>
        <v/>
      </c>
      <c r="B1411" s="83" t="str">
        <f t="shared" ref="B1411:B1474" si="155">IF(C1411&lt;&gt;"",LEFT(C1411,9),"")</f>
        <v/>
      </c>
      <c r="U1411" s="83" t="str">
        <f t="shared" ref="U1411:U1474" si="156">IF(G1411&lt;&gt;"",IF(StyleSpaceSplit,IFERROR(IF(FIND(" ",G1411)&gt;=1,MID(G1411,1,FIND(" ",G1411)-1),G1411),G1411),G1411),"")</f>
        <v/>
      </c>
      <c r="V1411" s="83" t="str">
        <f t="shared" ref="V1411:V1474" si="157">IF(A1411&lt;&gt;"",IFERROR(IF(FIND(" ",G1411)&gt;=1,MID(G1411,FIND(" ",G1411)+1,LEN(G1411)),""),G1411),"")</f>
        <v/>
      </c>
      <c r="AA1411" s="60">
        <f t="shared" ref="AA1411:AA1474" si="158">IFERROR(VALUE(MID($C1411,1,2)),0)</f>
        <v>0</v>
      </c>
      <c r="AB1411" s="49">
        <f t="shared" ref="AB1411:AB1474" si="159">IFERROR(VALUE(MID($C1411,4,3)),0)</f>
        <v>0</v>
      </c>
      <c r="AC1411" s="60">
        <f t="shared" ref="AC1411:AC1474" si="160">VALUE(RIGHT("00"&amp;AA1411,2)&amp;RIGHT("000"&amp;AB1411,3))</f>
        <v>0</v>
      </c>
    </row>
    <row r="1412" spans="1:29">
      <c r="A1412" s="83" t="str">
        <f t="shared" si="154"/>
        <v/>
      </c>
      <c r="B1412" s="83" t="str">
        <f t="shared" si="155"/>
        <v/>
      </c>
      <c r="U1412" s="83" t="str">
        <f t="shared" si="156"/>
        <v/>
      </c>
      <c r="V1412" s="83" t="str">
        <f t="shared" si="157"/>
        <v/>
      </c>
      <c r="AA1412" s="60">
        <f t="shared" si="158"/>
        <v>0</v>
      </c>
      <c r="AB1412" s="49">
        <f t="shared" si="159"/>
        <v>0</v>
      </c>
      <c r="AC1412" s="60">
        <f t="shared" si="160"/>
        <v>0</v>
      </c>
    </row>
    <row r="1413" spans="1:29">
      <c r="A1413" s="83" t="str">
        <f t="shared" si="154"/>
        <v/>
      </c>
      <c r="B1413" s="83" t="str">
        <f t="shared" si="155"/>
        <v/>
      </c>
      <c r="U1413" s="83" t="str">
        <f t="shared" si="156"/>
        <v/>
      </c>
      <c r="V1413" s="83" t="str">
        <f t="shared" si="157"/>
        <v/>
      </c>
      <c r="AA1413" s="60">
        <f t="shared" si="158"/>
        <v>0</v>
      </c>
      <c r="AB1413" s="49">
        <f t="shared" si="159"/>
        <v>0</v>
      </c>
      <c r="AC1413" s="60">
        <f t="shared" si="160"/>
        <v>0</v>
      </c>
    </row>
    <row r="1414" spans="1:29">
      <c r="A1414" s="83" t="str">
        <f t="shared" si="154"/>
        <v/>
      </c>
      <c r="B1414" s="83" t="str">
        <f t="shared" si="155"/>
        <v/>
      </c>
      <c r="U1414" s="83" t="str">
        <f t="shared" si="156"/>
        <v/>
      </c>
      <c r="V1414" s="83" t="str">
        <f t="shared" si="157"/>
        <v/>
      </c>
      <c r="AA1414" s="60">
        <f t="shared" si="158"/>
        <v>0</v>
      </c>
      <c r="AB1414" s="49">
        <f t="shared" si="159"/>
        <v>0</v>
      </c>
      <c r="AC1414" s="60">
        <f t="shared" si="160"/>
        <v>0</v>
      </c>
    </row>
    <row r="1415" spans="1:29">
      <c r="A1415" s="83" t="str">
        <f t="shared" si="154"/>
        <v/>
      </c>
      <c r="B1415" s="83" t="str">
        <f t="shared" si="155"/>
        <v/>
      </c>
      <c r="U1415" s="83" t="str">
        <f t="shared" si="156"/>
        <v/>
      </c>
      <c r="V1415" s="83" t="str">
        <f t="shared" si="157"/>
        <v/>
      </c>
      <c r="AA1415" s="60">
        <f t="shared" si="158"/>
        <v>0</v>
      </c>
      <c r="AB1415" s="49">
        <f t="shared" si="159"/>
        <v>0</v>
      </c>
      <c r="AC1415" s="60">
        <f t="shared" si="160"/>
        <v>0</v>
      </c>
    </row>
    <row r="1416" spans="1:29">
      <c r="A1416" s="83" t="str">
        <f t="shared" si="154"/>
        <v/>
      </c>
      <c r="B1416" s="83" t="str">
        <f t="shared" si="155"/>
        <v/>
      </c>
      <c r="U1416" s="83" t="str">
        <f t="shared" si="156"/>
        <v/>
      </c>
      <c r="V1416" s="83" t="str">
        <f t="shared" si="157"/>
        <v/>
      </c>
      <c r="AA1416" s="60">
        <f t="shared" si="158"/>
        <v>0</v>
      </c>
      <c r="AB1416" s="49">
        <f t="shared" si="159"/>
        <v>0</v>
      </c>
      <c r="AC1416" s="60">
        <f t="shared" si="160"/>
        <v>0</v>
      </c>
    </row>
    <row r="1417" spans="1:29">
      <c r="A1417" s="83" t="str">
        <f t="shared" si="154"/>
        <v/>
      </c>
      <c r="B1417" s="83" t="str">
        <f t="shared" si="155"/>
        <v/>
      </c>
      <c r="U1417" s="83" t="str">
        <f t="shared" si="156"/>
        <v/>
      </c>
      <c r="V1417" s="83" t="str">
        <f t="shared" si="157"/>
        <v/>
      </c>
      <c r="AA1417" s="60">
        <f t="shared" si="158"/>
        <v>0</v>
      </c>
      <c r="AB1417" s="49">
        <f t="shared" si="159"/>
        <v>0</v>
      </c>
      <c r="AC1417" s="60">
        <f t="shared" si="160"/>
        <v>0</v>
      </c>
    </row>
    <row r="1418" spans="1:29">
      <c r="A1418" s="83" t="str">
        <f t="shared" si="154"/>
        <v/>
      </c>
      <c r="B1418" s="83" t="str">
        <f t="shared" si="155"/>
        <v/>
      </c>
      <c r="U1418" s="83" t="str">
        <f t="shared" si="156"/>
        <v/>
      </c>
      <c r="V1418" s="83" t="str">
        <f t="shared" si="157"/>
        <v/>
      </c>
      <c r="AA1418" s="60">
        <f t="shared" si="158"/>
        <v>0</v>
      </c>
      <c r="AB1418" s="49">
        <f t="shared" si="159"/>
        <v>0</v>
      </c>
      <c r="AC1418" s="60">
        <f t="shared" si="160"/>
        <v>0</v>
      </c>
    </row>
    <row r="1419" spans="1:29">
      <c r="A1419" s="83" t="str">
        <f t="shared" si="154"/>
        <v/>
      </c>
      <c r="B1419" s="83" t="str">
        <f t="shared" si="155"/>
        <v/>
      </c>
      <c r="U1419" s="83" t="str">
        <f t="shared" si="156"/>
        <v/>
      </c>
      <c r="V1419" s="83" t="str">
        <f t="shared" si="157"/>
        <v/>
      </c>
      <c r="AA1419" s="60">
        <f t="shared" si="158"/>
        <v>0</v>
      </c>
      <c r="AB1419" s="49">
        <f t="shared" si="159"/>
        <v>0</v>
      </c>
      <c r="AC1419" s="60">
        <f t="shared" si="160"/>
        <v>0</v>
      </c>
    </row>
    <row r="1420" spans="1:29">
      <c r="A1420" s="83" t="str">
        <f t="shared" si="154"/>
        <v/>
      </c>
      <c r="B1420" s="83" t="str">
        <f t="shared" si="155"/>
        <v/>
      </c>
      <c r="U1420" s="83" t="str">
        <f t="shared" si="156"/>
        <v/>
      </c>
      <c r="V1420" s="83" t="str">
        <f t="shared" si="157"/>
        <v/>
      </c>
      <c r="AA1420" s="60">
        <f t="shared" si="158"/>
        <v>0</v>
      </c>
      <c r="AB1420" s="49">
        <f t="shared" si="159"/>
        <v>0</v>
      </c>
      <c r="AC1420" s="60">
        <f t="shared" si="160"/>
        <v>0</v>
      </c>
    </row>
    <row r="1421" spans="1:29">
      <c r="A1421" s="83" t="str">
        <f t="shared" si="154"/>
        <v/>
      </c>
      <c r="B1421" s="83" t="str">
        <f t="shared" si="155"/>
        <v/>
      </c>
      <c r="U1421" s="83" t="str">
        <f t="shared" si="156"/>
        <v/>
      </c>
      <c r="V1421" s="83" t="str">
        <f t="shared" si="157"/>
        <v/>
      </c>
      <c r="AA1421" s="60">
        <f t="shared" si="158"/>
        <v>0</v>
      </c>
      <c r="AB1421" s="49">
        <f t="shared" si="159"/>
        <v>0</v>
      </c>
      <c r="AC1421" s="60">
        <f t="shared" si="160"/>
        <v>0</v>
      </c>
    </row>
    <row r="1422" spans="1:29">
      <c r="A1422" s="83" t="str">
        <f t="shared" si="154"/>
        <v/>
      </c>
      <c r="B1422" s="83" t="str">
        <f t="shared" si="155"/>
        <v/>
      </c>
      <c r="U1422" s="83" t="str">
        <f t="shared" si="156"/>
        <v/>
      </c>
      <c r="V1422" s="83" t="str">
        <f t="shared" si="157"/>
        <v/>
      </c>
      <c r="AA1422" s="60">
        <f t="shared" si="158"/>
        <v>0</v>
      </c>
      <c r="AB1422" s="49">
        <f t="shared" si="159"/>
        <v>0</v>
      </c>
      <c r="AC1422" s="60">
        <f t="shared" si="160"/>
        <v>0</v>
      </c>
    </row>
    <row r="1423" spans="1:29">
      <c r="A1423" s="83" t="str">
        <f t="shared" si="154"/>
        <v/>
      </c>
      <c r="B1423" s="83" t="str">
        <f t="shared" si="155"/>
        <v/>
      </c>
      <c r="U1423" s="83" t="str">
        <f t="shared" si="156"/>
        <v/>
      </c>
      <c r="V1423" s="83" t="str">
        <f t="shared" si="157"/>
        <v/>
      </c>
      <c r="AA1423" s="60">
        <f t="shared" si="158"/>
        <v>0</v>
      </c>
      <c r="AB1423" s="49">
        <f t="shared" si="159"/>
        <v>0</v>
      </c>
      <c r="AC1423" s="60">
        <f t="shared" si="160"/>
        <v>0</v>
      </c>
    </row>
    <row r="1424" spans="1:29">
      <c r="A1424" s="83" t="str">
        <f t="shared" si="154"/>
        <v/>
      </c>
      <c r="B1424" s="83" t="str">
        <f t="shared" si="155"/>
        <v/>
      </c>
      <c r="U1424" s="83" t="str">
        <f t="shared" si="156"/>
        <v/>
      </c>
      <c r="V1424" s="83" t="str">
        <f t="shared" si="157"/>
        <v/>
      </c>
      <c r="AA1424" s="60">
        <f t="shared" si="158"/>
        <v>0</v>
      </c>
      <c r="AB1424" s="49">
        <f t="shared" si="159"/>
        <v>0</v>
      </c>
      <c r="AC1424" s="60">
        <f t="shared" si="160"/>
        <v>0</v>
      </c>
    </row>
    <row r="1425" spans="1:29">
      <c r="A1425" s="83" t="str">
        <f t="shared" si="154"/>
        <v/>
      </c>
      <c r="B1425" s="83" t="str">
        <f t="shared" si="155"/>
        <v/>
      </c>
      <c r="U1425" s="83" t="str">
        <f t="shared" si="156"/>
        <v/>
      </c>
      <c r="V1425" s="83" t="str">
        <f t="shared" si="157"/>
        <v/>
      </c>
      <c r="AA1425" s="60">
        <f t="shared" si="158"/>
        <v>0</v>
      </c>
      <c r="AB1425" s="49">
        <f t="shared" si="159"/>
        <v>0</v>
      </c>
      <c r="AC1425" s="60">
        <f t="shared" si="160"/>
        <v>0</v>
      </c>
    </row>
    <row r="1426" spans="1:29">
      <c r="A1426" s="83" t="str">
        <f t="shared" si="154"/>
        <v/>
      </c>
      <c r="B1426" s="83" t="str">
        <f t="shared" si="155"/>
        <v/>
      </c>
      <c r="U1426" s="83" t="str">
        <f t="shared" si="156"/>
        <v/>
      </c>
      <c r="V1426" s="83" t="str">
        <f t="shared" si="157"/>
        <v/>
      </c>
      <c r="AA1426" s="60">
        <f t="shared" si="158"/>
        <v>0</v>
      </c>
      <c r="AB1426" s="49">
        <f t="shared" si="159"/>
        <v>0</v>
      </c>
      <c r="AC1426" s="60">
        <f t="shared" si="160"/>
        <v>0</v>
      </c>
    </row>
    <row r="1427" spans="1:29">
      <c r="A1427" s="83" t="str">
        <f t="shared" si="154"/>
        <v/>
      </c>
      <c r="B1427" s="83" t="str">
        <f t="shared" si="155"/>
        <v/>
      </c>
      <c r="U1427" s="83" t="str">
        <f t="shared" si="156"/>
        <v/>
      </c>
      <c r="V1427" s="83" t="str">
        <f t="shared" si="157"/>
        <v/>
      </c>
      <c r="AA1427" s="60">
        <f t="shared" si="158"/>
        <v>0</v>
      </c>
      <c r="AB1427" s="49">
        <f t="shared" si="159"/>
        <v>0</v>
      </c>
      <c r="AC1427" s="60">
        <f t="shared" si="160"/>
        <v>0</v>
      </c>
    </row>
    <row r="1428" spans="1:29">
      <c r="A1428" s="83" t="str">
        <f t="shared" si="154"/>
        <v/>
      </c>
      <c r="B1428" s="83" t="str">
        <f t="shared" si="155"/>
        <v/>
      </c>
      <c r="U1428" s="83" t="str">
        <f t="shared" si="156"/>
        <v/>
      </c>
      <c r="V1428" s="83" t="str">
        <f t="shared" si="157"/>
        <v/>
      </c>
      <c r="AA1428" s="60">
        <f t="shared" si="158"/>
        <v>0</v>
      </c>
      <c r="AB1428" s="49">
        <f t="shared" si="159"/>
        <v>0</v>
      </c>
      <c r="AC1428" s="60">
        <f t="shared" si="160"/>
        <v>0</v>
      </c>
    </row>
    <row r="1429" spans="1:29">
      <c r="A1429" s="83" t="str">
        <f t="shared" si="154"/>
        <v/>
      </c>
      <c r="B1429" s="83" t="str">
        <f t="shared" si="155"/>
        <v/>
      </c>
      <c r="U1429" s="83" t="str">
        <f t="shared" si="156"/>
        <v/>
      </c>
      <c r="V1429" s="83" t="str">
        <f t="shared" si="157"/>
        <v/>
      </c>
      <c r="AA1429" s="60">
        <f t="shared" si="158"/>
        <v>0</v>
      </c>
      <c r="AB1429" s="49">
        <f t="shared" si="159"/>
        <v>0</v>
      </c>
      <c r="AC1429" s="60">
        <f t="shared" si="160"/>
        <v>0</v>
      </c>
    </row>
    <row r="1430" spans="1:29">
      <c r="A1430" s="83" t="str">
        <f t="shared" si="154"/>
        <v/>
      </c>
      <c r="B1430" s="83" t="str">
        <f t="shared" si="155"/>
        <v/>
      </c>
      <c r="U1430" s="83" t="str">
        <f t="shared" si="156"/>
        <v/>
      </c>
      <c r="V1430" s="83" t="str">
        <f t="shared" si="157"/>
        <v/>
      </c>
      <c r="AA1430" s="60">
        <f t="shared" si="158"/>
        <v>0</v>
      </c>
      <c r="AB1430" s="49">
        <f t="shared" si="159"/>
        <v>0</v>
      </c>
      <c r="AC1430" s="60">
        <f t="shared" si="160"/>
        <v>0</v>
      </c>
    </row>
    <row r="1431" spans="1:29">
      <c r="A1431" s="83" t="str">
        <f t="shared" si="154"/>
        <v/>
      </c>
      <c r="B1431" s="83" t="str">
        <f t="shared" si="155"/>
        <v/>
      </c>
      <c r="U1431" s="83" t="str">
        <f t="shared" si="156"/>
        <v/>
      </c>
      <c r="V1431" s="83" t="str">
        <f t="shared" si="157"/>
        <v/>
      </c>
      <c r="AA1431" s="60">
        <f t="shared" si="158"/>
        <v>0</v>
      </c>
      <c r="AB1431" s="49">
        <f t="shared" si="159"/>
        <v>0</v>
      </c>
      <c r="AC1431" s="60">
        <f t="shared" si="160"/>
        <v>0</v>
      </c>
    </row>
    <row r="1432" spans="1:29">
      <c r="A1432" s="83" t="str">
        <f t="shared" si="154"/>
        <v/>
      </c>
      <c r="B1432" s="83" t="str">
        <f t="shared" si="155"/>
        <v/>
      </c>
      <c r="U1432" s="83" t="str">
        <f t="shared" si="156"/>
        <v/>
      </c>
      <c r="V1432" s="83" t="str">
        <f t="shared" si="157"/>
        <v/>
      </c>
      <c r="AA1432" s="60">
        <f t="shared" si="158"/>
        <v>0</v>
      </c>
      <c r="AB1432" s="49">
        <f t="shared" si="159"/>
        <v>0</v>
      </c>
      <c r="AC1432" s="60">
        <f t="shared" si="160"/>
        <v>0</v>
      </c>
    </row>
    <row r="1433" spans="1:29">
      <c r="A1433" s="83" t="str">
        <f t="shared" si="154"/>
        <v/>
      </c>
      <c r="B1433" s="83" t="str">
        <f t="shared" si="155"/>
        <v/>
      </c>
      <c r="U1433" s="83" t="str">
        <f t="shared" si="156"/>
        <v/>
      </c>
      <c r="V1433" s="83" t="str">
        <f t="shared" si="157"/>
        <v/>
      </c>
      <c r="AA1433" s="60">
        <f t="shared" si="158"/>
        <v>0</v>
      </c>
      <c r="AB1433" s="49">
        <f t="shared" si="159"/>
        <v>0</v>
      </c>
      <c r="AC1433" s="60">
        <f t="shared" si="160"/>
        <v>0</v>
      </c>
    </row>
    <row r="1434" spans="1:29">
      <c r="A1434" s="83" t="str">
        <f t="shared" si="154"/>
        <v/>
      </c>
      <c r="B1434" s="83" t="str">
        <f t="shared" si="155"/>
        <v/>
      </c>
      <c r="U1434" s="83" t="str">
        <f t="shared" si="156"/>
        <v/>
      </c>
      <c r="V1434" s="83" t="str">
        <f t="shared" si="157"/>
        <v/>
      </c>
      <c r="AA1434" s="60">
        <f t="shared" si="158"/>
        <v>0</v>
      </c>
      <c r="AB1434" s="49">
        <f t="shared" si="159"/>
        <v>0</v>
      </c>
      <c r="AC1434" s="60">
        <f t="shared" si="160"/>
        <v>0</v>
      </c>
    </row>
    <row r="1435" spans="1:29">
      <c r="A1435" s="83" t="str">
        <f t="shared" si="154"/>
        <v/>
      </c>
      <c r="B1435" s="83" t="str">
        <f t="shared" si="155"/>
        <v/>
      </c>
      <c r="U1435" s="83" t="str">
        <f t="shared" si="156"/>
        <v/>
      </c>
      <c r="V1435" s="83" t="str">
        <f t="shared" si="157"/>
        <v/>
      </c>
      <c r="AA1435" s="60">
        <f t="shared" si="158"/>
        <v>0</v>
      </c>
      <c r="AB1435" s="49">
        <f t="shared" si="159"/>
        <v>0</v>
      </c>
      <c r="AC1435" s="60">
        <f t="shared" si="160"/>
        <v>0</v>
      </c>
    </row>
    <row r="1436" spans="1:29">
      <c r="A1436" s="83" t="str">
        <f t="shared" si="154"/>
        <v/>
      </c>
      <c r="B1436" s="83" t="str">
        <f t="shared" si="155"/>
        <v/>
      </c>
      <c r="U1436" s="83" t="str">
        <f t="shared" si="156"/>
        <v/>
      </c>
      <c r="V1436" s="83" t="str">
        <f t="shared" si="157"/>
        <v/>
      </c>
      <c r="AA1436" s="60">
        <f t="shared" si="158"/>
        <v>0</v>
      </c>
      <c r="AB1436" s="49">
        <f t="shared" si="159"/>
        <v>0</v>
      </c>
      <c r="AC1436" s="60">
        <f t="shared" si="160"/>
        <v>0</v>
      </c>
    </row>
    <row r="1437" spans="1:29">
      <c r="A1437" s="83" t="str">
        <f t="shared" si="154"/>
        <v/>
      </c>
      <c r="B1437" s="83" t="str">
        <f t="shared" si="155"/>
        <v/>
      </c>
      <c r="U1437" s="83" t="str">
        <f t="shared" si="156"/>
        <v/>
      </c>
      <c r="V1437" s="83" t="str">
        <f t="shared" si="157"/>
        <v/>
      </c>
      <c r="AA1437" s="60">
        <f t="shared" si="158"/>
        <v>0</v>
      </c>
      <c r="AB1437" s="49">
        <f t="shared" si="159"/>
        <v>0</v>
      </c>
      <c r="AC1437" s="60">
        <f t="shared" si="160"/>
        <v>0</v>
      </c>
    </row>
    <row r="1438" spans="1:29">
      <c r="A1438" s="83" t="str">
        <f t="shared" si="154"/>
        <v/>
      </c>
      <c r="B1438" s="83" t="str">
        <f t="shared" si="155"/>
        <v/>
      </c>
      <c r="U1438" s="83" t="str">
        <f t="shared" si="156"/>
        <v/>
      </c>
      <c r="V1438" s="83" t="str">
        <f t="shared" si="157"/>
        <v/>
      </c>
      <c r="AA1438" s="60">
        <f t="shared" si="158"/>
        <v>0</v>
      </c>
      <c r="AB1438" s="49">
        <f t="shared" si="159"/>
        <v>0</v>
      </c>
      <c r="AC1438" s="60">
        <f t="shared" si="160"/>
        <v>0</v>
      </c>
    </row>
    <row r="1439" spans="1:29">
      <c r="A1439" s="83" t="str">
        <f t="shared" si="154"/>
        <v/>
      </c>
      <c r="B1439" s="83" t="str">
        <f t="shared" si="155"/>
        <v/>
      </c>
      <c r="U1439" s="83" t="str">
        <f t="shared" si="156"/>
        <v/>
      </c>
      <c r="V1439" s="83" t="str">
        <f t="shared" si="157"/>
        <v/>
      </c>
      <c r="AA1439" s="60">
        <f t="shared" si="158"/>
        <v>0</v>
      </c>
      <c r="AB1439" s="49">
        <f t="shared" si="159"/>
        <v>0</v>
      </c>
      <c r="AC1439" s="60">
        <f t="shared" si="160"/>
        <v>0</v>
      </c>
    </row>
    <row r="1440" spans="1:29">
      <c r="A1440" s="83" t="str">
        <f t="shared" si="154"/>
        <v/>
      </c>
      <c r="B1440" s="83" t="str">
        <f t="shared" si="155"/>
        <v/>
      </c>
      <c r="U1440" s="83" t="str">
        <f t="shared" si="156"/>
        <v/>
      </c>
      <c r="V1440" s="83" t="str">
        <f t="shared" si="157"/>
        <v/>
      </c>
      <c r="AA1440" s="60">
        <f t="shared" si="158"/>
        <v>0</v>
      </c>
      <c r="AB1440" s="49">
        <f t="shared" si="159"/>
        <v>0</v>
      </c>
      <c r="AC1440" s="60">
        <f t="shared" si="160"/>
        <v>0</v>
      </c>
    </row>
    <row r="1441" spans="1:29">
      <c r="A1441" s="83" t="str">
        <f t="shared" si="154"/>
        <v/>
      </c>
      <c r="B1441" s="83" t="str">
        <f t="shared" si="155"/>
        <v/>
      </c>
      <c r="U1441" s="83" t="str">
        <f t="shared" si="156"/>
        <v/>
      </c>
      <c r="V1441" s="83" t="str">
        <f t="shared" si="157"/>
        <v/>
      </c>
      <c r="AA1441" s="60">
        <f t="shared" si="158"/>
        <v>0</v>
      </c>
      <c r="AB1441" s="49">
        <f t="shared" si="159"/>
        <v>0</v>
      </c>
      <c r="AC1441" s="60">
        <f t="shared" si="160"/>
        <v>0</v>
      </c>
    </row>
    <row r="1442" spans="1:29">
      <c r="A1442" s="83" t="str">
        <f t="shared" si="154"/>
        <v/>
      </c>
      <c r="B1442" s="83" t="str">
        <f t="shared" si="155"/>
        <v/>
      </c>
      <c r="U1442" s="83" t="str">
        <f t="shared" si="156"/>
        <v/>
      </c>
      <c r="V1442" s="83" t="str">
        <f t="shared" si="157"/>
        <v/>
      </c>
      <c r="AA1442" s="60">
        <f t="shared" si="158"/>
        <v>0</v>
      </c>
      <c r="AB1442" s="49">
        <f t="shared" si="159"/>
        <v>0</v>
      </c>
      <c r="AC1442" s="60">
        <f t="shared" si="160"/>
        <v>0</v>
      </c>
    </row>
    <row r="1443" spans="1:29">
      <c r="A1443" s="83" t="str">
        <f t="shared" si="154"/>
        <v/>
      </c>
      <c r="B1443" s="83" t="str">
        <f t="shared" si="155"/>
        <v/>
      </c>
      <c r="U1443" s="83" t="str">
        <f t="shared" si="156"/>
        <v/>
      </c>
      <c r="V1443" s="83" t="str">
        <f t="shared" si="157"/>
        <v/>
      </c>
      <c r="AA1443" s="60">
        <f t="shared" si="158"/>
        <v>0</v>
      </c>
      <c r="AB1443" s="49">
        <f t="shared" si="159"/>
        <v>0</v>
      </c>
      <c r="AC1443" s="60">
        <f t="shared" si="160"/>
        <v>0</v>
      </c>
    </row>
    <row r="1444" spans="1:29">
      <c r="A1444" s="83" t="str">
        <f t="shared" si="154"/>
        <v/>
      </c>
      <c r="B1444" s="83" t="str">
        <f t="shared" si="155"/>
        <v/>
      </c>
      <c r="U1444" s="83" t="str">
        <f t="shared" si="156"/>
        <v/>
      </c>
      <c r="V1444" s="83" t="str">
        <f t="shared" si="157"/>
        <v/>
      </c>
      <c r="AA1444" s="60">
        <f t="shared" si="158"/>
        <v>0</v>
      </c>
      <c r="AB1444" s="49">
        <f t="shared" si="159"/>
        <v>0</v>
      </c>
      <c r="AC1444" s="60">
        <f t="shared" si="160"/>
        <v>0</v>
      </c>
    </row>
    <row r="1445" spans="1:29">
      <c r="A1445" s="83" t="str">
        <f t="shared" si="154"/>
        <v/>
      </c>
      <c r="B1445" s="83" t="str">
        <f t="shared" si="155"/>
        <v/>
      </c>
      <c r="U1445" s="83" t="str">
        <f t="shared" si="156"/>
        <v/>
      </c>
      <c r="V1445" s="83" t="str">
        <f t="shared" si="157"/>
        <v/>
      </c>
      <c r="AA1445" s="60">
        <f t="shared" si="158"/>
        <v>0</v>
      </c>
      <c r="AB1445" s="49">
        <f t="shared" si="159"/>
        <v>0</v>
      </c>
      <c r="AC1445" s="60">
        <f t="shared" si="160"/>
        <v>0</v>
      </c>
    </row>
    <row r="1446" spans="1:29">
      <c r="A1446" s="83" t="str">
        <f t="shared" si="154"/>
        <v/>
      </c>
      <c r="B1446" s="83" t="str">
        <f t="shared" si="155"/>
        <v/>
      </c>
      <c r="U1446" s="83" t="str">
        <f t="shared" si="156"/>
        <v/>
      </c>
      <c r="V1446" s="83" t="str">
        <f t="shared" si="157"/>
        <v/>
      </c>
      <c r="AA1446" s="60">
        <f t="shared" si="158"/>
        <v>0</v>
      </c>
      <c r="AB1446" s="49">
        <f t="shared" si="159"/>
        <v>0</v>
      </c>
      <c r="AC1446" s="60">
        <f t="shared" si="160"/>
        <v>0</v>
      </c>
    </row>
    <row r="1447" spans="1:29">
      <c r="A1447" s="83" t="str">
        <f t="shared" si="154"/>
        <v/>
      </c>
      <c r="B1447" s="83" t="str">
        <f t="shared" si="155"/>
        <v/>
      </c>
      <c r="U1447" s="83" t="str">
        <f t="shared" si="156"/>
        <v/>
      </c>
      <c r="V1447" s="83" t="str">
        <f t="shared" si="157"/>
        <v/>
      </c>
      <c r="AA1447" s="60">
        <f t="shared" si="158"/>
        <v>0</v>
      </c>
      <c r="AB1447" s="49">
        <f t="shared" si="159"/>
        <v>0</v>
      </c>
      <c r="AC1447" s="60">
        <f t="shared" si="160"/>
        <v>0</v>
      </c>
    </row>
    <row r="1448" spans="1:29">
      <c r="A1448" s="83" t="str">
        <f t="shared" si="154"/>
        <v/>
      </c>
      <c r="B1448" s="83" t="str">
        <f t="shared" si="155"/>
        <v/>
      </c>
      <c r="U1448" s="83" t="str">
        <f t="shared" si="156"/>
        <v/>
      </c>
      <c r="V1448" s="83" t="str">
        <f t="shared" si="157"/>
        <v/>
      </c>
      <c r="AA1448" s="60">
        <f t="shared" si="158"/>
        <v>0</v>
      </c>
      <c r="AB1448" s="49">
        <f t="shared" si="159"/>
        <v>0</v>
      </c>
      <c r="AC1448" s="60">
        <f t="shared" si="160"/>
        <v>0</v>
      </c>
    </row>
    <row r="1449" spans="1:29">
      <c r="A1449" s="83" t="str">
        <f t="shared" si="154"/>
        <v/>
      </c>
      <c r="B1449" s="83" t="str">
        <f t="shared" si="155"/>
        <v/>
      </c>
      <c r="U1449" s="83" t="str">
        <f t="shared" si="156"/>
        <v/>
      </c>
      <c r="V1449" s="83" t="str">
        <f t="shared" si="157"/>
        <v/>
      </c>
      <c r="AA1449" s="60">
        <f t="shared" si="158"/>
        <v>0</v>
      </c>
      <c r="AB1449" s="49">
        <f t="shared" si="159"/>
        <v>0</v>
      </c>
      <c r="AC1449" s="60">
        <f t="shared" si="160"/>
        <v>0</v>
      </c>
    </row>
    <row r="1450" spans="1:29">
      <c r="A1450" s="83" t="str">
        <f t="shared" si="154"/>
        <v/>
      </c>
      <c r="B1450" s="83" t="str">
        <f t="shared" si="155"/>
        <v/>
      </c>
      <c r="U1450" s="83" t="str">
        <f t="shared" si="156"/>
        <v/>
      </c>
      <c r="V1450" s="83" t="str">
        <f t="shared" si="157"/>
        <v/>
      </c>
      <c r="AA1450" s="60">
        <f t="shared" si="158"/>
        <v>0</v>
      </c>
      <c r="AB1450" s="49">
        <f t="shared" si="159"/>
        <v>0</v>
      </c>
      <c r="AC1450" s="60">
        <f t="shared" si="160"/>
        <v>0</v>
      </c>
    </row>
    <row r="1451" spans="1:29">
      <c r="A1451" s="83" t="str">
        <f t="shared" si="154"/>
        <v/>
      </c>
      <c r="B1451" s="83" t="str">
        <f t="shared" si="155"/>
        <v/>
      </c>
      <c r="U1451" s="83" t="str">
        <f t="shared" si="156"/>
        <v/>
      </c>
      <c r="V1451" s="83" t="str">
        <f t="shared" si="157"/>
        <v/>
      </c>
      <c r="AA1451" s="60">
        <f t="shared" si="158"/>
        <v>0</v>
      </c>
      <c r="AB1451" s="49">
        <f t="shared" si="159"/>
        <v>0</v>
      </c>
      <c r="AC1451" s="60">
        <f t="shared" si="160"/>
        <v>0</v>
      </c>
    </row>
    <row r="1452" spans="1:29">
      <c r="A1452" s="83" t="str">
        <f t="shared" si="154"/>
        <v/>
      </c>
      <c r="B1452" s="83" t="str">
        <f t="shared" si="155"/>
        <v/>
      </c>
      <c r="U1452" s="83" t="str">
        <f t="shared" si="156"/>
        <v/>
      </c>
      <c r="V1452" s="83" t="str">
        <f t="shared" si="157"/>
        <v/>
      </c>
      <c r="AA1452" s="60">
        <f t="shared" si="158"/>
        <v>0</v>
      </c>
      <c r="AB1452" s="49">
        <f t="shared" si="159"/>
        <v>0</v>
      </c>
      <c r="AC1452" s="60">
        <f t="shared" si="160"/>
        <v>0</v>
      </c>
    </row>
    <row r="1453" spans="1:29">
      <c r="A1453" s="83" t="str">
        <f t="shared" si="154"/>
        <v/>
      </c>
      <c r="B1453" s="83" t="str">
        <f t="shared" si="155"/>
        <v/>
      </c>
      <c r="U1453" s="83" t="str">
        <f t="shared" si="156"/>
        <v/>
      </c>
      <c r="V1453" s="83" t="str">
        <f t="shared" si="157"/>
        <v/>
      </c>
      <c r="AA1453" s="60">
        <f t="shared" si="158"/>
        <v>0</v>
      </c>
      <c r="AB1453" s="49">
        <f t="shared" si="159"/>
        <v>0</v>
      </c>
      <c r="AC1453" s="60">
        <f t="shared" si="160"/>
        <v>0</v>
      </c>
    </row>
    <row r="1454" spans="1:29">
      <c r="A1454" s="83" t="str">
        <f t="shared" si="154"/>
        <v/>
      </c>
      <c r="B1454" s="83" t="str">
        <f t="shared" si="155"/>
        <v/>
      </c>
      <c r="U1454" s="83" t="str">
        <f t="shared" si="156"/>
        <v/>
      </c>
      <c r="V1454" s="83" t="str">
        <f t="shared" si="157"/>
        <v/>
      </c>
      <c r="AA1454" s="60">
        <f t="shared" si="158"/>
        <v>0</v>
      </c>
      <c r="AB1454" s="49">
        <f t="shared" si="159"/>
        <v>0</v>
      </c>
      <c r="AC1454" s="60">
        <f t="shared" si="160"/>
        <v>0</v>
      </c>
    </row>
    <row r="1455" spans="1:29">
      <c r="A1455" s="83" t="str">
        <f t="shared" si="154"/>
        <v/>
      </c>
      <c r="B1455" s="83" t="str">
        <f t="shared" si="155"/>
        <v/>
      </c>
      <c r="U1455" s="83" t="str">
        <f t="shared" si="156"/>
        <v/>
      </c>
      <c r="V1455" s="83" t="str">
        <f t="shared" si="157"/>
        <v/>
      </c>
      <c r="AA1455" s="60">
        <f t="shared" si="158"/>
        <v>0</v>
      </c>
      <c r="AB1455" s="49">
        <f t="shared" si="159"/>
        <v>0</v>
      </c>
      <c r="AC1455" s="60">
        <f t="shared" si="160"/>
        <v>0</v>
      </c>
    </row>
    <row r="1456" spans="1:29">
      <c r="A1456" s="83" t="str">
        <f t="shared" si="154"/>
        <v/>
      </c>
      <c r="B1456" s="83" t="str">
        <f t="shared" si="155"/>
        <v/>
      </c>
      <c r="U1456" s="83" t="str">
        <f t="shared" si="156"/>
        <v/>
      </c>
      <c r="V1456" s="83" t="str">
        <f t="shared" si="157"/>
        <v/>
      </c>
      <c r="AA1456" s="60">
        <f t="shared" si="158"/>
        <v>0</v>
      </c>
      <c r="AB1456" s="49">
        <f t="shared" si="159"/>
        <v>0</v>
      </c>
      <c r="AC1456" s="60">
        <f t="shared" si="160"/>
        <v>0</v>
      </c>
    </row>
    <row r="1457" spans="1:29">
      <c r="A1457" s="83" t="str">
        <f t="shared" si="154"/>
        <v/>
      </c>
      <c r="B1457" s="83" t="str">
        <f t="shared" si="155"/>
        <v/>
      </c>
      <c r="U1457" s="83" t="str">
        <f t="shared" si="156"/>
        <v/>
      </c>
      <c r="V1457" s="83" t="str">
        <f t="shared" si="157"/>
        <v/>
      </c>
      <c r="AA1457" s="60">
        <f t="shared" si="158"/>
        <v>0</v>
      </c>
      <c r="AB1457" s="49">
        <f t="shared" si="159"/>
        <v>0</v>
      </c>
      <c r="AC1457" s="60">
        <f t="shared" si="160"/>
        <v>0</v>
      </c>
    </row>
    <row r="1458" spans="1:29">
      <c r="A1458" s="83" t="str">
        <f t="shared" si="154"/>
        <v/>
      </c>
      <c r="B1458" s="83" t="str">
        <f t="shared" si="155"/>
        <v/>
      </c>
      <c r="U1458" s="83" t="str">
        <f t="shared" si="156"/>
        <v/>
      </c>
      <c r="V1458" s="83" t="str">
        <f t="shared" si="157"/>
        <v/>
      </c>
      <c r="AA1458" s="60">
        <f t="shared" si="158"/>
        <v>0</v>
      </c>
      <c r="AB1458" s="49">
        <f t="shared" si="159"/>
        <v>0</v>
      </c>
      <c r="AC1458" s="60">
        <f t="shared" si="160"/>
        <v>0</v>
      </c>
    </row>
    <row r="1459" spans="1:29">
      <c r="A1459" s="83" t="str">
        <f t="shared" si="154"/>
        <v/>
      </c>
      <c r="B1459" s="83" t="str">
        <f t="shared" si="155"/>
        <v/>
      </c>
      <c r="U1459" s="83" t="str">
        <f t="shared" si="156"/>
        <v/>
      </c>
      <c r="V1459" s="83" t="str">
        <f t="shared" si="157"/>
        <v/>
      </c>
      <c r="AA1459" s="60">
        <f t="shared" si="158"/>
        <v>0</v>
      </c>
      <c r="AB1459" s="49">
        <f t="shared" si="159"/>
        <v>0</v>
      </c>
      <c r="AC1459" s="60">
        <f t="shared" si="160"/>
        <v>0</v>
      </c>
    </row>
    <row r="1460" spans="1:29">
      <c r="A1460" s="83" t="str">
        <f t="shared" si="154"/>
        <v/>
      </c>
      <c r="B1460" s="83" t="str">
        <f t="shared" si="155"/>
        <v/>
      </c>
      <c r="U1460" s="83" t="str">
        <f t="shared" si="156"/>
        <v/>
      </c>
      <c r="V1460" s="83" t="str">
        <f t="shared" si="157"/>
        <v/>
      </c>
      <c r="AA1460" s="60">
        <f t="shared" si="158"/>
        <v>0</v>
      </c>
      <c r="AB1460" s="49">
        <f t="shared" si="159"/>
        <v>0</v>
      </c>
      <c r="AC1460" s="60">
        <f t="shared" si="160"/>
        <v>0</v>
      </c>
    </row>
    <row r="1461" spans="1:29">
      <c r="A1461" s="83" t="str">
        <f t="shared" si="154"/>
        <v/>
      </c>
      <c r="B1461" s="83" t="str">
        <f t="shared" si="155"/>
        <v/>
      </c>
      <c r="U1461" s="83" t="str">
        <f t="shared" si="156"/>
        <v/>
      </c>
      <c r="V1461" s="83" t="str">
        <f t="shared" si="157"/>
        <v/>
      </c>
      <c r="AA1461" s="60">
        <f t="shared" si="158"/>
        <v>0</v>
      </c>
      <c r="AB1461" s="49">
        <f t="shared" si="159"/>
        <v>0</v>
      </c>
      <c r="AC1461" s="60">
        <f t="shared" si="160"/>
        <v>0</v>
      </c>
    </row>
    <row r="1462" spans="1:29">
      <c r="A1462" s="83" t="str">
        <f t="shared" si="154"/>
        <v/>
      </c>
      <c r="B1462" s="83" t="str">
        <f t="shared" si="155"/>
        <v/>
      </c>
      <c r="U1462" s="83" t="str">
        <f t="shared" si="156"/>
        <v/>
      </c>
      <c r="V1462" s="83" t="str">
        <f t="shared" si="157"/>
        <v/>
      </c>
      <c r="AA1462" s="60">
        <f t="shared" si="158"/>
        <v>0</v>
      </c>
      <c r="AB1462" s="49">
        <f t="shared" si="159"/>
        <v>0</v>
      </c>
      <c r="AC1462" s="60">
        <f t="shared" si="160"/>
        <v>0</v>
      </c>
    </row>
    <row r="1463" spans="1:29">
      <c r="A1463" s="83" t="str">
        <f t="shared" si="154"/>
        <v/>
      </c>
      <c r="B1463" s="83" t="str">
        <f t="shared" si="155"/>
        <v/>
      </c>
      <c r="U1463" s="83" t="str">
        <f t="shared" si="156"/>
        <v/>
      </c>
      <c r="V1463" s="83" t="str">
        <f t="shared" si="157"/>
        <v/>
      </c>
      <c r="AA1463" s="60">
        <f t="shared" si="158"/>
        <v>0</v>
      </c>
      <c r="AB1463" s="49">
        <f t="shared" si="159"/>
        <v>0</v>
      </c>
      <c r="AC1463" s="60">
        <f t="shared" si="160"/>
        <v>0</v>
      </c>
    </row>
    <row r="1464" spans="1:29">
      <c r="A1464" s="83" t="str">
        <f t="shared" si="154"/>
        <v/>
      </c>
      <c r="B1464" s="83" t="str">
        <f t="shared" si="155"/>
        <v/>
      </c>
      <c r="U1464" s="83" t="str">
        <f t="shared" si="156"/>
        <v/>
      </c>
      <c r="V1464" s="83" t="str">
        <f t="shared" si="157"/>
        <v/>
      </c>
      <c r="AA1464" s="60">
        <f t="shared" si="158"/>
        <v>0</v>
      </c>
      <c r="AB1464" s="49">
        <f t="shared" si="159"/>
        <v>0</v>
      </c>
      <c r="AC1464" s="60">
        <f t="shared" si="160"/>
        <v>0</v>
      </c>
    </row>
    <row r="1465" spans="1:29">
      <c r="A1465" s="83" t="str">
        <f t="shared" si="154"/>
        <v/>
      </c>
      <c r="B1465" s="83" t="str">
        <f t="shared" si="155"/>
        <v/>
      </c>
      <c r="U1465" s="83" t="str">
        <f t="shared" si="156"/>
        <v/>
      </c>
      <c r="V1465" s="83" t="str">
        <f t="shared" si="157"/>
        <v/>
      </c>
      <c r="AA1465" s="60">
        <f t="shared" si="158"/>
        <v>0</v>
      </c>
      <c r="AB1465" s="49">
        <f t="shared" si="159"/>
        <v>0</v>
      </c>
      <c r="AC1465" s="60">
        <f t="shared" si="160"/>
        <v>0</v>
      </c>
    </row>
    <row r="1466" spans="1:29">
      <c r="A1466" s="83" t="str">
        <f t="shared" si="154"/>
        <v/>
      </c>
      <c r="B1466" s="83" t="str">
        <f t="shared" si="155"/>
        <v/>
      </c>
      <c r="U1466" s="83" t="str">
        <f t="shared" si="156"/>
        <v/>
      </c>
      <c r="V1466" s="83" t="str">
        <f t="shared" si="157"/>
        <v/>
      </c>
      <c r="AA1466" s="60">
        <f t="shared" si="158"/>
        <v>0</v>
      </c>
      <c r="AB1466" s="49">
        <f t="shared" si="159"/>
        <v>0</v>
      </c>
      <c r="AC1466" s="60">
        <f t="shared" si="160"/>
        <v>0</v>
      </c>
    </row>
    <row r="1467" spans="1:29">
      <c r="A1467" s="83" t="str">
        <f t="shared" si="154"/>
        <v/>
      </c>
      <c r="B1467" s="83" t="str">
        <f t="shared" si="155"/>
        <v/>
      </c>
      <c r="U1467" s="83" t="str">
        <f t="shared" si="156"/>
        <v/>
      </c>
      <c r="V1467" s="83" t="str">
        <f t="shared" si="157"/>
        <v/>
      </c>
      <c r="AA1467" s="60">
        <f t="shared" si="158"/>
        <v>0</v>
      </c>
      <c r="AB1467" s="49">
        <f t="shared" si="159"/>
        <v>0</v>
      </c>
      <c r="AC1467" s="60">
        <f t="shared" si="160"/>
        <v>0</v>
      </c>
    </row>
    <row r="1468" spans="1:29">
      <c r="A1468" s="83" t="str">
        <f t="shared" si="154"/>
        <v/>
      </c>
      <c r="B1468" s="83" t="str">
        <f t="shared" si="155"/>
        <v/>
      </c>
      <c r="U1468" s="83" t="str">
        <f t="shared" si="156"/>
        <v/>
      </c>
      <c r="V1468" s="83" t="str">
        <f t="shared" si="157"/>
        <v/>
      </c>
      <c r="AA1468" s="60">
        <f t="shared" si="158"/>
        <v>0</v>
      </c>
      <c r="AB1468" s="49">
        <f t="shared" si="159"/>
        <v>0</v>
      </c>
      <c r="AC1468" s="60">
        <f t="shared" si="160"/>
        <v>0</v>
      </c>
    </row>
    <row r="1469" spans="1:29">
      <c r="A1469" s="83" t="str">
        <f t="shared" si="154"/>
        <v/>
      </c>
      <c r="B1469" s="83" t="str">
        <f t="shared" si="155"/>
        <v/>
      </c>
      <c r="U1469" s="83" t="str">
        <f t="shared" si="156"/>
        <v/>
      </c>
      <c r="V1469" s="83" t="str">
        <f t="shared" si="157"/>
        <v/>
      </c>
      <c r="AA1469" s="60">
        <f t="shared" si="158"/>
        <v>0</v>
      </c>
      <c r="AB1469" s="49">
        <f t="shared" si="159"/>
        <v>0</v>
      </c>
      <c r="AC1469" s="60">
        <f t="shared" si="160"/>
        <v>0</v>
      </c>
    </row>
    <row r="1470" spans="1:29">
      <c r="A1470" s="83" t="str">
        <f t="shared" si="154"/>
        <v/>
      </c>
      <c r="B1470" s="83" t="str">
        <f t="shared" si="155"/>
        <v/>
      </c>
      <c r="U1470" s="83" t="str">
        <f t="shared" si="156"/>
        <v/>
      </c>
      <c r="V1470" s="83" t="str">
        <f t="shared" si="157"/>
        <v/>
      </c>
      <c r="AA1470" s="60">
        <f t="shared" si="158"/>
        <v>0</v>
      </c>
      <c r="AB1470" s="49">
        <f t="shared" si="159"/>
        <v>0</v>
      </c>
      <c r="AC1470" s="60">
        <f t="shared" si="160"/>
        <v>0</v>
      </c>
    </row>
    <row r="1471" spans="1:29">
      <c r="A1471" s="83" t="str">
        <f t="shared" si="154"/>
        <v/>
      </c>
      <c r="B1471" s="83" t="str">
        <f t="shared" si="155"/>
        <v/>
      </c>
      <c r="U1471" s="83" t="str">
        <f t="shared" si="156"/>
        <v/>
      </c>
      <c r="V1471" s="83" t="str">
        <f t="shared" si="157"/>
        <v/>
      </c>
      <c r="AA1471" s="60">
        <f t="shared" si="158"/>
        <v>0</v>
      </c>
      <c r="AB1471" s="49">
        <f t="shared" si="159"/>
        <v>0</v>
      </c>
      <c r="AC1471" s="60">
        <f t="shared" si="160"/>
        <v>0</v>
      </c>
    </row>
    <row r="1472" spans="1:29">
      <c r="A1472" s="83" t="str">
        <f t="shared" si="154"/>
        <v/>
      </c>
      <c r="B1472" s="83" t="str">
        <f t="shared" si="155"/>
        <v/>
      </c>
      <c r="U1472" s="83" t="str">
        <f t="shared" si="156"/>
        <v/>
      </c>
      <c r="V1472" s="83" t="str">
        <f t="shared" si="157"/>
        <v/>
      </c>
      <c r="AA1472" s="60">
        <f t="shared" si="158"/>
        <v>0</v>
      </c>
      <c r="AB1472" s="49">
        <f t="shared" si="159"/>
        <v>0</v>
      </c>
      <c r="AC1472" s="60">
        <f t="shared" si="160"/>
        <v>0</v>
      </c>
    </row>
    <row r="1473" spans="1:29">
      <c r="A1473" s="83" t="str">
        <f t="shared" si="154"/>
        <v/>
      </c>
      <c r="B1473" s="83" t="str">
        <f t="shared" si="155"/>
        <v/>
      </c>
      <c r="U1473" s="83" t="str">
        <f t="shared" si="156"/>
        <v/>
      </c>
      <c r="V1473" s="83" t="str">
        <f t="shared" si="157"/>
        <v/>
      </c>
      <c r="AA1473" s="60">
        <f t="shared" si="158"/>
        <v>0</v>
      </c>
      <c r="AB1473" s="49">
        <f t="shared" si="159"/>
        <v>0</v>
      </c>
      <c r="AC1473" s="60">
        <f t="shared" si="160"/>
        <v>0</v>
      </c>
    </row>
    <row r="1474" spans="1:29">
      <c r="A1474" s="83" t="str">
        <f t="shared" si="154"/>
        <v/>
      </c>
      <c r="B1474" s="83" t="str">
        <f t="shared" si="155"/>
        <v/>
      </c>
      <c r="U1474" s="83" t="str">
        <f t="shared" si="156"/>
        <v/>
      </c>
      <c r="V1474" s="83" t="str">
        <f t="shared" si="157"/>
        <v/>
      </c>
      <c r="AA1474" s="60">
        <f t="shared" si="158"/>
        <v>0</v>
      </c>
      <c r="AB1474" s="49">
        <f t="shared" si="159"/>
        <v>0</v>
      </c>
      <c r="AC1474" s="60">
        <f t="shared" si="160"/>
        <v>0</v>
      </c>
    </row>
    <row r="1475" spans="1:29">
      <c r="A1475" s="83" t="str">
        <f t="shared" ref="A1475:A1538" si="161">IF(G1475&amp;Q1475&lt;&gt;"",U1475&amp;Q1475,"")</f>
        <v/>
      </c>
      <c r="B1475" s="83" t="str">
        <f t="shared" ref="B1475:B1538" si="162">IF(C1475&lt;&gt;"",LEFT(C1475,9),"")</f>
        <v/>
      </c>
      <c r="U1475" s="83" t="str">
        <f t="shared" ref="U1475:U1538" si="163">IF(G1475&lt;&gt;"",IF(StyleSpaceSplit,IFERROR(IF(FIND(" ",G1475)&gt;=1,MID(G1475,1,FIND(" ",G1475)-1),G1475),G1475),G1475),"")</f>
        <v/>
      </c>
      <c r="V1475" s="83" t="str">
        <f t="shared" ref="V1475:V1538" si="164">IF(A1475&lt;&gt;"",IFERROR(IF(FIND(" ",G1475)&gt;=1,MID(G1475,FIND(" ",G1475)+1,LEN(G1475)),""),G1475),"")</f>
        <v/>
      </c>
      <c r="AA1475" s="60">
        <f t="shared" ref="AA1475:AA1538" si="165">IFERROR(VALUE(MID($C1475,1,2)),0)</f>
        <v>0</v>
      </c>
      <c r="AB1475" s="49">
        <f t="shared" ref="AB1475:AB1538" si="166">IFERROR(VALUE(MID($C1475,4,3)),0)</f>
        <v>0</v>
      </c>
      <c r="AC1475" s="60">
        <f t="shared" ref="AC1475:AC1538" si="167">VALUE(RIGHT("00"&amp;AA1475,2)&amp;RIGHT("000"&amp;AB1475,3))</f>
        <v>0</v>
      </c>
    </row>
    <row r="1476" spans="1:29">
      <c r="A1476" s="83" t="str">
        <f t="shared" si="161"/>
        <v/>
      </c>
      <c r="B1476" s="83" t="str">
        <f t="shared" si="162"/>
        <v/>
      </c>
      <c r="U1476" s="83" t="str">
        <f t="shared" si="163"/>
        <v/>
      </c>
      <c r="V1476" s="83" t="str">
        <f t="shared" si="164"/>
        <v/>
      </c>
      <c r="AA1476" s="60">
        <f t="shared" si="165"/>
        <v>0</v>
      </c>
      <c r="AB1476" s="49">
        <f t="shared" si="166"/>
        <v>0</v>
      </c>
      <c r="AC1476" s="60">
        <f t="shared" si="167"/>
        <v>0</v>
      </c>
    </row>
    <row r="1477" spans="1:29">
      <c r="A1477" s="83" t="str">
        <f t="shared" si="161"/>
        <v/>
      </c>
      <c r="B1477" s="83" t="str">
        <f t="shared" si="162"/>
        <v/>
      </c>
      <c r="U1477" s="83" t="str">
        <f t="shared" si="163"/>
        <v/>
      </c>
      <c r="V1477" s="83" t="str">
        <f t="shared" si="164"/>
        <v/>
      </c>
      <c r="AA1477" s="60">
        <f t="shared" si="165"/>
        <v>0</v>
      </c>
      <c r="AB1477" s="49">
        <f t="shared" si="166"/>
        <v>0</v>
      </c>
      <c r="AC1477" s="60">
        <f t="shared" si="167"/>
        <v>0</v>
      </c>
    </row>
    <row r="1478" spans="1:29">
      <c r="A1478" s="83" t="str">
        <f t="shared" si="161"/>
        <v/>
      </c>
      <c r="B1478" s="83" t="str">
        <f t="shared" si="162"/>
        <v/>
      </c>
      <c r="U1478" s="83" t="str">
        <f t="shared" si="163"/>
        <v/>
      </c>
      <c r="V1478" s="83" t="str">
        <f t="shared" si="164"/>
        <v/>
      </c>
      <c r="AA1478" s="60">
        <f t="shared" si="165"/>
        <v>0</v>
      </c>
      <c r="AB1478" s="49">
        <f t="shared" si="166"/>
        <v>0</v>
      </c>
      <c r="AC1478" s="60">
        <f t="shared" si="167"/>
        <v>0</v>
      </c>
    </row>
    <row r="1479" spans="1:29">
      <c r="A1479" s="83" t="str">
        <f t="shared" si="161"/>
        <v/>
      </c>
      <c r="B1479" s="83" t="str">
        <f t="shared" si="162"/>
        <v/>
      </c>
      <c r="U1479" s="83" t="str">
        <f t="shared" si="163"/>
        <v/>
      </c>
      <c r="V1479" s="83" t="str">
        <f t="shared" si="164"/>
        <v/>
      </c>
      <c r="AA1479" s="60">
        <f t="shared" si="165"/>
        <v>0</v>
      </c>
      <c r="AB1479" s="49">
        <f t="shared" si="166"/>
        <v>0</v>
      </c>
      <c r="AC1479" s="60">
        <f t="shared" si="167"/>
        <v>0</v>
      </c>
    </row>
    <row r="1480" spans="1:29">
      <c r="A1480" s="83" t="str">
        <f t="shared" si="161"/>
        <v/>
      </c>
      <c r="B1480" s="83" t="str">
        <f t="shared" si="162"/>
        <v/>
      </c>
      <c r="U1480" s="83" t="str">
        <f t="shared" si="163"/>
        <v/>
      </c>
      <c r="V1480" s="83" t="str">
        <f t="shared" si="164"/>
        <v/>
      </c>
      <c r="AA1480" s="60">
        <f t="shared" si="165"/>
        <v>0</v>
      </c>
      <c r="AB1480" s="49">
        <f t="shared" si="166"/>
        <v>0</v>
      </c>
      <c r="AC1480" s="60">
        <f t="shared" si="167"/>
        <v>0</v>
      </c>
    </row>
    <row r="1481" spans="1:29">
      <c r="A1481" s="83" t="str">
        <f t="shared" si="161"/>
        <v/>
      </c>
      <c r="B1481" s="83" t="str">
        <f t="shared" si="162"/>
        <v/>
      </c>
      <c r="U1481" s="83" t="str">
        <f t="shared" si="163"/>
        <v/>
      </c>
      <c r="V1481" s="83" t="str">
        <f t="shared" si="164"/>
        <v/>
      </c>
      <c r="AA1481" s="60">
        <f t="shared" si="165"/>
        <v>0</v>
      </c>
      <c r="AB1481" s="49">
        <f t="shared" si="166"/>
        <v>0</v>
      </c>
      <c r="AC1481" s="60">
        <f t="shared" si="167"/>
        <v>0</v>
      </c>
    </row>
    <row r="1482" spans="1:29">
      <c r="A1482" s="83" t="str">
        <f t="shared" si="161"/>
        <v/>
      </c>
      <c r="B1482" s="83" t="str">
        <f t="shared" si="162"/>
        <v/>
      </c>
      <c r="U1482" s="83" t="str">
        <f t="shared" si="163"/>
        <v/>
      </c>
      <c r="V1482" s="83" t="str">
        <f t="shared" si="164"/>
        <v/>
      </c>
      <c r="AA1482" s="60">
        <f t="shared" si="165"/>
        <v>0</v>
      </c>
      <c r="AB1482" s="49">
        <f t="shared" si="166"/>
        <v>0</v>
      </c>
      <c r="AC1482" s="60">
        <f t="shared" si="167"/>
        <v>0</v>
      </c>
    </row>
    <row r="1483" spans="1:29">
      <c r="A1483" s="83" t="str">
        <f t="shared" si="161"/>
        <v/>
      </c>
      <c r="B1483" s="83" t="str">
        <f t="shared" si="162"/>
        <v/>
      </c>
      <c r="U1483" s="83" t="str">
        <f t="shared" si="163"/>
        <v/>
      </c>
      <c r="V1483" s="83" t="str">
        <f t="shared" si="164"/>
        <v/>
      </c>
      <c r="AA1483" s="60">
        <f t="shared" si="165"/>
        <v>0</v>
      </c>
      <c r="AB1483" s="49">
        <f t="shared" si="166"/>
        <v>0</v>
      </c>
      <c r="AC1483" s="60">
        <f t="shared" si="167"/>
        <v>0</v>
      </c>
    </row>
    <row r="1484" spans="1:29">
      <c r="A1484" s="83" t="str">
        <f t="shared" si="161"/>
        <v/>
      </c>
      <c r="B1484" s="83" t="str">
        <f t="shared" si="162"/>
        <v/>
      </c>
      <c r="U1484" s="83" t="str">
        <f t="shared" si="163"/>
        <v/>
      </c>
      <c r="V1484" s="83" t="str">
        <f t="shared" si="164"/>
        <v/>
      </c>
      <c r="AA1484" s="60">
        <f t="shared" si="165"/>
        <v>0</v>
      </c>
      <c r="AB1484" s="49">
        <f t="shared" si="166"/>
        <v>0</v>
      </c>
      <c r="AC1484" s="60">
        <f t="shared" si="167"/>
        <v>0</v>
      </c>
    </row>
    <row r="1485" spans="1:29">
      <c r="A1485" s="83" t="str">
        <f t="shared" si="161"/>
        <v/>
      </c>
      <c r="B1485" s="83" t="str">
        <f t="shared" si="162"/>
        <v/>
      </c>
      <c r="U1485" s="83" t="str">
        <f t="shared" si="163"/>
        <v/>
      </c>
      <c r="V1485" s="83" t="str">
        <f t="shared" si="164"/>
        <v/>
      </c>
      <c r="AA1485" s="60">
        <f t="shared" si="165"/>
        <v>0</v>
      </c>
      <c r="AB1485" s="49">
        <f t="shared" si="166"/>
        <v>0</v>
      </c>
      <c r="AC1485" s="60">
        <f t="shared" si="167"/>
        <v>0</v>
      </c>
    </row>
    <row r="1486" spans="1:29">
      <c r="A1486" s="83" t="str">
        <f t="shared" si="161"/>
        <v/>
      </c>
      <c r="B1486" s="83" t="str">
        <f t="shared" si="162"/>
        <v/>
      </c>
      <c r="U1486" s="83" t="str">
        <f t="shared" si="163"/>
        <v/>
      </c>
      <c r="V1486" s="83" t="str">
        <f t="shared" si="164"/>
        <v/>
      </c>
      <c r="AA1486" s="60">
        <f t="shared" si="165"/>
        <v>0</v>
      </c>
      <c r="AB1486" s="49">
        <f t="shared" si="166"/>
        <v>0</v>
      </c>
      <c r="AC1486" s="60">
        <f t="shared" si="167"/>
        <v>0</v>
      </c>
    </row>
    <row r="1487" spans="1:29">
      <c r="A1487" s="83" t="str">
        <f t="shared" si="161"/>
        <v/>
      </c>
      <c r="B1487" s="83" t="str">
        <f t="shared" si="162"/>
        <v/>
      </c>
      <c r="U1487" s="83" t="str">
        <f t="shared" si="163"/>
        <v/>
      </c>
      <c r="V1487" s="83" t="str">
        <f t="shared" si="164"/>
        <v/>
      </c>
      <c r="AA1487" s="60">
        <f t="shared" si="165"/>
        <v>0</v>
      </c>
      <c r="AB1487" s="49">
        <f t="shared" si="166"/>
        <v>0</v>
      </c>
      <c r="AC1487" s="60">
        <f t="shared" si="167"/>
        <v>0</v>
      </c>
    </row>
    <row r="1488" spans="1:29">
      <c r="A1488" s="83" t="str">
        <f t="shared" si="161"/>
        <v/>
      </c>
      <c r="B1488" s="83" t="str">
        <f t="shared" si="162"/>
        <v/>
      </c>
      <c r="U1488" s="83" t="str">
        <f t="shared" si="163"/>
        <v/>
      </c>
      <c r="V1488" s="83" t="str">
        <f t="shared" si="164"/>
        <v/>
      </c>
      <c r="AA1488" s="60">
        <f t="shared" si="165"/>
        <v>0</v>
      </c>
      <c r="AB1488" s="49">
        <f t="shared" si="166"/>
        <v>0</v>
      </c>
      <c r="AC1488" s="60">
        <f t="shared" si="167"/>
        <v>0</v>
      </c>
    </row>
    <row r="1489" spans="1:29">
      <c r="A1489" s="83" t="str">
        <f t="shared" si="161"/>
        <v/>
      </c>
      <c r="B1489" s="83" t="str">
        <f t="shared" si="162"/>
        <v/>
      </c>
      <c r="U1489" s="83" t="str">
        <f t="shared" si="163"/>
        <v/>
      </c>
      <c r="V1489" s="83" t="str">
        <f t="shared" si="164"/>
        <v/>
      </c>
      <c r="AA1489" s="60">
        <f t="shared" si="165"/>
        <v>0</v>
      </c>
      <c r="AB1489" s="49">
        <f t="shared" si="166"/>
        <v>0</v>
      </c>
      <c r="AC1489" s="60">
        <f t="shared" si="167"/>
        <v>0</v>
      </c>
    </row>
    <row r="1490" spans="1:29">
      <c r="A1490" s="83" t="str">
        <f t="shared" si="161"/>
        <v/>
      </c>
      <c r="B1490" s="83" t="str">
        <f t="shared" si="162"/>
        <v/>
      </c>
      <c r="U1490" s="83" t="str">
        <f t="shared" si="163"/>
        <v/>
      </c>
      <c r="V1490" s="83" t="str">
        <f t="shared" si="164"/>
        <v/>
      </c>
      <c r="AA1490" s="60">
        <f t="shared" si="165"/>
        <v>0</v>
      </c>
      <c r="AB1490" s="49">
        <f t="shared" si="166"/>
        <v>0</v>
      </c>
      <c r="AC1490" s="60">
        <f t="shared" si="167"/>
        <v>0</v>
      </c>
    </row>
    <row r="1491" spans="1:29">
      <c r="A1491" s="83" t="str">
        <f t="shared" si="161"/>
        <v/>
      </c>
      <c r="B1491" s="83" t="str">
        <f t="shared" si="162"/>
        <v/>
      </c>
      <c r="U1491" s="83" t="str">
        <f t="shared" si="163"/>
        <v/>
      </c>
      <c r="V1491" s="83" t="str">
        <f t="shared" si="164"/>
        <v/>
      </c>
      <c r="AA1491" s="60">
        <f t="shared" si="165"/>
        <v>0</v>
      </c>
      <c r="AB1491" s="49">
        <f t="shared" si="166"/>
        <v>0</v>
      </c>
      <c r="AC1491" s="60">
        <f t="shared" si="167"/>
        <v>0</v>
      </c>
    </row>
    <row r="1492" spans="1:29">
      <c r="A1492" s="83" t="str">
        <f t="shared" si="161"/>
        <v/>
      </c>
      <c r="B1492" s="83" t="str">
        <f t="shared" si="162"/>
        <v/>
      </c>
      <c r="U1492" s="83" t="str">
        <f t="shared" si="163"/>
        <v/>
      </c>
      <c r="V1492" s="83" t="str">
        <f t="shared" si="164"/>
        <v/>
      </c>
      <c r="AA1492" s="60">
        <f t="shared" si="165"/>
        <v>0</v>
      </c>
      <c r="AB1492" s="49">
        <f t="shared" si="166"/>
        <v>0</v>
      </c>
      <c r="AC1492" s="60">
        <f t="shared" si="167"/>
        <v>0</v>
      </c>
    </row>
    <row r="1493" spans="1:29">
      <c r="A1493" s="83" t="str">
        <f t="shared" si="161"/>
        <v/>
      </c>
      <c r="B1493" s="83" t="str">
        <f t="shared" si="162"/>
        <v/>
      </c>
      <c r="U1493" s="83" t="str">
        <f t="shared" si="163"/>
        <v/>
      </c>
      <c r="V1493" s="83" t="str">
        <f t="shared" si="164"/>
        <v/>
      </c>
      <c r="AA1493" s="60">
        <f t="shared" si="165"/>
        <v>0</v>
      </c>
      <c r="AB1493" s="49">
        <f t="shared" si="166"/>
        <v>0</v>
      </c>
      <c r="AC1493" s="60">
        <f t="shared" si="167"/>
        <v>0</v>
      </c>
    </row>
    <row r="1494" spans="1:29">
      <c r="A1494" s="83" t="str">
        <f t="shared" si="161"/>
        <v/>
      </c>
      <c r="B1494" s="83" t="str">
        <f t="shared" si="162"/>
        <v/>
      </c>
      <c r="U1494" s="83" t="str">
        <f t="shared" si="163"/>
        <v/>
      </c>
      <c r="V1494" s="83" t="str">
        <f t="shared" si="164"/>
        <v/>
      </c>
      <c r="AA1494" s="60">
        <f t="shared" si="165"/>
        <v>0</v>
      </c>
      <c r="AB1494" s="49">
        <f t="shared" si="166"/>
        <v>0</v>
      </c>
      <c r="AC1494" s="60">
        <f t="shared" si="167"/>
        <v>0</v>
      </c>
    </row>
    <row r="1495" spans="1:29">
      <c r="A1495" s="83" t="str">
        <f t="shared" si="161"/>
        <v/>
      </c>
      <c r="B1495" s="83" t="str">
        <f t="shared" si="162"/>
        <v/>
      </c>
      <c r="U1495" s="83" t="str">
        <f t="shared" si="163"/>
        <v/>
      </c>
      <c r="V1495" s="83" t="str">
        <f t="shared" si="164"/>
        <v/>
      </c>
      <c r="AA1495" s="60">
        <f t="shared" si="165"/>
        <v>0</v>
      </c>
      <c r="AB1495" s="49">
        <f t="shared" si="166"/>
        <v>0</v>
      </c>
      <c r="AC1495" s="60">
        <f t="shared" si="167"/>
        <v>0</v>
      </c>
    </row>
    <row r="1496" spans="1:29">
      <c r="A1496" s="83" t="str">
        <f t="shared" si="161"/>
        <v/>
      </c>
      <c r="B1496" s="83" t="str">
        <f t="shared" si="162"/>
        <v/>
      </c>
      <c r="U1496" s="83" t="str">
        <f t="shared" si="163"/>
        <v/>
      </c>
      <c r="V1496" s="83" t="str">
        <f t="shared" si="164"/>
        <v/>
      </c>
      <c r="AA1496" s="60">
        <f t="shared" si="165"/>
        <v>0</v>
      </c>
      <c r="AB1496" s="49">
        <f t="shared" si="166"/>
        <v>0</v>
      </c>
      <c r="AC1496" s="60">
        <f t="shared" si="167"/>
        <v>0</v>
      </c>
    </row>
    <row r="1497" spans="1:29">
      <c r="A1497" s="83" t="str">
        <f t="shared" si="161"/>
        <v/>
      </c>
      <c r="B1497" s="83" t="str">
        <f t="shared" si="162"/>
        <v/>
      </c>
      <c r="U1497" s="83" t="str">
        <f t="shared" si="163"/>
        <v/>
      </c>
      <c r="V1497" s="83" t="str">
        <f t="shared" si="164"/>
        <v/>
      </c>
      <c r="AA1497" s="60">
        <f t="shared" si="165"/>
        <v>0</v>
      </c>
      <c r="AB1497" s="49">
        <f t="shared" si="166"/>
        <v>0</v>
      </c>
      <c r="AC1497" s="60">
        <f t="shared" si="167"/>
        <v>0</v>
      </c>
    </row>
    <row r="1498" spans="1:29">
      <c r="A1498" s="83" t="str">
        <f t="shared" si="161"/>
        <v/>
      </c>
      <c r="B1498" s="83" t="str">
        <f t="shared" si="162"/>
        <v/>
      </c>
      <c r="U1498" s="83" t="str">
        <f t="shared" si="163"/>
        <v/>
      </c>
      <c r="V1498" s="83" t="str">
        <f t="shared" si="164"/>
        <v/>
      </c>
      <c r="AA1498" s="60">
        <f t="shared" si="165"/>
        <v>0</v>
      </c>
      <c r="AB1498" s="49">
        <f t="shared" si="166"/>
        <v>0</v>
      </c>
      <c r="AC1498" s="60">
        <f t="shared" si="167"/>
        <v>0</v>
      </c>
    </row>
    <row r="1499" spans="1:29">
      <c r="A1499" s="83" t="str">
        <f t="shared" si="161"/>
        <v/>
      </c>
      <c r="B1499" s="83" t="str">
        <f t="shared" si="162"/>
        <v/>
      </c>
      <c r="U1499" s="83" t="str">
        <f t="shared" si="163"/>
        <v/>
      </c>
      <c r="V1499" s="83" t="str">
        <f t="shared" si="164"/>
        <v/>
      </c>
      <c r="AA1499" s="60">
        <f t="shared" si="165"/>
        <v>0</v>
      </c>
      <c r="AB1499" s="49">
        <f t="shared" si="166"/>
        <v>0</v>
      </c>
      <c r="AC1499" s="60">
        <f t="shared" si="167"/>
        <v>0</v>
      </c>
    </row>
    <row r="1500" spans="1:29">
      <c r="A1500" s="83" t="str">
        <f t="shared" si="161"/>
        <v/>
      </c>
      <c r="B1500" s="83" t="str">
        <f t="shared" si="162"/>
        <v/>
      </c>
      <c r="U1500" s="83" t="str">
        <f t="shared" si="163"/>
        <v/>
      </c>
      <c r="V1500" s="83" t="str">
        <f t="shared" si="164"/>
        <v/>
      </c>
      <c r="AA1500" s="60">
        <f t="shared" si="165"/>
        <v>0</v>
      </c>
      <c r="AB1500" s="49">
        <f t="shared" si="166"/>
        <v>0</v>
      </c>
      <c r="AC1500" s="60">
        <f t="shared" si="167"/>
        <v>0</v>
      </c>
    </row>
    <row r="1501" spans="1:29">
      <c r="A1501" s="83" t="str">
        <f t="shared" si="161"/>
        <v/>
      </c>
      <c r="B1501" s="83" t="str">
        <f t="shared" si="162"/>
        <v/>
      </c>
      <c r="U1501" s="83" t="str">
        <f t="shared" si="163"/>
        <v/>
      </c>
      <c r="V1501" s="83" t="str">
        <f t="shared" si="164"/>
        <v/>
      </c>
      <c r="AA1501" s="60">
        <f t="shared" si="165"/>
        <v>0</v>
      </c>
      <c r="AB1501" s="49">
        <f t="shared" si="166"/>
        <v>0</v>
      </c>
      <c r="AC1501" s="60">
        <f t="shared" si="167"/>
        <v>0</v>
      </c>
    </row>
    <row r="1502" spans="1:29">
      <c r="A1502" s="83" t="str">
        <f t="shared" si="161"/>
        <v/>
      </c>
      <c r="B1502" s="83" t="str">
        <f t="shared" si="162"/>
        <v/>
      </c>
      <c r="U1502" s="83" t="str">
        <f t="shared" si="163"/>
        <v/>
      </c>
      <c r="V1502" s="83" t="str">
        <f t="shared" si="164"/>
        <v/>
      </c>
      <c r="AA1502" s="60">
        <f t="shared" si="165"/>
        <v>0</v>
      </c>
      <c r="AB1502" s="49">
        <f t="shared" si="166"/>
        <v>0</v>
      </c>
      <c r="AC1502" s="60">
        <f t="shared" si="167"/>
        <v>0</v>
      </c>
    </row>
    <row r="1503" spans="1:29">
      <c r="A1503" s="83" t="str">
        <f t="shared" si="161"/>
        <v/>
      </c>
      <c r="B1503" s="83" t="str">
        <f t="shared" si="162"/>
        <v/>
      </c>
      <c r="U1503" s="83" t="str">
        <f t="shared" si="163"/>
        <v/>
      </c>
      <c r="V1503" s="83" t="str">
        <f t="shared" si="164"/>
        <v/>
      </c>
      <c r="AA1503" s="60">
        <f t="shared" si="165"/>
        <v>0</v>
      </c>
      <c r="AB1503" s="49">
        <f t="shared" si="166"/>
        <v>0</v>
      </c>
      <c r="AC1503" s="60">
        <f t="shared" si="167"/>
        <v>0</v>
      </c>
    </row>
    <row r="1504" spans="1:29">
      <c r="A1504" s="83" t="str">
        <f t="shared" si="161"/>
        <v/>
      </c>
      <c r="B1504" s="83" t="str">
        <f t="shared" si="162"/>
        <v/>
      </c>
      <c r="U1504" s="83" t="str">
        <f t="shared" si="163"/>
        <v/>
      </c>
      <c r="V1504" s="83" t="str">
        <f t="shared" si="164"/>
        <v/>
      </c>
      <c r="AA1504" s="60">
        <f t="shared" si="165"/>
        <v>0</v>
      </c>
      <c r="AB1504" s="49">
        <f t="shared" si="166"/>
        <v>0</v>
      </c>
      <c r="AC1504" s="60">
        <f t="shared" si="167"/>
        <v>0</v>
      </c>
    </row>
    <row r="1505" spans="1:29">
      <c r="A1505" s="83" t="str">
        <f t="shared" si="161"/>
        <v/>
      </c>
      <c r="B1505" s="83" t="str">
        <f t="shared" si="162"/>
        <v/>
      </c>
      <c r="U1505" s="83" t="str">
        <f t="shared" si="163"/>
        <v/>
      </c>
      <c r="V1505" s="83" t="str">
        <f t="shared" si="164"/>
        <v/>
      </c>
      <c r="AA1505" s="60">
        <f t="shared" si="165"/>
        <v>0</v>
      </c>
      <c r="AB1505" s="49">
        <f t="shared" si="166"/>
        <v>0</v>
      </c>
      <c r="AC1505" s="60">
        <f t="shared" si="167"/>
        <v>0</v>
      </c>
    </row>
    <row r="1506" spans="1:29">
      <c r="A1506" s="83" t="str">
        <f t="shared" si="161"/>
        <v/>
      </c>
      <c r="B1506" s="83" t="str">
        <f t="shared" si="162"/>
        <v/>
      </c>
      <c r="U1506" s="83" t="str">
        <f t="shared" si="163"/>
        <v/>
      </c>
      <c r="V1506" s="83" t="str">
        <f t="shared" si="164"/>
        <v/>
      </c>
      <c r="AA1506" s="60">
        <f t="shared" si="165"/>
        <v>0</v>
      </c>
      <c r="AB1506" s="49">
        <f t="shared" si="166"/>
        <v>0</v>
      </c>
      <c r="AC1506" s="60">
        <f t="shared" si="167"/>
        <v>0</v>
      </c>
    </row>
    <row r="1507" spans="1:29">
      <c r="A1507" s="83" t="str">
        <f t="shared" si="161"/>
        <v/>
      </c>
      <c r="B1507" s="83" t="str">
        <f t="shared" si="162"/>
        <v/>
      </c>
      <c r="U1507" s="83" t="str">
        <f t="shared" si="163"/>
        <v/>
      </c>
      <c r="V1507" s="83" t="str">
        <f t="shared" si="164"/>
        <v/>
      </c>
      <c r="AA1507" s="60">
        <f t="shared" si="165"/>
        <v>0</v>
      </c>
      <c r="AB1507" s="49">
        <f t="shared" si="166"/>
        <v>0</v>
      </c>
      <c r="AC1507" s="60">
        <f t="shared" si="167"/>
        <v>0</v>
      </c>
    </row>
    <row r="1508" spans="1:29">
      <c r="A1508" s="83" t="str">
        <f t="shared" si="161"/>
        <v/>
      </c>
      <c r="B1508" s="83" t="str">
        <f t="shared" si="162"/>
        <v/>
      </c>
      <c r="U1508" s="83" t="str">
        <f t="shared" si="163"/>
        <v/>
      </c>
      <c r="V1508" s="83" t="str">
        <f t="shared" si="164"/>
        <v/>
      </c>
      <c r="AA1508" s="60">
        <f t="shared" si="165"/>
        <v>0</v>
      </c>
      <c r="AB1508" s="49">
        <f t="shared" si="166"/>
        <v>0</v>
      </c>
      <c r="AC1508" s="60">
        <f t="shared" si="167"/>
        <v>0</v>
      </c>
    </row>
    <row r="1509" spans="1:29">
      <c r="A1509" s="83" t="str">
        <f t="shared" si="161"/>
        <v/>
      </c>
      <c r="B1509" s="83" t="str">
        <f t="shared" si="162"/>
        <v/>
      </c>
      <c r="U1509" s="83" t="str">
        <f t="shared" si="163"/>
        <v/>
      </c>
      <c r="V1509" s="83" t="str">
        <f t="shared" si="164"/>
        <v/>
      </c>
      <c r="AA1509" s="60">
        <f t="shared" si="165"/>
        <v>0</v>
      </c>
      <c r="AB1509" s="49">
        <f t="shared" si="166"/>
        <v>0</v>
      </c>
      <c r="AC1509" s="60">
        <f t="shared" si="167"/>
        <v>0</v>
      </c>
    </row>
    <row r="1510" spans="1:29">
      <c r="A1510" s="83" t="str">
        <f t="shared" si="161"/>
        <v/>
      </c>
      <c r="B1510" s="83" t="str">
        <f t="shared" si="162"/>
        <v/>
      </c>
      <c r="U1510" s="83" t="str">
        <f t="shared" si="163"/>
        <v/>
      </c>
      <c r="V1510" s="83" t="str">
        <f t="shared" si="164"/>
        <v/>
      </c>
      <c r="AA1510" s="60">
        <f t="shared" si="165"/>
        <v>0</v>
      </c>
      <c r="AB1510" s="49">
        <f t="shared" si="166"/>
        <v>0</v>
      </c>
      <c r="AC1510" s="60">
        <f t="shared" si="167"/>
        <v>0</v>
      </c>
    </row>
    <row r="1511" spans="1:29">
      <c r="A1511" s="83" t="str">
        <f t="shared" si="161"/>
        <v/>
      </c>
      <c r="B1511" s="83" t="str">
        <f t="shared" si="162"/>
        <v/>
      </c>
      <c r="U1511" s="83" t="str">
        <f t="shared" si="163"/>
        <v/>
      </c>
      <c r="V1511" s="83" t="str">
        <f t="shared" si="164"/>
        <v/>
      </c>
      <c r="AA1511" s="60">
        <f t="shared" si="165"/>
        <v>0</v>
      </c>
      <c r="AB1511" s="49">
        <f t="shared" si="166"/>
        <v>0</v>
      </c>
      <c r="AC1511" s="60">
        <f t="shared" si="167"/>
        <v>0</v>
      </c>
    </row>
    <row r="1512" spans="1:29">
      <c r="A1512" s="83" t="str">
        <f t="shared" si="161"/>
        <v/>
      </c>
      <c r="B1512" s="83" t="str">
        <f t="shared" si="162"/>
        <v/>
      </c>
      <c r="U1512" s="83" t="str">
        <f t="shared" si="163"/>
        <v/>
      </c>
      <c r="V1512" s="83" t="str">
        <f t="shared" si="164"/>
        <v/>
      </c>
      <c r="AA1512" s="60">
        <f t="shared" si="165"/>
        <v>0</v>
      </c>
      <c r="AB1512" s="49">
        <f t="shared" si="166"/>
        <v>0</v>
      </c>
      <c r="AC1512" s="60">
        <f t="shared" si="167"/>
        <v>0</v>
      </c>
    </row>
    <row r="1513" spans="1:29">
      <c r="A1513" s="83" t="str">
        <f t="shared" si="161"/>
        <v/>
      </c>
      <c r="B1513" s="83" t="str">
        <f t="shared" si="162"/>
        <v/>
      </c>
      <c r="U1513" s="83" t="str">
        <f t="shared" si="163"/>
        <v/>
      </c>
      <c r="V1513" s="83" t="str">
        <f t="shared" si="164"/>
        <v/>
      </c>
      <c r="AA1513" s="60">
        <f t="shared" si="165"/>
        <v>0</v>
      </c>
      <c r="AB1513" s="49">
        <f t="shared" si="166"/>
        <v>0</v>
      </c>
      <c r="AC1513" s="60">
        <f t="shared" si="167"/>
        <v>0</v>
      </c>
    </row>
    <row r="1514" spans="1:29">
      <c r="A1514" s="83" t="str">
        <f t="shared" si="161"/>
        <v/>
      </c>
      <c r="B1514" s="83" t="str">
        <f t="shared" si="162"/>
        <v/>
      </c>
      <c r="U1514" s="83" t="str">
        <f t="shared" si="163"/>
        <v/>
      </c>
      <c r="V1514" s="83" t="str">
        <f t="shared" si="164"/>
        <v/>
      </c>
      <c r="AA1514" s="60">
        <f t="shared" si="165"/>
        <v>0</v>
      </c>
      <c r="AB1514" s="49">
        <f t="shared" si="166"/>
        <v>0</v>
      </c>
      <c r="AC1514" s="60">
        <f t="shared" si="167"/>
        <v>0</v>
      </c>
    </row>
    <row r="1515" spans="1:29">
      <c r="A1515" s="83" t="str">
        <f t="shared" si="161"/>
        <v/>
      </c>
      <c r="B1515" s="83" t="str">
        <f t="shared" si="162"/>
        <v/>
      </c>
      <c r="U1515" s="83" t="str">
        <f t="shared" si="163"/>
        <v/>
      </c>
      <c r="V1515" s="83" t="str">
        <f t="shared" si="164"/>
        <v/>
      </c>
      <c r="AA1515" s="60">
        <f t="shared" si="165"/>
        <v>0</v>
      </c>
      <c r="AB1515" s="49">
        <f t="shared" si="166"/>
        <v>0</v>
      </c>
      <c r="AC1515" s="60">
        <f t="shared" si="167"/>
        <v>0</v>
      </c>
    </row>
    <row r="1516" spans="1:29">
      <c r="A1516" s="83" t="str">
        <f t="shared" si="161"/>
        <v/>
      </c>
      <c r="B1516" s="83" t="str">
        <f t="shared" si="162"/>
        <v/>
      </c>
      <c r="U1516" s="83" t="str">
        <f t="shared" si="163"/>
        <v/>
      </c>
      <c r="V1516" s="83" t="str">
        <f t="shared" si="164"/>
        <v/>
      </c>
      <c r="AA1516" s="60">
        <f t="shared" si="165"/>
        <v>0</v>
      </c>
      <c r="AB1516" s="49">
        <f t="shared" si="166"/>
        <v>0</v>
      </c>
      <c r="AC1516" s="60">
        <f t="shared" si="167"/>
        <v>0</v>
      </c>
    </row>
    <row r="1517" spans="1:29">
      <c r="A1517" s="83" t="str">
        <f t="shared" si="161"/>
        <v/>
      </c>
      <c r="B1517" s="83" t="str">
        <f t="shared" si="162"/>
        <v/>
      </c>
      <c r="U1517" s="83" t="str">
        <f t="shared" si="163"/>
        <v/>
      </c>
      <c r="V1517" s="83" t="str">
        <f t="shared" si="164"/>
        <v/>
      </c>
      <c r="AA1517" s="60">
        <f t="shared" si="165"/>
        <v>0</v>
      </c>
      <c r="AB1517" s="49">
        <f t="shared" si="166"/>
        <v>0</v>
      </c>
      <c r="AC1517" s="60">
        <f t="shared" si="167"/>
        <v>0</v>
      </c>
    </row>
    <row r="1518" spans="1:29">
      <c r="A1518" s="83" t="str">
        <f t="shared" si="161"/>
        <v/>
      </c>
      <c r="B1518" s="83" t="str">
        <f t="shared" si="162"/>
        <v/>
      </c>
      <c r="U1518" s="83" t="str">
        <f t="shared" si="163"/>
        <v/>
      </c>
      <c r="V1518" s="83" t="str">
        <f t="shared" si="164"/>
        <v/>
      </c>
      <c r="AA1518" s="60">
        <f t="shared" si="165"/>
        <v>0</v>
      </c>
      <c r="AB1518" s="49">
        <f t="shared" si="166"/>
        <v>0</v>
      </c>
      <c r="AC1518" s="60">
        <f t="shared" si="167"/>
        <v>0</v>
      </c>
    </row>
    <row r="1519" spans="1:29">
      <c r="A1519" s="83" t="str">
        <f t="shared" si="161"/>
        <v/>
      </c>
      <c r="B1519" s="83" t="str">
        <f t="shared" si="162"/>
        <v/>
      </c>
      <c r="U1519" s="83" t="str">
        <f t="shared" si="163"/>
        <v/>
      </c>
      <c r="V1519" s="83" t="str">
        <f t="shared" si="164"/>
        <v/>
      </c>
      <c r="AA1519" s="60">
        <f t="shared" si="165"/>
        <v>0</v>
      </c>
      <c r="AB1519" s="49">
        <f t="shared" si="166"/>
        <v>0</v>
      </c>
      <c r="AC1519" s="60">
        <f t="shared" si="167"/>
        <v>0</v>
      </c>
    </row>
    <row r="1520" spans="1:29">
      <c r="A1520" s="83" t="str">
        <f t="shared" si="161"/>
        <v/>
      </c>
      <c r="B1520" s="83" t="str">
        <f t="shared" si="162"/>
        <v/>
      </c>
      <c r="U1520" s="83" t="str">
        <f t="shared" si="163"/>
        <v/>
      </c>
      <c r="V1520" s="83" t="str">
        <f t="shared" si="164"/>
        <v/>
      </c>
      <c r="AA1520" s="60">
        <f t="shared" si="165"/>
        <v>0</v>
      </c>
      <c r="AB1520" s="49">
        <f t="shared" si="166"/>
        <v>0</v>
      </c>
      <c r="AC1520" s="60">
        <f t="shared" si="167"/>
        <v>0</v>
      </c>
    </row>
    <row r="1521" spans="1:29">
      <c r="A1521" s="83" t="str">
        <f t="shared" si="161"/>
        <v/>
      </c>
      <c r="B1521" s="83" t="str">
        <f t="shared" si="162"/>
        <v/>
      </c>
      <c r="U1521" s="83" t="str">
        <f t="shared" si="163"/>
        <v/>
      </c>
      <c r="V1521" s="83" t="str">
        <f t="shared" si="164"/>
        <v/>
      </c>
      <c r="AA1521" s="60">
        <f t="shared" si="165"/>
        <v>0</v>
      </c>
      <c r="AB1521" s="49">
        <f t="shared" si="166"/>
        <v>0</v>
      </c>
      <c r="AC1521" s="60">
        <f t="shared" si="167"/>
        <v>0</v>
      </c>
    </row>
    <row r="1522" spans="1:29">
      <c r="A1522" s="83" t="str">
        <f t="shared" si="161"/>
        <v/>
      </c>
      <c r="B1522" s="83" t="str">
        <f t="shared" si="162"/>
        <v/>
      </c>
      <c r="U1522" s="83" t="str">
        <f t="shared" si="163"/>
        <v/>
      </c>
      <c r="V1522" s="83" t="str">
        <f t="shared" si="164"/>
        <v/>
      </c>
      <c r="AA1522" s="60">
        <f t="shared" si="165"/>
        <v>0</v>
      </c>
      <c r="AB1522" s="49">
        <f t="shared" si="166"/>
        <v>0</v>
      </c>
      <c r="AC1522" s="60">
        <f t="shared" si="167"/>
        <v>0</v>
      </c>
    </row>
    <row r="1523" spans="1:29">
      <c r="A1523" s="83" t="str">
        <f t="shared" si="161"/>
        <v/>
      </c>
      <c r="B1523" s="83" t="str">
        <f t="shared" si="162"/>
        <v/>
      </c>
      <c r="U1523" s="83" t="str">
        <f t="shared" si="163"/>
        <v/>
      </c>
      <c r="V1523" s="83" t="str">
        <f t="shared" si="164"/>
        <v/>
      </c>
      <c r="AA1523" s="60">
        <f t="shared" si="165"/>
        <v>0</v>
      </c>
      <c r="AB1523" s="49">
        <f t="shared" si="166"/>
        <v>0</v>
      </c>
      <c r="AC1523" s="60">
        <f t="shared" si="167"/>
        <v>0</v>
      </c>
    </row>
    <row r="1524" spans="1:29">
      <c r="A1524" s="83" t="str">
        <f t="shared" si="161"/>
        <v/>
      </c>
      <c r="B1524" s="83" t="str">
        <f t="shared" si="162"/>
        <v/>
      </c>
      <c r="U1524" s="83" t="str">
        <f t="shared" si="163"/>
        <v/>
      </c>
      <c r="V1524" s="83" t="str">
        <f t="shared" si="164"/>
        <v/>
      </c>
      <c r="AA1524" s="60">
        <f t="shared" si="165"/>
        <v>0</v>
      </c>
      <c r="AB1524" s="49">
        <f t="shared" si="166"/>
        <v>0</v>
      </c>
      <c r="AC1524" s="60">
        <f t="shared" si="167"/>
        <v>0</v>
      </c>
    </row>
    <row r="1525" spans="1:29">
      <c r="A1525" s="83" t="str">
        <f t="shared" si="161"/>
        <v/>
      </c>
      <c r="B1525" s="83" t="str">
        <f t="shared" si="162"/>
        <v/>
      </c>
      <c r="U1525" s="83" t="str">
        <f t="shared" si="163"/>
        <v/>
      </c>
      <c r="V1525" s="83" t="str">
        <f t="shared" si="164"/>
        <v/>
      </c>
      <c r="AA1525" s="60">
        <f t="shared" si="165"/>
        <v>0</v>
      </c>
      <c r="AB1525" s="49">
        <f t="shared" si="166"/>
        <v>0</v>
      </c>
      <c r="AC1525" s="60">
        <f t="shared" si="167"/>
        <v>0</v>
      </c>
    </row>
    <row r="1526" spans="1:29">
      <c r="A1526" s="83" t="str">
        <f t="shared" si="161"/>
        <v/>
      </c>
      <c r="B1526" s="83" t="str">
        <f t="shared" si="162"/>
        <v/>
      </c>
      <c r="U1526" s="83" t="str">
        <f t="shared" si="163"/>
        <v/>
      </c>
      <c r="V1526" s="83" t="str">
        <f t="shared" si="164"/>
        <v/>
      </c>
      <c r="AA1526" s="60">
        <f t="shared" si="165"/>
        <v>0</v>
      </c>
      <c r="AB1526" s="49">
        <f t="shared" si="166"/>
        <v>0</v>
      </c>
      <c r="AC1526" s="60">
        <f t="shared" si="167"/>
        <v>0</v>
      </c>
    </row>
    <row r="1527" spans="1:29">
      <c r="A1527" s="83" t="str">
        <f t="shared" si="161"/>
        <v/>
      </c>
      <c r="B1527" s="83" t="str">
        <f t="shared" si="162"/>
        <v/>
      </c>
      <c r="U1527" s="83" t="str">
        <f t="shared" si="163"/>
        <v/>
      </c>
      <c r="V1527" s="83" t="str">
        <f t="shared" si="164"/>
        <v/>
      </c>
      <c r="AA1527" s="60">
        <f t="shared" si="165"/>
        <v>0</v>
      </c>
      <c r="AB1527" s="49">
        <f t="shared" si="166"/>
        <v>0</v>
      </c>
      <c r="AC1527" s="60">
        <f t="shared" si="167"/>
        <v>0</v>
      </c>
    </row>
    <row r="1528" spans="1:29">
      <c r="A1528" s="83" t="str">
        <f t="shared" si="161"/>
        <v/>
      </c>
      <c r="B1528" s="83" t="str">
        <f t="shared" si="162"/>
        <v/>
      </c>
      <c r="U1528" s="83" t="str">
        <f t="shared" si="163"/>
        <v/>
      </c>
      <c r="V1528" s="83" t="str">
        <f t="shared" si="164"/>
        <v/>
      </c>
      <c r="AA1528" s="60">
        <f t="shared" si="165"/>
        <v>0</v>
      </c>
      <c r="AB1528" s="49">
        <f t="shared" si="166"/>
        <v>0</v>
      </c>
      <c r="AC1528" s="60">
        <f t="shared" si="167"/>
        <v>0</v>
      </c>
    </row>
    <row r="1529" spans="1:29">
      <c r="A1529" s="83" t="str">
        <f t="shared" si="161"/>
        <v/>
      </c>
      <c r="B1529" s="83" t="str">
        <f t="shared" si="162"/>
        <v/>
      </c>
      <c r="U1529" s="83" t="str">
        <f t="shared" si="163"/>
        <v/>
      </c>
      <c r="V1529" s="83" t="str">
        <f t="shared" si="164"/>
        <v/>
      </c>
      <c r="AA1529" s="60">
        <f t="shared" si="165"/>
        <v>0</v>
      </c>
      <c r="AB1529" s="49">
        <f t="shared" si="166"/>
        <v>0</v>
      </c>
      <c r="AC1529" s="60">
        <f t="shared" si="167"/>
        <v>0</v>
      </c>
    </row>
    <row r="1530" spans="1:29">
      <c r="A1530" s="83" t="str">
        <f t="shared" si="161"/>
        <v/>
      </c>
      <c r="B1530" s="83" t="str">
        <f t="shared" si="162"/>
        <v/>
      </c>
      <c r="U1530" s="83" t="str">
        <f t="shared" si="163"/>
        <v/>
      </c>
      <c r="V1530" s="83" t="str">
        <f t="shared" si="164"/>
        <v/>
      </c>
      <c r="AA1530" s="60">
        <f t="shared" si="165"/>
        <v>0</v>
      </c>
      <c r="AB1530" s="49">
        <f t="shared" si="166"/>
        <v>0</v>
      </c>
      <c r="AC1530" s="60">
        <f t="shared" si="167"/>
        <v>0</v>
      </c>
    </row>
    <row r="1531" spans="1:29">
      <c r="A1531" s="83" t="str">
        <f t="shared" si="161"/>
        <v/>
      </c>
      <c r="B1531" s="83" t="str">
        <f t="shared" si="162"/>
        <v/>
      </c>
      <c r="U1531" s="83" t="str">
        <f t="shared" si="163"/>
        <v/>
      </c>
      <c r="V1531" s="83" t="str">
        <f t="shared" si="164"/>
        <v/>
      </c>
      <c r="AA1531" s="60">
        <f t="shared" si="165"/>
        <v>0</v>
      </c>
      <c r="AB1531" s="49">
        <f t="shared" si="166"/>
        <v>0</v>
      </c>
      <c r="AC1531" s="60">
        <f t="shared" si="167"/>
        <v>0</v>
      </c>
    </row>
    <row r="1532" spans="1:29">
      <c r="A1532" s="83" t="str">
        <f t="shared" si="161"/>
        <v/>
      </c>
      <c r="B1532" s="83" t="str">
        <f t="shared" si="162"/>
        <v/>
      </c>
      <c r="U1532" s="83" t="str">
        <f t="shared" si="163"/>
        <v/>
      </c>
      <c r="V1532" s="83" t="str">
        <f t="shared" si="164"/>
        <v/>
      </c>
      <c r="AA1532" s="60">
        <f t="shared" si="165"/>
        <v>0</v>
      </c>
      <c r="AB1532" s="49">
        <f t="shared" si="166"/>
        <v>0</v>
      </c>
      <c r="AC1532" s="60">
        <f t="shared" si="167"/>
        <v>0</v>
      </c>
    </row>
    <row r="1533" spans="1:29">
      <c r="A1533" s="83" t="str">
        <f t="shared" si="161"/>
        <v/>
      </c>
      <c r="B1533" s="83" t="str">
        <f t="shared" si="162"/>
        <v/>
      </c>
      <c r="U1533" s="83" t="str">
        <f t="shared" si="163"/>
        <v/>
      </c>
      <c r="V1533" s="83" t="str">
        <f t="shared" si="164"/>
        <v/>
      </c>
      <c r="AA1533" s="60">
        <f t="shared" si="165"/>
        <v>0</v>
      </c>
      <c r="AB1533" s="49">
        <f t="shared" si="166"/>
        <v>0</v>
      </c>
      <c r="AC1533" s="60">
        <f t="shared" si="167"/>
        <v>0</v>
      </c>
    </row>
    <row r="1534" spans="1:29">
      <c r="A1534" s="83" t="str">
        <f t="shared" si="161"/>
        <v/>
      </c>
      <c r="B1534" s="83" t="str">
        <f t="shared" si="162"/>
        <v/>
      </c>
      <c r="U1534" s="83" t="str">
        <f t="shared" si="163"/>
        <v/>
      </c>
      <c r="V1534" s="83" t="str">
        <f t="shared" si="164"/>
        <v/>
      </c>
      <c r="AA1534" s="60">
        <f t="shared" si="165"/>
        <v>0</v>
      </c>
      <c r="AB1534" s="49">
        <f t="shared" si="166"/>
        <v>0</v>
      </c>
      <c r="AC1534" s="60">
        <f t="shared" si="167"/>
        <v>0</v>
      </c>
    </row>
    <row r="1535" spans="1:29">
      <c r="A1535" s="83" t="str">
        <f t="shared" si="161"/>
        <v/>
      </c>
      <c r="B1535" s="83" t="str">
        <f t="shared" si="162"/>
        <v/>
      </c>
      <c r="U1535" s="83" t="str">
        <f t="shared" si="163"/>
        <v/>
      </c>
      <c r="V1535" s="83" t="str">
        <f t="shared" si="164"/>
        <v/>
      </c>
      <c r="AA1535" s="60">
        <f t="shared" si="165"/>
        <v>0</v>
      </c>
      <c r="AB1535" s="49">
        <f t="shared" si="166"/>
        <v>0</v>
      </c>
      <c r="AC1535" s="60">
        <f t="shared" si="167"/>
        <v>0</v>
      </c>
    </row>
    <row r="1536" spans="1:29">
      <c r="A1536" s="83" t="str">
        <f t="shared" si="161"/>
        <v/>
      </c>
      <c r="B1536" s="83" t="str">
        <f t="shared" si="162"/>
        <v/>
      </c>
      <c r="U1536" s="83" t="str">
        <f t="shared" si="163"/>
        <v/>
      </c>
      <c r="V1536" s="83" t="str">
        <f t="shared" si="164"/>
        <v/>
      </c>
      <c r="AA1536" s="60">
        <f t="shared" si="165"/>
        <v>0</v>
      </c>
      <c r="AB1536" s="49">
        <f t="shared" si="166"/>
        <v>0</v>
      </c>
      <c r="AC1536" s="60">
        <f t="shared" si="167"/>
        <v>0</v>
      </c>
    </row>
    <row r="1537" spans="1:29">
      <c r="A1537" s="83" t="str">
        <f t="shared" si="161"/>
        <v/>
      </c>
      <c r="B1537" s="83" t="str">
        <f t="shared" si="162"/>
        <v/>
      </c>
      <c r="U1537" s="83" t="str">
        <f t="shared" si="163"/>
        <v/>
      </c>
      <c r="V1537" s="83" t="str">
        <f t="shared" si="164"/>
        <v/>
      </c>
      <c r="AA1537" s="60">
        <f t="shared" si="165"/>
        <v>0</v>
      </c>
      <c r="AB1537" s="49">
        <f t="shared" si="166"/>
        <v>0</v>
      </c>
      <c r="AC1537" s="60">
        <f t="shared" si="167"/>
        <v>0</v>
      </c>
    </row>
    <row r="1538" spans="1:29">
      <c r="A1538" s="83" t="str">
        <f t="shared" si="161"/>
        <v/>
      </c>
      <c r="B1538" s="83" t="str">
        <f t="shared" si="162"/>
        <v/>
      </c>
      <c r="U1538" s="83" t="str">
        <f t="shared" si="163"/>
        <v/>
      </c>
      <c r="V1538" s="83" t="str">
        <f t="shared" si="164"/>
        <v/>
      </c>
      <c r="AA1538" s="60">
        <f t="shared" si="165"/>
        <v>0</v>
      </c>
      <c r="AB1538" s="49">
        <f t="shared" si="166"/>
        <v>0</v>
      </c>
      <c r="AC1538" s="60">
        <f t="shared" si="167"/>
        <v>0</v>
      </c>
    </row>
    <row r="1539" spans="1:29">
      <c r="A1539" s="83" t="str">
        <f t="shared" ref="A1539:A1602" si="168">IF(G1539&amp;Q1539&lt;&gt;"",U1539&amp;Q1539,"")</f>
        <v/>
      </c>
      <c r="B1539" s="83" t="str">
        <f t="shared" ref="B1539:B1602" si="169">IF(C1539&lt;&gt;"",LEFT(C1539,9),"")</f>
        <v/>
      </c>
      <c r="U1539" s="83" t="str">
        <f t="shared" ref="U1539:U1602" si="170">IF(G1539&lt;&gt;"",IF(StyleSpaceSplit,IFERROR(IF(FIND(" ",G1539)&gt;=1,MID(G1539,1,FIND(" ",G1539)-1),G1539),G1539),G1539),"")</f>
        <v/>
      </c>
      <c r="V1539" s="83" t="str">
        <f t="shared" ref="V1539:V1602" si="171">IF(A1539&lt;&gt;"",IFERROR(IF(FIND(" ",G1539)&gt;=1,MID(G1539,FIND(" ",G1539)+1,LEN(G1539)),""),G1539),"")</f>
        <v/>
      </c>
      <c r="AA1539" s="60">
        <f t="shared" ref="AA1539:AA1602" si="172">IFERROR(VALUE(MID($C1539,1,2)),0)</f>
        <v>0</v>
      </c>
      <c r="AB1539" s="49">
        <f t="shared" ref="AB1539:AB1602" si="173">IFERROR(VALUE(MID($C1539,4,3)),0)</f>
        <v>0</v>
      </c>
      <c r="AC1539" s="60">
        <f t="shared" ref="AC1539:AC1602" si="174">VALUE(RIGHT("00"&amp;AA1539,2)&amp;RIGHT("000"&amp;AB1539,3))</f>
        <v>0</v>
      </c>
    </row>
    <row r="1540" spans="1:29">
      <c r="A1540" s="83" t="str">
        <f t="shared" si="168"/>
        <v/>
      </c>
      <c r="B1540" s="83" t="str">
        <f t="shared" si="169"/>
        <v/>
      </c>
      <c r="U1540" s="83" t="str">
        <f t="shared" si="170"/>
        <v/>
      </c>
      <c r="V1540" s="83" t="str">
        <f t="shared" si="171"/>
        <v/>
      </c>
      <c r="AA1540" s="60">
        <f t="shared" si="172"/>
        <v>0</v>
      </c>
      <c r="AB1540" s="49">
        <f t="shared" si="173"/>
        <v>0</v>
      </c>
      <c r="AC1540" s="60">
        <f t="shared" si="174"/>
        <v>0</v>
      </c>
    </row>
    <row r="1541" spans="1:29">
      <c r="A1541" s="83" t="str">
        <f t="shared" si="168"/>
        <v/>
      </c>
      <c r="B1541" s="83" t="str">
        <f t="shared" si="169"/>
        <v/>
      </c>
      <c r="U1541" s="83" t="str">
        <f t="shared" si="170"/>
        <v/>
      </c>
      <c r="V1541" s="83" t="str">
        <f t="shared" si="171"/>
        <v/>
      </c>
      <c r="AA1541" s="60">
        <f t="shared" si="172"/>
        <v>0</v>
      </c>
      <c r="AB1541" s="49">
        <f t="shared" si="173"/>
        <v>0</v>
      </c>
      <c r="AC1541" s="60">
        <f t="shared" si="174"/>
        <v>0</v>
      </c>
    </row>
    <row r="1542" spans="1:29">
      <c r="A1542" s="83" t="str">
        <f t="shared" si="168"/>
        <v/>
      </c>
      <c r="B1542" s="83" t="str">
        <f t="shared" si="169"/>
        <v/>
      </c>
      <c r="U1542" s="83" t="str">
        <f t="shared" si="170"/>
        <v/>
      </c>
      <c r="V1542" s="83" t="str">
        <f t="shared" si="171"/>
        <v/>
      </c>
      <c r="AA1542" s="60">
        <f t="shared" si="172"/>
        <v>0</v>
      </c>
      <c r="AB1542" s="49">
        <f t="shared" si="173"/>
        <v>0</v>
      </c>
      <c r="AC1542" s="60">
        <f t="shared" si="174"/>
        <v>0</v>
      </c>
    </row>
    <row r="1543" spans="1:29">
      <c r="A1543" s="83" t="str">
        <f t="shared" si="168"/>
        <v/>
      </c>
      <c r="B1543" s="83" t="str">
        <f t="shared" si="169"/>
        <v/>
      </c>
      <c r="U1543" s="83" t="str">
        <f t="shared" si="170"/>
        <v/>
      </c>
      <c r="V1543" s="83" t="str">
        <f t="shared" si="171"/>
        <v/>
      </c>
      <c r="AA1543" s="60">
        <f t="shared" si="172"/>
        <v>0</v>
      </c>
      <c r="AB1543" s="49">
        <f t="shared" si="173"/>
        <v>0</v>
      </c>
      <c r="AC1543" s="60">
        <f t="shared" si="174"/>
        <v>0</v>
      </c>
    </row>
    <row r="1544" spans="1:29">
      <c r="A1544" s="83" t="str">
        <f t="shared" si="168"/>
        <v/>
      </c>
      <c r="B1544" s="83" t="str">
        <f t="shared" si="169"/>
        <v/>
      </c>
      <c r="U1544" s="83" t="str">
        <f t="shared" si="170"/>
        <v/>
      </c>
      <c r="V1544" s="83" t="str">
        <f t="shared" si="171"/>
        <v/>
      </c>
      <c r="AA1544" s="60">
        <f t="shared" si="172"/>
        <v>0</v>
      </c>
      <c r="AB1544" s="49">
        <f t="shared" si="173"/>
        <v>0</v>
      </c>
      <c r="AC1544" s="60">
        <f t="shared" si="174"/>
        <v>0</v>
      </c>
    </row>
    <row r="1545" spans="1:29">
      <c r="A1545" s="83" t="str">
        <f t="shared" si="168"/>
        <v/>
      </c>
      <c r="B1545" s="83" t="str">
        <f t="shared" si="169"/>
        <v/>
      </c>
      <c r="U1545" s="83" t="str">
        <f t="shared" si="170"/>
        <v/>
      </c>
      <c r="V1545" s="83" t="str">
        <f t="shared" si="171"/>
        <v/>
      </c>
      <c r="AA1545" s="60">
        <f t="shared" si="172"/>
        <v>0</v>
      </c>
      <c r="AB1545" s="49">
        <f t="shared" si="173"/>
        <v>0</v>
      </c>
      <c r="AC1545" s="60">
        <f t="shared" si="174"/>
        <v>0</v>
      </c>
    </row>
    <row r="1546" spans="1:29">
      <c r="A1546" s="83" t="str">
        <f t="shared" si="168"/>
        <v/>
      </c>
      <c r="B1546" s="83" t="str">
        <f t="shared" si="169"/>
        <v/>
      </c>
      <c r="U1546" s="83" t="str">
        <f t="shared" si="170"/>
        <v/>
      </c>
      <c r="V1546" s="83" t="str">
        <f t="shared" si="171"/>
        <v/>
      </c>
      <c r="AA1546" s="60">
        <f t="shared" si="172"/>
        <v>0</v>
      </c>
      <c r="AB1546" s="49">
        <f t="shared" si="173"/>
        <v>0</v>
      </c>
      <c r="AC1546" s="60">
        <f t="shared" si="174"/>
        <v>0</v>
      </c>
    </row>
    <row r="1547" spans="1:29">
      <c r="A1547" s="83" t="str">
        <f t="shared" si="168"/>
        <v/>
      </c>
      <c r="B1547" s="83" t="str">
        <f t="shared" si="169"/>
        <v/>
      </c>
      <c r="U1547" s="83" t="str">
        <f t="shared" si="170"/>
        <v/>
      </c>
      <c r="V1547" s="83" t="str">
        <f t="shared" si="171"/>
        <v/>
      </c>
      <c r="AA1547" s="60">
        <f t="shared" si="172"/>
        <v>0</v>
      </c>
      <c r="AB1547" s="49">
        <f t="shared" si="173"/>
        <v>0</v>
      </c>
      <c r="AC1547" s="60">
        <f t="shared" si="174"/>
        <v>0</v>
      </c>
    </row>
    <row r="1548" spans="1:29">
      <c r="A1548" s="83" t="str">
        <f t="shared" si="168"/>
        <v/>
      </c>
      <c r="B1548" s="83" t="str">
        <f t="shared" si="169"/>
        <v/>
      </c>
      <c r="U1548" s="83" t="str">
        <f t="shared" si="170"/>
        <v/>
      </c>
      <c r="V1548" s="83" t="str">
        <f t="shared" si="171"/>
        <v/>
      </c>
      <c r="AA1548" s="60">
        <f t="shared" si="172"/>
        <v>0</v>
      </c>
      <c r="AB1548" s="49">
        <f t="shared" si="173"/>
        <v>0</v>
      </c>
      <c r="AC1548" s="60">
        <f t="shared" si="174"/>
        <v>0</v>
      </c>
    </row>
    <row r="1549" spans="1:29">
      <c r="A1549" s="83" t="str">
        <f t="shared" si="168"/>
        <v/>
      </c>
      <c r="B1549" s="83" t="str">
        <f t="shared" si="169"/>
        <v/>
      </c>
      <c r="U1549" s="83" t="str">
        <f t="shared" si="170"/>
        <v/>
      </c>
      <c r="V1549" s="83" t="str">
        <f t="shared" si="171"/>
        <v/>
      </c>
      <c r="AA1549" s="60">
        <f t="shared" si="172"/>
        <v>0</v>
      </c>
      <c r="AB1549" s="49">
        <f t="shared" si="173"/>
        <v>0</v>
      </c>
      <c r="AC1549" s="60">
        <f t="shared" si="174"/>
        <v>0</v>
      </c>
    </row>
    <row r="1550" spans="1:29">
      <c r="A1550" s="83" t="str">
        <f t="shared" si="168"/>
        <v/>
      </c>
      <c r="B1550" s="83" t="str">
        <f t="shared" si="169"/>
        <v/>
      </c>
      <c r="U1550" s="83" t="str">
        <f t="shared" si="170"/>
        <v/>
      </c>
      <c r="V1550" s="83" t="str">
        <f t="shared" si="171"/>
        <v/>
      </c>
      <c r="AA1550" s="60">
        <f t="shared" si="172"/>
        <v>0</v>
      </c>
      <c r="AB1550" s="49">
        <f t="shared" si="173"/>
        <v>0</v>
      </c>
      <c r="AC1550" s="60">
        <f t="shared" si="174"/>
        <v>0</v>
      </c>
    </row>
    <row r="1551" spans="1:29">
      <c r="A1551" s="83" t="str">
        <f t="shared" si="168"/>
        <v/>
      </c>
      <c r="B1551" s="83" t="str">
        <f t="shared" si="169"/>
        <v/>
      </c>
      <c r="U1551" s="83" t="str">
        <f t="shared" si="170"/>
        <v/>
      </c>
      <c r="V1551" s="83" t="str">
        <f t="shared" si="171"/>
        <v/>
      </c>
      <c r="AA1551" s="60">
        <f t="shared" si="172"/>
        <v>0</v>
      </c>
      <c r="AB1551" s="49">
        <f t="shared" si="173"/>
        <v>0</v>
      </c>
      <c r="AC1551" s="60">
        <f t="shared" si="174"/>
        <v>0</v>
      </c>
    </row>
    <row r="1552" spans="1:29">
      <c r="A1552" s="83" t="str">
        <f t="shared" si="168"/>
        <v/>
      </c>
      <c r="B1552" s="83" t="str">
        <f t="shared" si="169"/>
        <v/>
      </c>
      <c r="U1552" s="83" t="str">
        <f t="shared" si="170"/>
        <v/>
      </c>
      <c r="V1552" s="83" t="str">
        <f t="shared" si="171"/>
        <v/>
      </c>
      <c r="AA1552" s="60">
        <f t="shared" si="172"/>
        <v>0</v>
      </c>
      <c r="AB1552" s="49">
        <f t="shared" si="173"/>
        <v>0</v>
      </c>
      <c r="AC1552" s="60">
        <f t="shared" si="174"/>
        <v>0</v>
      </c>
    </row>
    <row r="1553" spans="1:29">
      <c r="A1553" s="83" t="str">
        <f t="shared" si="168"/>
        <v/>
      </c>
      <c r="B1553" s="83" t="str">
        <f t="shared" si="169"/>
        <v/>
      </c>
      <c r="U1553" s="83" t="str">
        <f t="shared" si="170"/>
        <v/>
      </c>
      <c r="V1553" s="83" t="str">
        <f t="shared" si="171"/>
        <v/>
      </c>
      <c r="AA1553" s="60">
        <f t="shared" si="172"/>
        <v>0</v>
      </c>
      <c r="AB1553" s="49">
        <f t="shared" si="173"/>
        <v>0</v>
      </c>
      <c r="AC1553" s="60">
        <f t="shared" si="174"/>
        <v>0</v>
      </c>
    </row>
    <row r="1554" spans="1:29">
      <c r="A1554" s="83" t="str">
        <f t="shared" si="168"/>
        <v/>
      </c>
      <c r="B1554" s="83" t="str">
        <f t="shared" si="169"/>
        <v/>
      </c>
      <c r="U1554" s="83" t="str">
        <f t="shared" si="170"/>
        <v/>
      </c>
      <c r="V1554" s="83" t="str">
        <f t="shared" si="171"/>
        <v/>
      </c>
      <c r="AA1554" s="60">
        <f t="shared" si="172"/>
        <v>0</v>
      </c>
      <c r="AB1554" s="49">
        <f t="shared" si="173"/>
        <v>0</v>
      </c>
      <c r="AC1554" s="60">
        <f t="shared" si="174"/>
        <v>0</v>
      </c>
    </row>
    <row r="1555" spans="1:29">
      <c r="A1555" s="83" t="str">
        <f t="shared" si="168"/>
        <v/>
      </c>
      <c r="B1555" s="83" t="str">
        <f t="shared" si="169"/>
        <v/>
      </c>
      <c r="U1555" s="83" t="str">
        <f t="shared" si="170"/>
        <v/>
      </c>
      <c r="V1555" s="83" t="str">
        <f t="shared" si="171"/>
        <v/>
      </c>
      <c r="AA1555" s="60">
        <f t="shared" si="172"/>
        <v>0</v>
      </c>
      <c r="AB1555" s="49">
        <f t="shared" si="173"/>
        <v>0</v>
      </c>
      <c r="AC1555" s="60">
        <f t="shared" si="174"/>
        <v>0</v>
      </c>
    </row>
    <row r="1556" spans="1:29">
      <c r="A1556" s="83" t="str">
        <f t="shared" si="168"/>
        <v/>
      </c>
      <c r="B1556" s="83" t="str">
        <f t="shared" si="169"/>
        <v/>
      </c>
      <c r="U1556" s="83" t="str">
        <f t="shared" si="170"/>
        <v/>
      </c>
      <c r="V1556" s="83" t="str">
        <f t="shared" si="171"/>
        <v/>
      </c>
      <c r="AA1556" s="60">
        <f t="shared" si="172"/>
        <v>0</v>
      </c>
      <c r="AB1556" s="49">
        <f t="shared" si="173"/>
        <v>0</v>
      </c>
      <c r="AC1556" s="60">
        <f t="shared" si="174"/>
        <v>0</v>
      </c>
    </row>
    <row r="1557" spans="1:29">
      <c r="A1557" s="83" t="str">
        <f t="shared" si="168"/>
        <v/>
      </c>
      <c r="B1557" s="83" t="str">
        <f t="shared" si="169"/>
        <v/>
      </c>
      <c r="U1557" s="83" t="str">
        <f t="shared" si="170"/>
        <v/>
      </c>
      <c r="V1557" s="83" t="str">
        <f t="shared" si="171"/>
        <v/>
      </c>
      <c r="AA1557" s="60">
        <f t="shared" si="172"/>
        <v>0</v>
      </c>
      <c r="AB1557" s="49">
        <f t="shared" si="173"/>
        <v>0</v>
      </c>
      <c r="AC1557" s="60">
        <f t="shared" si="174"/>
        <v>0</v>
      </c>
    </row>
    <row r="1558" spans="1:29">
      <c r="A1558" s="83" t="str">
        <f t="shared" si="168"/>
        <v/>
      </c>
      <c r="B1558" s="83" t="str">
        <f t="shared" si="169"/>
        <v/>
      </c>
      <c r="U1558" s="83" t="str">
        <f t="shared" si="170"/>
        <v/>
      </c>
      <c r="V1558" s="83" t="str">
        <f t="shared" si="171"/>
        <v/>
      </c>
      <c r="AA1558" s="60">
        <f t="shared" si="172"/>
        <v>0</v>
      </c>
      <c r="AB1558" s="49">
        <f t="shared" si="173"/>
        <v>0</v>
      </c>
      <c r="AC1558" s="60">
        <f t="shared" si="174"/>
        <v>0</v>
      </c>
    </row>
    <row r="1559" spans="1:29">
      <c r="A1559" s="83" t="str">
        <f t="shared" si="168"/>
        <v/>
      </c>
      <c r="B1559" s="83" t="str">
        <f t="shared" si="169"/>
        <v/>
      </c>
      <c r="U1559" s="83" t="str">
        <f t="shared" si="170"/>
        <v/>
      </c>
      <c r="V1559" s="83" t="str">
        <f t="shared" si="171"/>
        <v/>
      </c>
      <c r="AA1559" s="60">
        <f t="shared" si="172"/>
        <v>0</v>
      </c>
      <c r="AB1559" s="49">
        <f t="shared" si="173"/>
        <v>0</v>
      </c>
      <c r="AC1559" s="60">
        <f t="shared" si="174"/>
        <v>0</v>
      </c>
    </row>
    <row r="1560" spans="1:29">
      <c r="A1560" s="83" t="str">
        <f t="shared" si="168"/>
        <v/>
      </c>
      <c r="B1560" s="83" t="str">
        <f t="shared" si="169"/>
        <v/>
      </c>
      <c r="U1560" s="83" t="str">
        <f t="shared" si="170"/>
        <v/>
      </c>
      <c r="V1560" s="83" t="str">
        <f t="shared" si="171"/>
        <v/>
      </c>
      <c r="AA1560" s="60">
        <f t="shared" si="172"/>
        <v>0</v>
      </c>
      <c r="AB1560" s="49">
        <f t="shared" si="173"/>
        <v>0</v>
      </c>
      <c r="AC1560" s="60">
        <f t="shared" si="174"/>
        <v>0</v>
      </c>
    </row>
    <row r="1561" spans="1:29">
      <c r="A1561" s="83" t="str">
        <f t="shared" si="168"/>
        <v/>
      </c>
      <c r="B1561" s="83" t="str">
        <f t="shared" si="169"/>
        <v/>
      </c>
      <c r="U1561" s="83" t="str">
        <f t="shared" si="170"/>
        <v/>
      </c>
      <c r="V1561" s="83" t="str">
        <f t="shared" si="171"/>
        <v/>
      </c>
      <c r="AA1561" s="60">
        <f t="shared" si="172"/>
        <v>0</v>
      </c>
      <c r="AB1561" s="49">
        <f t="shared" si="173"/>
        <v>0</v>
      </c>
      <c r="AC1561" s="60">
        <f t="shared" si="174"/>
        <v>0</v>
      </c>
    </row>
    <row r="1562" spans="1:29">
      <c r="A1562" s="83" t="str">
        <f t="shared" si="168"/>
        <v/>
      </c>
      <c r="B1562" s="83" t="str">
        <f t="shared" si="169"/>
        <v/>
      </c>
      <c r="U1562" s="83" t="str">
        <f t="shared" si="170"/>
        <v/>
      </c>
      <c r="V1562" s="83" t="str">
        <f t="shared" si="171"/>
        <v/>
      </c>
      <c r="AA1562" s="60">
        <f t="shared" si="172"/>
        <v>0</v>
      </c>
      <c r="AB1562" s="49">
        <f t="shared" si="173"/>
        <v>0</v>
      </c>
      <c r="AC1562" s="60">
        <f t="shared" si="174"/>
        <v>0</v>
      </c>
    </row>
    <row r="1563" spans="1:29">
      <c r="A1563" s="83" t="str">
        <f t="shared" si="168"/>
        <v/>
      </c>
      <c r="B1563" s="83" t="str">
        <f t="shared" si="169"/>
        <v/>
      </c>
      <c r="U1563" s="83" t="str">
        <f t="shared" si="170"/>
        <v/>
      </c>
      <c r="V1563" s="83" t="str">
        <f t="shared" si="171"/>
        <v/>
      </c>
      <c r="AA1563" s="60">
        <f t="shared" si="172"/>
        <v>0</v>
      </c>
      <c r="AB1563" s="49">
        <f t="shared" si="173"/>
        <v>0</v>
      </c>
      <c r="AC1563" s="60">
        <f t="shared" si="174"/>
        <v>0</v>
      </c>
    </row>
    <row r="1564" spans="1:29">
      <c r="A1564" s="83" t="str">
        <f t="shared" si="168"/>
        <v/>
      </c>
      <c r="B1564" s="83" t="str">
        <f t="shared" si="169"/>
        <v/>
      </c>
      <c r="U1564" s="83" t="str">
        <f t="shared" si="170"/>
        <v/>
      </c>
      <c r="V1564" s="83" t="str">
        <f t="shared" si="171"/>
        <v/>
      </c>
      <c r="AA1564" s="60">
        <f t="shared" si="172"/>
        <v>0</v>
      </c>
      <c r="AB1564" s="49">
        <f t="shared" si="173"/>
        <v>0</v>
      </c>
      <c r="AC1564" s="60">
        <f t="shared" si="174"/>
        <v>0</v>
      </c>
    </row>
    <row r="1565" spans="1:29">
      <c r="A1565" s="83" t="str">
        <f t="shared" si="168"/>
        <v/>
      </c>
      <c r="B1565" s="83" t="str">
        <f t="shared" si="169"/>
        <v/>
      </c>
      <c r="U1565" s="83" t="str">
        <f t="shared" si="170"/>
        <v/>
      </c>
      <c r="V1565" s="83" t="str">
        <f t="shared" si="171"/>
        <v/>
      </c>
      <c r="AA1565" s="60">
        <f t="shared" si="172"/>
        <v>0</v>
      </c>
      <c r="AB1565" s="49">
        <f t="shared" si="173"/>
        <v>0</v>
      </c>
      <c r="AC1565" s="60">
        <f t="shared" si="174"/>
        <v>0</v>
      </c>
    </row>
    <row r="1566" spans="1:29">
      <c r="A1566" s="83" t="str">
        <f t="shared" si="168"/>
        <v/>
      </c>
      <c r="B1566" s="83" t="str">
        <f t="shared" si="169"/>
        <v/>
      </c>
      <c r="U1566" s="83" t="str">
        <f t="shared" si="170"/>
        <v/>
      </c>
      <c r="V1566" s="83" t="str">
        <f t="shared" si="171"/>
        <v/>
      </c>
      <c r="AA1566" s="60">
        <f t="shared" si="172"/>
        <v>0</v>
      </c>
      <c r="AB1566" s="49">
        <f t="shared" si="173"/>
        <v>0</v>
      </c>
      <c r="AC1566" s="60">
        <f t="shared" si="174"/>
        <v>0</v>
      </c>
    </row>
    <row r="1567" spans="1:29">
      <c r="A1567" s="83" t="str">
        <f t="shared" si="168"/>
        <v/>
      </c>
      <c r="B1567" s="83" t="str">
        <f t="shared" si="169"/>
        <v/>
      </c>
      <c r="U1567" s="83" t="str">
        <f t="shared" si="170"/>
        <v/>
      </c>
      <c r="V1567" s="83" t="str">
        <f t="shared" si="171"/>
        <v/>
      </c>
      <c r="AA1567" s="60">
        <f t="shared" si="172"/>
        <v>0</v>
      </c>
      <c r="AB1567" s="49">
        <f t="shared" si="173"/>
        <v>0</v>
      </c>
      <c r="AC1567" s="60">
        <f t="shared" si="174"/>
        <v>0</v>
      </c>
    </row>
    <row r="1568" spans="1:29">
      <c r="A1568" s="83" t="str">
        <f t="shared" si="168"/>
        <v/>
      </c>
      <c r="B1568" s="83" t="str">
        <f t="shared" si="169"/>
        <v/>
      </c>
      <c r="U1568" s="83" t="str">
        <f t="shared" si="170"/>
        <v/>
      </c>
      <c r="V1568" s="83" t="str">
        <f t="shared" si="171"/>
        <v/>
      </c>
      <c r="AA1568" s="60">
        <f t="shared" si="172"/>
        <v>0</v>
      </c>
      <c r="AB1568" s="49">
        <f t="shared" si="173"/>
        <v>0</v>
      </c>
      <c r="AC1568" s="60">
        <f t="shared" si="174"/>
        <v>0</v>
      </c>
    </row>
    <row r="1569" spans="1:29">
      <c r="A1569" s="83" t="str">
        <f t="shared" si="168"/>
        <v/>
      </c>
      <c r="B1569" s="83" t="str">
        <f t="shared" si="169"/>
        <v/>
      </c>
      <c r="U1569" s="83" t="str">
        <f t="shared" si="170"/>
        <v/>
      </c>
      <c r="V1569" s="83" t="str">
        <f t="shared" si="171"/>
        <v/>
      </c>
      <c r="AA1569" s="60">
        <f t="shared" si="172"/>
        <v>0</v>
      </c>
      <c r="AB1569" s="49">
        <f t="shared" si="173"/>
        <v>0</v>
      </c>
      <c r="AC1569" s="60">
        <f t="shared" si="174"/>
        <v>0</v>
      </c>
    </row>
    <row r="1570" spans="1:29">
      <c r="A1570" s="83" t="str">
        <f t="shared" si="168"/>
        <v/>
      </c>
      <c r="B1570" s="83" t="str">
        <f t="shared" si="169"/>
        <v/>
      </c>
      <c r="U1570" s="83" t="str">
        <f t="shared" si="170"/>
        <v/>
      </c>
      <c r="V1570" s="83" t="str">
        <f t="shared" si="171"/>
        <v/>
      </c>
      <c r="AA1570" s="60">
        <f t="shared" si="172"/>
        <v>0</v>
      </c>
      <c r="AB1570" s="49">
        <f t="shared" si="173"/>
        <v>0</v>
      </c>
      <c r="AC1570" s="60">
        <f t="shared" si="174"/>
        <v>0</v>
      </c>
    </row>
    <row r="1571" spans="1:29">
      <c r="A1571" s="83" t="str">
        <f t="shared" si="168"/>
        <v/>
      </c>
      <c r="B1571" s="83" t="str">
        <f t="shared" si="169"/>
        <v/>
      </c>
      <c r="U1571" s="83" t="str">
        <f t="shared" si="170"/>
        <v/>
      </c>
      <c r="V1571" s="83" t="str">
        <f t="shared" si="171"/>
        <v/>
      </c>
      <c r="AA1571" s="60">
        <f t="shared" si="172"/>
        <v>0</v>
      </c>
      <c r="AB1571" s="49">
        <f t="shared" si="173"/>
        <v>0</v>
      </c>
      <c r="AC1571" s="60">
        <f t="shared" si="174"/>
        <v>0</v>
      </c>
    </row>
    <row r="1572" spans="1:29">
      <c r="A1572" s="83" t="str">
        <f t="shared" si="168"/>
        <v/>
      </c>
      <c r="B1572" s="83" t="str">
        <f t="shared" si="169"/>
        <v/>
      </c>
      <c r="U1572" s="83" t="str">
        <f t="shared" si="170"/>
        <v/>
      </c>
      <c r="V1572" s="83" t="str">
        <f t="shared" si="171"/>
        <v/>
      </c>
      <c r="AA1572" s="60">
        <f t="shared" si="172"/>
        <v>0</v>
      </c>
      <c r="AB1572" s="49">
        <f t="shared" si="173"/>
        <v>0</v>
      </c>
      <c r="AC1572" s="60">
        <f t="shared" si="174"/>
        <v>0</v>
      </c>
    </row>
    <row r="1573" spans="1:29">
      <c r="A1573" s="83" t="str">
        <f t="shared" si="168"/>
        <v/>
      </c>
      <c r="B1573" s="83" t="str">
        <f t="shared" si="169"/>
        <v/>
      </c>
      <c r="U1573" s="83" t="str">
        <f t="shared" si="170"/>
        <v/>
      </c>
      <c r="V1573" s="83" t="str">
        <f t="shared" si="171"/>
        <v/>
      </c>
      <c r="AA1573" s="60">
        <f t="shared" si="172"/>
        <v>0</v>
      </c>
      <c r="AB1573" s="49">
        <f t="shared" si="173"/>
        <v>0</v>
      </c>
      <c r="AC1573" s="60">
        <f t="shared" si="174"/>
        <v>0</v>
      </c>
    </row>
    <row r="1574" spans="1:29">
      <c r="A1574" s="83" t="str">
        <f t="shared" si="168"/>
        <v/>
      </c>
      <c r="B1574" s="83" t="str">
        <f t="shared" si="169"/>
        <v/>
      </c>
      <c r="U1574" s="83" t="str">
        <f t="shared" si="170"/>
        <v/>
      </c>
      <c r="V1574" s="83" t="str">
        <f t="shared" si="171"/>
        <v/>
      </c>
      <c r="AA1574" s="60">
        <f t="shared" si="172"/>
        <v>0</v>
      </c>
      <c r="AB1574" s="49">
        <f t="shared" si="173"/>
        <v>0</v>
      </c>
      <c r="AC1574" s="60">
        <f t="shared" si="174"/>
        <v>0</v>
      </c>
    </row>
    <row r="1575" spans="1:29">
      <c r="A1575" s="83" t="str">
        <f t="shared" si="168"/>
        <v/>
      </c>
      <c r="B1575" s="83" t="str">
        <f t="shared" si="169"/>
        <v/>
      </c>
      <c r="U1575" s="83" t="str">
        <f t="shared" si="170"/>
        <v/>
      </c>
      <c r="V1575" s="83" t="str">
        <f t="shared" si="171"/>
        <v/>
      </c>
      <c r="AA1575" s="60">
        <f t="shared" si="172"/>
        <v>0</v>
      </c>
      <c r="AB1575" s="49">
        <f t="shared" si="173"/>
        <v>0</v>
      </c>
      <c r="AC1575" s="60">
        <f t="shared" si="174"/>
        <v>0</v>
      </c>
    </row>
    <row r="1576" spans="1:29">
      <c r="A1576" s="83" t="str">
        <f t="shared" si="168"/>
        <v/>
      </c>
      <c r="B1576" s="83" t="str">
        <f t="shared" si="169"/>
        <v/>
      </c>
      <c r="U1576" s="83" t="str">
        <f t="shared" si="170"/>
        <v/>
      </c>
      <c r="V1576" s="83" t="str">
        <f t="shared" si="171"/>
        <v/>
      </c>
      <c r="AA1576" s="60">
        <f t="shared" si="172"/>
        <v>0</v>
      </c>
      <c r="AB1576" s="49">
        <f t="shared" si="173"/>
        <v>0</v>
      </c>
      <c r="AC1576" s="60">
        <f t="shared" si="174"/>
        <v>0</v>
      </c>
    </row>
    <row r="1577" spans="1:29">
      <c r="A1577" s="83" t="str">
        <f t="shared" si="168"/>
        <v/>
      </c>
      <c r="B1577" s="83" t="str">
        <f t="shared" si="169"/>
        <v/>
      </c>
      <c r="U1577" s="83" t="str">
        <f t="shared" si="170"/>
        <v/>
      </c>
      <c r="V1577" s="83" t="str">
        <f t="shared" si="171"/>
        <v/>
      </c>
      <c r="AA1577" s="60">
        <f t="shared" si="172"/>
        <v>0</v>
      </c>
      <c r="AB1577" s="49">
        <f t="shared" si="173"/>
        <v>0</v>
      </c>
      <c r="AC1577" s="60">
        <f t="shared" si="174"/>
        <v>0</v>
      </c>
    </row>
    <row r="1578" spans="1:29">
      <c r="A1578" s="83" t="str">
        <f t="shared" si="168"/>
        <v/>
      </c>
      <c r="B1578" s="83" t="str">
        <f t="shared" si="169"/>
        <v/>
      </c>
      <c r="U1578" s="83" t="str">
        <f t="shared" si="170"/>
        <v/>
      </c>
      <c r="V1578" s="83" t="str">
        <f t="shared" si="171"/>
        <v/>
      </c>
      <c r="AA1578" s="60">
        <f t="shared" si="172"/>
        <v>0</v>
      </c>
      <c r="AB1578" s="49">
        <f t="shared" si="173"/>
        <v>0</v>
      </c>
      <c r="AC1578" s="60">
        <f t="shared" si="174"/>
        <v>0</v>
      </c>
    </row>
    <row r="1579" spans="1:29">
      <c r="A1579" s="83" t="str">
        <f t="shared" si="168"/>
        <v/>
      </c>
      <c r="B1579" s="83" t="str">
        <f t="shared" si="169"/>
        <v/>
      </c>
      <c r="U1579" s="83" t="str">
        <f t="shared" si="170"/>
        <v/>
      </c>
      <c r="V1579" s="83" t="str">
        <f t="shared" si="171"/>
        <v/>
      </c>
      <c r="AA1579" s="60">
        <f t="shared" si="172"/>
        <v>0</v>
      </c>
      <c r="AB1579" s="49">
        <f t="shared" si="173"/>
        <v>0</v>
      </c>
      <c r="AC1579" s="60">
        <f t="shared" si="174"/>
        <v>0</v>
      </c>
    </row>
    <row r="1580" spans="1:29">
      <c r="A1580" s="83" t="str">
        <f t="shared" si="168"/>
        <v/>
      </c>
      <c r="B1580" s="83" t="str">
        <f t="shared" si="169"/>
        <v/>
      </c>
      <c r="U1580" s="83" t="str">
        <f t="shared" si="170"/>
        <v/>
      </c>
      <c r="V1580" s="83" t="str">
        <f t="shared" si="171"/>
        <v/>
      </c>
      <c r="AA1580" s="60">
        <f t="shared" si="172"/>
        <v>0</v>
      </c>
      <c r="AB1580" s="49">
        <f t="shared" si="173"/>
        <v>0</v>
      </c>
      <c r="AC1580" s="60">
        <f t="shared" si="174"/>
        <v>0</v>
      </c>
    </row>
    <row r="1581" spans="1:29">
      <c r="A1581" s="83" t="str">
        <f t="shared" si="168"/>
        <v/>
      </c>
      <c r="B1581" s="83" t="str">
        <f t="shared" si="169"/>
        <v/>
      </c>
      <c r="U1581" s="83" t="str">
        <f t="shared" si="170"/>
        <v/>
      </c>
      <c r="V1581" s="83" t="str">
        <f t="shared" si="171"/>
        <v/>
      </c>
      <c r="AA1581" s="60">
        <f t="shared" si="172"/>
        <v>0</v>
      </c>
      <c r="AB1581" s="49">
        <f t="shared" si="173"/>
        <v>0</v>
      </c>
      <c r="AC1581" s="60">
        <f t="shared" si="174"/>
        <v>0</v>
      </c>
    </row>
    <row r="1582" spans="1:29">
      <c r="A1582" s="83" t="str">
        <f t="shared" si="168"/>
        <v/>
      </c>
      <c r="B1582" s="83" t="str">
        <f t="shared" si="169"/>
        <v/>
      </c>
      <c r="U1582" s="83" t="str">
        <f t="shared" si="170"/>
        <v/>
      </c>
      <c r="V1582" s="83" t="str">
        <f t="shared" si="171"/>
        <v/>
      </c>
      <c r="AA1582" s="60">
        <f t="shared" si="172"/>
        <v>0</v>
      </c>
      <c r="AB1582" s="49">
        <f t="shared" si="173"/>
        <v>0</v>
      </c>
      <c r="AC1582" s="60">
        <f t="shared" si="174"/>
        <v>0</v>
      </c>
    </row>
    <row r="1583" spans="1:29">
      <c r="A1583" s="83" t="str">
        <f t="shared" si="168"/>
        <v/>
      </c>
      <c r="B1583" s="83" t="str">
        <f t="shared" si="169"/>
        <v/>
      </c>
      <c r="U1583" s="83" t="str">
        <f t="shared" si="170"/>
        <v/>
      </c>
      <c r="V1583" s="83" t="str">
        <f t="shared" si="171"/>
        <v/>
      </c>
      <c r="AA1583" s="60">
        <f t="shared" si="172"/>
        <v>0</v>
      </c>
      <c r="AB1583" s="49">
        <f t="shared" si="173"/>
        <v>0</v>
      </c>
      <c r="AC1583" s="60">
        <f t="shared" si="174"/>
        <v>0</v>
      </c>
    </row>
    <row r="1584" spans="1:29">
      <c r="A1584" s="83" t="str">
        <f t="shared" si="168"/>
        <v/>
      </c>
      <c r="B1584" s="83" t="str">
        <f t="shared" si="169"/>
        <v/>
      </c>
      <c r="U1584" s="83" t="str">
        <f t="shared" si="170"/>
        <v/>
      </c>
      <c r="V1584" s="83" t="str">
        <f t="shared" si="171"/>
        <v/>
      </c>
      <c r="AA1584" s="60">
        <f t="shared" si="172"/>
        <v>0</v>
      </c>
      <c r="AB1584" s="49">
        <f t="shared" si="173"/>
        <v>0</v>
      </c>
      <c r="AC1584" s="60">
        <f t="shared" si="174"/>
        <v>0</v>
      </c>
    </row>
    <row r="1585" spans="1:29">
      <c r="A1585" s="83" t="str">
        <f t="shared" si="168"/>
        <v/>
      </c>
      <c r="B1585" s="83" t="str">
        <f t="shared" si="169"/>
        <v/>
      </c>
      <c r="U1585" s="83" t="str">
        <f t="shared" si="170"/>
        <v/>
      </c>
      <c r="V1585" s="83" t="str">
        <f t="shared" si="171"/>
        <v/>
      </c>
      <c r="AA1585" s="60">
        <f t="shared" si="172"/>
        <v>0</v>
      </c>
      <c r="AB1585" s="49">
        <f t="shared" si="173"/>
        <v>0</v>
      </c>
      <c r="AC1585" s="60">
        <f t="shared" si="174"/>
        <v>0</v>
      </c>
    </row>
    <row r="1586" spans="1:29">
      <c r="A1586" s="83" t="str">
        <f t="shared" si="168"/>
        <v/>
      </c>
      <c r="B1586" s="83" t="str">
        <f t="shared" si="169"/>
        <v/>
      </c>
      <c r="U1586" s="83" t="str">
        <f t="shared" si="170"/>
        <v/>
      </c>
      <c r="V1586" s="83" t="str">
        <f t="shared" si="171"/>
        <v/>
      </c>
      <c r="AA1586" s="60">
        <f t="shared" si="172"/>
        <v>0</v>
      </c>
      <c r="AB1586" s="49">
        <f t="shared" si="173"/>
        <v>0</v>
      </c>
      <c r="AC1586" s="60">
        <f t="shared" si="174"/>
        <v>0</v>
      </c>
    </row>
    <row r="1587" spans="1:29">
      <c r="A1587" s="83" t="str">
        <f t="shared" si="168"/>
        <v/>
      </c>
      <c r="B1587" s="83" t="str">
        <f t="shared" si="169"/>
        <v/>
      </c>
      <c r="U1587" s="83" t="str">
        <f t="shared" si="170"/>
        <v/>
      </c>
      <c r="V1587" s="83" t="str">
        <f t="shared" si="171"/>
        <v/>
      </c>
      <c r="AA1587" s="60">
        <f t="shared" si="172"/>
        <v>0</v>
      </c>
      <c r="AB1587" s="49">
        <f t="shared" si="173"/>
        <v>0</v>
      </c>
      <c r="AC1587" s="60">
        <f t="shared" si="174"/>
        <v>0</v>
      </c>
    </row>
    <row r="1588" spans="1:29">
      <c r="A1588" s="83" t="str">
        <f t="shared" si="168"/>
        <v/>
      </c>
      <c r="B1588" s="83" t="str">
        <f t="shared" si="169"/>
        <v/>
      </c>
      <c r="U1588" s="83" t="str">
        <f t="shared" si="170"/>
        <v/>
      </c>
      <c r="V1588" s="83" t="str">
        <f t="shared" si="171"/>
        <v/>
      </c>
      <c r="AA1588" s="60">
        <f t="shared" si="172"/>
        <v>0</v>
      </c>
      <c r="AB1588" s="49">
        <f t="shared" si="173"/>
        <v>0</v>
      </c>
      <c r="AC1588" s="60">
        <f t="shared" si="174"/>
        <v>0</v>
      </c>
    </row>
    <row r="1589" spans="1:29">
      <c r="A1589" s="83" t="str">
        <f t="shared" si="168"/>
        <v/>
      </c>
      <c r="B1589" s="83" t="str">
        <f t="shared" si="169"/>
        <v/>
      </c>
      <c r="U1589" s="83" t="str">
        <f t="shared" si="170"/>
        <v/>
      </c>
      <c r="V1589" s="83" t="str">
        <f t="shared" si="171"/>
        <v/>
      </c>
      <c r="AA1589" s="60">
        <f t="shared" si="172"/>
        <v>0</v>
      </c>
      <c r="AB1589" s="49">
        <f t="shared" si="173"/>
        <v>0</v>
      </c>
      <c r="AC1589" s="60">
        <f t="shared" si="174"/>
        <v>0</v>
      </c>
    </row>
    <row r="1590" spans="1:29">
      <c r="A1590" s="83" t="str">
        <f t="shared" si="168"/>
        <v/>
      </c>
      <c r="B1590" s="83" t="str">
        <f t="shared" si="169"/>
        <v/>
      </c>
      <c r="U1590" s="83" t="str">
        <f t="shared" si="170"/>
        <v/>
      </c>
      <c r="V1590" s="83" t="str">
        <f t="shared" si="171"/>
        <v/>
      </c>
      <c r="AA1590" s="60">
        <f t="shared" si="172"/>
        <v>0</v>
      </c>
      <c r="AB1590" s="49">
        <f t="shared" si="173"/>
        <v>0</v>
      </c>
      <c r="AC1590" s="60">
        <f t="shared" si="174"/>
        <v>0</v>
      </c>
    </row>
    <row r="1591" spans="1:29">
      <c r="A1591" s="83" t="str">
        <f t="shared" si="168"/>
        <v/>
      </c>
      <c r="B1591" s="83" t="str">
        <f t="shared" si="169"/>
        <v/>
      </c>
      <c r="U1591" s="83" t="str">
        <f t="shared" si="170"/>
        <v/>
      </c>
      <c r="V1591" s="83" t="str">
        <f t="shared" si="171"/>
        <v/>
      </c>
      <c r="AA1591" s="60">
        <f t="shared" si="172"/>
        <v>0</v>
      </c>
      <c r="AB1591" s="49">
        <f t="shared" si="173"/>
        <v>0</v>
      </c>
      <c r="AC1591" s="60">
        <f t="shared" si="174"/>
        <v>0</v>
      </c>
    </row>
    <row r="1592" spans="1:29">
      <c r="A1592" s="83" t="str">
        <f t="shared" si="168"/>
        <v/>
      </c>
      <c r="B1592" s="83" t="str">
        <f t="shared" si="169"/>
        <v/>
      </c>
      <c r="U1592" s="83" t="str">
        <f t="shared" si="170"/>
        <v/>
      </c>
      <c r="V1592" s="83" t="str">
        <f t="shared" si="171"/>
        <v/>
      </c>
      <c r="AA1592" s="60">
        <f t="shared" si="172"/>
        <v>0</v>
      </c>
      <c r="AB1592" s="49">
        <f t="shared" si="173"/>
        <v>0</v>
      </c>
      <c r="AC1592" s="60">
        <f t="shared" si="174"/>
        <v>0</v>
      </c>
    </row>
    <row r="1593" spans="1:29">
      <c r="A1593" s="83" t="str">
        <f t="shared" si="168"/>
        <v/>
      </c>
      <c r="B1593" s="83" t="str">
        <f t="shared" si="169"/>
        <v/>
      </c>
      <c r="U1593" s="83" t="str">
        <f t="shared" si="170"/>
        <v/>
      </c>
      <c r="V1593" s="83" t="str">
        <f t="shared" si="171"/>
        <v/>
      </c>
      <c r="AA1593" s="60">
        <f t="shared" si="172"/>
        <v>0</v>
      </c>
      <c r="AB1593" s="49">
        <f t="shared" si="173"/>
        <v>0</v>
      </c>
      <c r="AC1593" s="60">
        <f t="shared" si="174"/>
        <v>0</v>
      </c>
    </row>
    <row r="1594" spans="1:29">
      <c r="A1594" s="83" t="str">
        <f t="shared" si="168"/>
        <v/>
      </c>
      <c r="B1594" s="83" t="str">
        <f t="shared" si="169"/>
        <v/>
      </c>
      <c r="U1594" s="83" t="str">
        <f t="shared" si="170"/>
        <v/>
      </c>
      <c r="V1594" s="83" t="str">
        <f t="shared" si="171"/>
        <v/>
      </c>
      <c r="AA1594" s="60">
        <f t="shared" si="172"/>
        <v>0</v>
      </c>
      <c r="AB1594" s="49">
        <f t="shared" si="173"/>
        <v>0</v>
      </c>
      <c r="AC1594" s="60">
        <f t="shared" si="174"/>
        <v>0</v>
      </c>
    </row>
    <row r="1595" spans="1:29">
      <c r="A1595" s="83" t="str">
        <f t="shared" si="168"/>
        <v/>
      </c>
      <c r="B1595" s="83" t="str">
        <f t="shared" si="169"/>
        <v/>
      </c>
      <c r="U1595" s="83" t="str">
        <f t="shared" si="170"/>
        <v/>
      </c>
      <c r="V1595" s="83" t="str">
        <f t="shared" si="171"/>
        <v/>
      </c>
      <c r="AA1595" s="60">
        <f t="shared" si="172"/>
        <v>0</v>
      </c>
      <c r="AB1595" s="49">
        <f t="shared" si="173"/>
        <v>0</v>
      </c>
      <c r="AC1595" s="60">
        <f t="shared" si="174"/>
        <v>0</v>
      </c>
    </row>
    <row r="1596" spans="1:29">
      <c r="A1596" s="83" t="str">
        <f t="shared" si="168"/>
        <v/>
      </c>
      <c r="B1596" s="83" t="str">
        <f t="shared" si="169"/>
        <v/>
      </c>
      <c r="U1596" s="83" t="str">
        <f t="shared" si="170"/>
        <v/>
      </c>
      <c r="V1596" s="83" t="str">
        <f t="shared" si="171"/>
        <v/>
      </c>
      <c r="AA1596" s="60">
        <f t="shared" si="172"/>
        <v>0</v>
      </c>
      <c r="AB1596" s="49">
        <f t="shared" si="173"/>
        <v>0</v>
      </c>
      <c r="AC1596" s="60">
        <f t="shared" si="174"/>
        <v>0</v>
      </c>
    </row>
    <row r="1597" spans="1:29">
      <c r="A1597" s="83" t="str">
        <f t="shared" si="168"/>
        <v/>
      </c>
      <c r="B1597" s="83" t="str">
        <f t="shared" si="169"/>
        <v/>
      </c>
      <c r="U1597" s="83" t="str">
        <f t="shared" si="170"/>
        <v/>
      </c>
      <c r="V1597" s="83" t="str">
        <f t="shared" si="171"/>
        <v/>
      </c>
      <c r="AA1597" s="60">
        <f t="shared" si="172"/>
        <v>0</v>
      </c>
      <c r="AB1597" s="49">
        <f t="shared" si="173"/>
        <v>0</v>
      </c>
      <c r="AC1597" s="60">
        <f t="shared" si="174"/>
        <v>0</v>
      </c>
    </row>
    <row r="1598" spans="1:29">
      <c r="A1598" s="83" t="str">
        <f t="shared" si="168"/>
        <v/>
      </c>
      <c r="B1598" s="83" t="str">
        <f t="shared" si="169"/>
        <v/>
      </c>
      <c r="U1598" s="83" t="str">
        <f t="shared" si="170"/>
        <v/>
      </c>
      <c r="V1598" s="83" t="str">
        <f t="shared" si="171"/>
        <v/>
      </c>
      <c r="AA1598" s="60">
        <f t="shared" si="172"/>
        <v>0</v>
      </c>
      <c r="AB1598" s="49">
        <f t="shared" si="173"/>
        <v>0</v>
      </c>
      <c r="AC1598" s="60">
        <f t="shared" si="174"/>
        <v>0</v>
      </c>
    </row>
    <row r="1599" spans="1:29">
      <c r="A1599" s="83" t="str">
        <f t="shared" si="168"/>
        <v/>
      </c>
      <c r="B1599" s="83" t="str">
        <f t="shared" si="169"/>
        <v/>
      </c>
      <c r="U1599" s="83" t="str">
        <f t="shared" si="170"/>
        <v/>
      </c>
      <c r="V1599" s="83" t="str">
        <f t="shared" si="171"/>
        <v/>
      </c>
      <c r="AA1599" s="60">
        <f t="shared" si="172"/>
        <v>0</v>
      </c>
      <c r="AB1599" s="49">
        <f t="shared" si="173"/>
        <v>0</v>
      </c>
      <c r="AC1599" s="60">
        <f t="shared" si="174"/>
        <v>0</v>
      </c>
    </row>
    <row r="1600" spans="1:29">
      <c r="A1600" s="83" t="str">
        <f t="shared" si="168"/>
        <v/>
      </c>
      <c r="B1600" s="83" t="str">
        <f t="shared" si="169"/>
        <v/>
      </c>
      <c r="U1600" s="83" t="str">
        <f t="shared" si="170"/>
        <v/>
      </c>
      <c r="V1600" s="83" t="str">
        <f t="shared" si="171"/>
        <v/>
      </c>
      <c r="AA1600" s="60">
        <f t="shared" si="172"/>
        <v>0</v>
      </c>
      <c r="AB1600" s="49">
        <f t="shared" si="173"/>
        <v>0</v>
      </c>
      <c r="AC1600" s="60">
        <f t="shared" si="174"/>
        <v>0</v>
      </c>
    </row>
    <row r="1601" spans="1:29">
      <c r="A1601" s="83" t="str">
        <f t="shared" si="168"/>
        <v/>
      </c>
      <c r="B1601" s="83" t="str">
        <f t="shared" si="169"/>
        <v/>
      </c>
      <c r="U1601" s="83" t="str">
        <f t="shared" si="170"/>
        <v/>
      </c>
      <c r="V1601" s="83" t="str">
        <f t="shared" si="171"/>
        <v/>
      </c>
      <c r="AA1601" s="60">
        <f t="shared" si="172"/>
        <v>0</v>
      </c>
      <c r="AB1601" s="49">
        <f t="shared" si="173"/>
        <v>0</v>
      </c>
      <c r="AC1601" s="60">
        <f t="shared" si="174"/>
        <v>0</v>
      </c>
    </row>
    <row r="1602" spans="1:29">
      <c r="A1602" s="83" t="str">
        <f t="shared" si="168"/>
        <v/>
      </c>
      <c r="B1602" s="83" t="str">
        <f t="shared" si="169"/>
        <v/>
      </c>
      <c r="U1602" s="83" t="str">
        <f t="shared" si="170"/>
        <v/>
      </c>
      <c r="V1602" s="83" t="str">
        <f t="shared" si="171"/>
        <v/>
      </c>
      <c r="AA1602" s="60">
        <f t="shared" si="172"/>
        <v>0</v>
      </c>
      <c r="AB1602" s="49">
        <f t="shared" si="173"/>
        <v>0</v>
      </c>
      <c r="AC1602" s="60">
        <f t="shared" si="174"/>
        <v>0</v>
      </c>
    </row>
    <row r="1603" spans="1:29">
      <c r="A1603" s="83" t="str">
        <f t="shared" ref="A1603:A1666" si="175">IF(G1603&amp;Q1603&lt;&gt;"",U1603&amp;Q1603,"")</f>
        <v/>
      </c>
      <c r="B1603" s="83" t="str">
        <f t="shared" ref="B1603:B1666" si="176">IF(C1603&lt;&gt;"",LEFT(C1603,9),"")</f>
        <v/>
      </c>
      <c r="U1603" s="83" t="str">
        <f t="shared" ref="U1603:U1666" si="177">IF(G1603&lt;&gt;"",IF(StyleSpaceSplit,IFERROR(IF(FIND(" ",G1603)&gt;=1,MID(G1603,1,FIND(" ",G1603)-1),G1603),G1603),G1603),"")</f>
        <v/>
      </c>
      <c r="V1603" s="83" t="str">
        <f t="shared" ref="V1603:V1666" si="178">IF(A1603&lt;&gt;"",IFERROR(IF(FIND(" ",G1603)&gt;=1,MID(G1603,FIND(" ",G1603)+1,LEN(G1603)),""),G1603),"")</f>
        <v/>
      </c>
      <c r="AA1603" s="60">
        <f t="shared" ref="AA1603:AA1666" si="179">IFERROR(VALUE(MID($C1603,1,2)),0)</f>
        <v>0</v>
      </c>
      <c r="AB1603" s="49">
        <f t="shared" ref="AB1603:AB1666" si="180">IFERROR(VALUE(MID($C1603,4,3)),0)</f>
        <v>0</v>
      </c>
      <c r="AC1603" s="60">
        <f t="shared" ref="AC1603:AC1666" si="181">VALUE(RIGHT("00"&amp;AA1603,2)&amp;RIGHT("000"&amp;AB1603,3))</f>
        <v>0</v>
      </c>
    </row>
    <row r="1604" spans="1:29">
      <c r="A1604" s="83" t="str">
        <f t="shared" si="175"/>
        <v/>
      </c>
      <c r="B1604" s="83" t="str">
        <f t="shared" si="176"/>
        <v/>
      </c>
      <c r="U1604" s="83" t="str">
        <f t="shared" si="177"/>
        <v/>
      </c>
      <c r="V1604" s="83" t="str">
        <f t="shared" si="178"/>
        <v/>
      </c>
      <c r="AA1604" s="60">
        <f t="shared" si="179"/>
        <v>0</v>
      </c>
      <c r="AB1604" s="49">
        <f t="shared" si="180"/>
        <v>0</v>
      </c>
      <c r="AC1604" s="60">
        <f t="shared" si="181"/>
        <v>0</v>
      </c>
    </row>
    <row r="1605" spans="1:29">
      <c r="A1605" s="83" t="str">
        <f t="shared" si="175"/>
        <v/>
      </c>
      <c r="B1605" s="83" t="str">
        <f t="shared" si="176"/>
        <v/>
      </c>
      <c r="U1605" s="83" t="str">
        <f t="shared" si="177"/>
        <v/>
      </c>
      <c r="V1605" s="83" t="str">
        <f t="shared" si="178"/>
        <v/>
      </c>
      <c r="AA1605" s="60">
        <f t="shared" si="179"/>
        <v>0</v>
      </c>
      <c r="AB1605" s="49">
        <f t="shared" si="180"/>
        <v>0</v>
      </c>
      <c r="AC1605" s="60">
        <f t="shared" si="181"/>
        <v>0</v>
      </c>
    </row>
    <row r="1606" spans="1:29">
      <c r="A1606" s="83" t="str">
        <f t="shared" si="175"/>
        <v/>
      </c>
      <c r="B1606" s="83" t="str">
        <f t="shared" si="176"/>
        <v/>
      </c>
      <c r="U1606" s="83" t="str">
        <f t="shared" si="177"/>
        <v/>
      </c>
      <c r="V1606" s="83" t="str">
        <f t="shared" si="178"/>
        <v/>
      </c>
      <c r="AA1606" s="60">
        <f t="shared" si="179"/>
        <v>0</v>
      </c>
      <c r="AB1606" s="49">
        <f t="shared" si="180"/>
        <v>0</v>
      </c>
      <c r="AC1606" s="60">
        <f t="shared" si="181"/>
        <v>0</v>
      </c>
    </row>
    <row r="1607" spans="1:29">
      <c r="A1607" s="83" t="str">
        <f t="shared" si="175"/>
        <v/>
      </c>
      <c r="B1607" s="83" t="str">
        <f t="shared" si="176"/>
        <v/>
      </c>
      <c r="U1607" s="83" t="str">
        <f t="shared" si="177"/>
        <v/>
      </c>
      <c r="V1607" s="83" t="str">
        <f t="shared" si="178"/>
        <v/>
      </c>
      <c r="AA1607" s="60">
        <f t="shared" si="179"/>
        <v>0</v>
      </c>
      <c r="AB1607" s="49">
        <f t="shared" si="180"/>
        <v>0</v>
      </c>
      <c r="AC1607" s="60">
        <f t="shared" si="181"/>
        <v>0</v>
      </c>
    </row>
    <row r="1608" spans="1:29">
      <c r="A1608" s="83" t="str">
        <f t="shared" si="175"/>
        <v/>
      </c>
      <c r="B1608" s="83" t="str">
        <f t="shared" si="176"/>
        <v/>
      </c>
      <c r="U1608" s="83" t="str">
        <f t="shared" si="177"/>
        <v/>
      </c>
      <c r="V1608" s="83" t="str">
        <f t="shared" si="178"/>
        <v/>
      </c>
      <c r="AA1608" s="60">
        <f t="shared" si="179"/>
        <v>0</v>
      </c>
      <c r="AB1608" s="49">
        <f t="shared" si="180"/>
        <v>0</v>
      </c>
      <c r="AC1608" s="60">
        <f t="shared" si="181"/>
        <v>0</v>
      </c>
    </row>
    <row r="1609" spans="1:29">
      <c r="A1609" s="83" t="str">
        <f t="shared" si="175"/>
        <v/>
      </c>
      <c r="B1609" s="83" t="str">
        <f t="shared" si="176"/>
        <v/>
      </c>
      <c r="U1609" s="83" t="str">
        <f t="shared" si="177"/>
        <v/>
      </c>
      <c r="V1609" s="83" t="str">
        <f t="shared" si="178"/>
        <v/>
      </c>
      <c r="AA1609" s="60">
        <f t="shared" si="179"/>
        <v>0</v>
      </c>
      <c r="AB1609" s="49">
        <f t="shared" si="180"/>
        <v>0</v>
      </c>
      <c r="AC1609" s="60">
        <f t="shared" si="181"/>
        <v>0</v>
      </c>
    </row>
    <row r="1610" spans="1:29">
      <c r="A1610" s="83" t="str">
        <f t="shared" si="175"/>
        <v/>
      </c>
      <c r="B1610" s="83" t="str">
        <f t="shared" si="176"/>
        <v/>
      </c>
      <c r="U1610" s="83" t="str">
        <f t="shared" si="177"/>
        <v/>
      </c>
      <c r="V1610" s="83" t="str">
        <f t="shared" si="178"/>
        <v/>
      </c>
      <c r="AA1610" s="60">
        <f t="shared" si="179"/>
        <v>0</v>
      </c>
      <c r="AB1610" s="49">
        <f t="shared" si="180"/>
        <v>0</v>
      </c>
      <c r="AC1610" s="60">
        <f t="shared" si="181"/>
        <v>0</v>
      </c>
    </row>
    <row r="1611" spans="1:29">
      <c r="A1611" s="83" t="str">
        <f t="shared" si="175"/>
        <v/>
      </c>
      <c r="B1611" s="83" t="str">
        <f t="shared" si="176"/>
        <v/>
      </c>
      <c r="U1611" s="83" t="str">
        <f t="shared" si="177"/>
        <v/>
      </c>
      <c r="V1611" s="83" t="str">
        <f t="shared" si="178"/>
        <v/>
      </c>
      <c r="AA1611" s="60">
        <f t="shared" si="179"/>
        <v>0</v>
      </c>
      <c r="AB1611" s="49">
        <f t="shared" si="180"/>
        <v>0</v>
      </c>
      <c r="AC1611" s="60">
        <f t="shared" si="181"/>
        <v>0</v>
      </c>
    </row>
    <row r="1612" spans="1:29">
      <c r="A1612" s="83" t="str">
        <f t="shared" si="175"/>
        <v/>
      </c>
      <c r="B1612" s="83" t="str">
        <f t="shared" si="176"/>
        <v/>
      </c>
      <c r="U1612" s="83" t="str">
        <f t="shared" si="177"/>
        <v/>
      </c>
      <c r="V1612" s="83" t="str">
        <f t="shared" si="178"/>
        <v/>
      </c>
      <c r="AA1612" s="60">
        <f t="shared" si="179"/>
        <v>0</v>
      </c>
      <c r="AB1612" s="49">
        <f t="shared" si="180"/>
        <v>0</v>
      </c>
      <c r="AC1612" s="60">
        <f t="shared" si="181"/>
        <v>0</v>
      </c>
    </row>
    <row r="1613" spans="1:29">
      <c r="A1613" s="83" t="str">
        <f t="shared" si="175"/>
        <v/>
      </c>
      <c r="B1613" s="83" t="str">
        <f t="shared" si="176"/>
        <v/>
      </c>
      <c r="U1613" s="83" t="str">
        <f t="shared" si="177"/>
        <v/>
      </c>
      <c r="V1613" s="83" t="str">
        <f t="shared" si="178"/>
        <v/>
      </c>
      <c r="AA1613" s="60">
        <f t="shared" si="179"/>
        <v>0</v>
      </c>
      <c r="AB1613" s="49">
        <f t="shared" si="180"/>
        <v>0</v>
      </c>
      <c r="AC1613" s="60">
        <f t="shared" si="181"/>
        <v>0</v>
      </c>
    </row>
    <row r="1614" spans="1:29">
      <c r="A1614" s="83" t="str">
        <f t="shared" si="175"/>
        <v/>
      </c>
      <c r="B1614" s="83" t="str">
        <f t="shared" si="176"/>
        <v/>
      </c>
      <c r="U1614" s="83" t="str">
        <f t="shared" si="177"/>
        <v/>
      </c>
      <c r="V1614" s="83" t="str">
        <f t="shared" si="178"/>
        <v/>
      </c>
      <c r="AA1614" s="60">
        <f t="shared" si="179"/>
        <v>0</v>
      </c>
      <c r="AB1614" s="49">
        <f t="shared" si="180"/>
        <v>0</v>
      </c>
      <c r="AC1614" s="60">
        <f t="shared" si="181"/>
        <v>0</v>
      </c>
    </row>
    <row r="1615" spans="1:29">
      <c r="A1615" s="83" t="str">
        <f t="shared" si="175"/>
        <v/>
      </c>
      <c r="B1615" s="83" t="str">
        <f t="shared" si="176"/>
        <v/>
      </c>
      <c r="U1615" s="83" t="str">
        <f t="shared" si="177"/>
        <v/>
      </c>
      <c r="V1615" s="83" t="str">
        <f t="shared" si="178"/>
        <v/>
      </c>
      <c r="AA1615" s="60">
        <f t="shared" si="179"/>
        <v>0</v>
      </c>
      <c r="AB1615" s="49">
        <f t="shared" si="180"/>
        <v>0</v>
      </c>
      <c r="AC1615" s="60">
        <f t="shared" si="181"/>
        <v>0</v>
      </c>
    </row>
    <row r="1616" spans="1:29">
      <c r="A1616" s="83" t="str">
        <f t="shared" si="175"/>
        <v/>
      </c>
      <c r="B1616" s="83" t="str">
        <f t="shared" si="176"/>
        <v/>
      </c>
      <c r="U1616" s="83" t="str">
        <f t="shared" si="177"/>
        <v/>
      </c>
      <c r="V1616" s="83" t="str">
        <f t="shared" si="178"/>
        <v/>
      </c>
      <c r="AA1616" s="60">
        <f t="shared" si="179"/>
        <v>0</v>
      </c>
      <c r="AB1616" s="49">
        <f t="shared" si="180"/>
        <v>0</v>
      </c>
      <c r="AC1616" s="60">
        <f t="shared" si="181"/>
        <v>0</v>
      </c>
    </row>
    <row r="1617" spans="1:29">
      <c r="A1617" s="83" t="str">
        <f t="shared" si="175"/>
        <v/>
      </c>
      <c r="B1617" s="83" t="str">
        <f t="shared" si="176"/>
        <v/>
      </c>
      <c r="U1617" s="83" t="str">
        <f t="shared" si="177"/>
        <v/>
      </c>
      <c r="V1617" s="83" t="str">
        <f t="shared" si="178"/>
        <v/>
      </c>
      <c r="AA1617" s="60">
        <f t="shared" si="179"/>
        <v>0</v>
      </c>
      <c r="AB1617" s="49">
        <f t="shared" si="180"/>
        <v>0</v>
      </c>
      <c r="AC1617" s="60">
        <f t="shared" si="181"/>
        <v>0</v>
      </c>
    </row>
    <row r="1618" spans="1:29">
      <c r="A1618" s="83" t="str">
        <f t="shared" si="175"/>
        <v/>
      </c>
      <c r="B1618" s="83" t="str">
        <f t="shared" si="176"/>
        <v/>
      </c>
      <c r="U1618" s="83" t="str">
        <f t="shared" si="177"/>
        <v/>
      </c>
      <c r="V1618" s="83" t="str">
        <f t="shared" si="178"/>
        <v/>
      </c>
      <c r="AA1618" s="60">
        <f t="shared" si="179"/>
        <v>0</v>
      </c>
      <c r="AB1618" s="49">
        <f t="shared" si="180"/>
        <v>0</v>
      </c>
      <c r="AC1618" s="60">
        <f t="shared" si="181"/>
        <v>0</v>
      </c>
    </row>
    <row r="1619" spans="1:29">
      <c r="A1619" s="83" t="str">
        <f t="shared" si="175"/>
        <v/>
      </c>
      <c r="B1619" s="83" t="str">
        <f t="shared" si="176"/>
        <v/>
      </c>
      <c r="U1619" s="83" t="str">
        <f t="shared" si="177"/>
        <v/>
      </c>
      <c r="V1619" s="83" t="str">
        <f t="shared" si="178"/>
        <v/>
      </c>
      <c r="AA1619" s="60">
        <f t="shared" si="179"/>
        <v>0</v>
      </c>
      <c r="AB1619" s="49">
        <f t="shared" si="180"/>
        <v>0</v>
      </c>
      <c r="AC1619" s="60">
        <f t="shared" si="181"/>
        <v>0</v>
      </c>
    </row>
    <row r="1620" spans="1:29">
      <c r="A1620" s="83" t="str">
        <f t="shared" si="175"/>
        <v/>
      </c>
      <c r="B1620" s="83" t="str">
        <f t="shared" si="176"/>
        <v/>
      </c>
      <c r="U1620" s="83" t="str">
        <f t="shared" si="177"/>
        <v/>
      </c>
      <c r="V1620" s="83" t="str">
        <f t="shared" si="178"/>
        <v/>
      </c>
      <c r="AA1620" s="60">
        <f t="shared" si="179"/>
        <v>0</v>
      </c>
      <c r="AB1620" s="49">
        <f t="shared" si="180"/>
        <v>0</v>
      </c>
      <c r="AC1620" s="60">
        <f t="shared" si="181"/>
        <v>0</v>
      </c>
    </row>
    <row r="1621" spans="1:29">
      <c r="A1621" s="83" t="str">
        <f t="shared" si="175"/>
        <v/>
      </c>
      <c r="B1621" s="83" t="str">
        <f t="shared" si="176"/>
        <v/>
      </c>
      <c r="U1621" s="83" t="str">
        <f t="shared" si="177"/>
        <v/>
      </c>
      <c r="V1621" s="83" t="str">
        <f t="shared" si="178"/>
        <v/>
      </c>
      <c r="AA1621" s="60">
        <f t="shared" si="179"/>
        <v>0</v>
      </c>
      <c r="AB1621" s="49">
        <f t="shared" si="180"/>
        <v>0</v>
      </c>
      <c r="AC1621" s="60">
        <f t="shared" si="181"/>
        <v>0</v>
      </c>
    </row>
    <row r="1622" spans="1:29">
      <c r="A1622" s="83" t="str">
        <f t="shared" si="175"/>
        <v/>
      </c>
      <c r="B1622" s="83" t="str">
        <f t="shared" si="176"/>
        <v/>
      </c>
      <c r="U1622" s="83" t="str">
        <f t="shared" si="177"/>
        <v/>
      </c>
      <c r="V1622" s="83" t="str">
        <f t="shared" si="178"/>
        <v/>
      </c>
      <c r="AA1622" s="60">
        <f t="shared" si="179"/>
        <v>0</v>
      </c>
      <c r="AB1622" s="49">
        <f t="shared" si="180"/>
        <v>0</v>
      </c>
      <c r="AC1622" s="60">
        <f t="shared" si="181"/>
        <v>0</v>
      </c>
    </row>
    <row r="1623" spans="1:29">
      <c r="A1623" s="83" t="str">
        <f t="shared" si="175"/>
        <v/>
      </c>
      <c r="B1623" s="83" t="str">
        <f t="shared" si="176"/>
        <v/>
      </c>
      <c r="U1623" s="83" t="str">
        <f t="shared" si="177"/>
        <v/>
      </c>
      <c r="V1623" s="83" t="str">
        <f t="shared" si="178"/>
        <v/>
      </c>
      <c r="AA1623" s="60">
        <f t="shared" si="179"/>
        <v>0</v>
      </c>
      <c r="AB1623" s="49">
        <f t="shared" si="180"/>
        <v>0</v>
      </c>
      <c r="AC1623" s="60">
        <f t="shared" si="181"/>
        <v>0</v>
      </c>
    </row>
    <row r="1624" spans="1:29">
      <c r="A1624" s="83" t="str">
        <f t="shared" si="175"/>
        <v/>
      </c>
      <c r="B1624" s="83" t="str">
        <f t="shared" si="176"/>
        <v/>
      </c>
      <c r="U1624" s="83" t="str">
        <f t="shared" si="177"/>
        <v/>
      </c>
      <c r="V1624" s="83" t="str">
        <f t="shared" si="178"/>
        <v/>
      </c>
      <c r="AA1624" s="60">
        <f t="shared" si="179"/>
        <v>0</v>
      </c>
      <c r="AB1624" s="49">
        <f t="shared" si="180"/>
        <v>0</v>
      </c>
      <c r="AC1624" s="60">
        <f t="shared" si="181"/>
        <v>0</v>
      </c>
    </row>
    <row r="1625" spans="1:29">
      <c r="A1625" s="83" t="str">
        <f t="shared" si="175"/>
        <v/>
      </c>
      <c r="B1625" s="83" t="str">
        <f t="shared" si="176"/>
        <v/>
      </c>
      <c r="U1625" s="83" t="str">
        <f t="shared" si="177"/>
        <v/>
      </c>
      <c r="V1625" s="83" t="str">
        <f t="shared" si="178"/>
        <v/>
      </c>
      <c r="AA1625" s="60">
        <f t="shared" si="179"/>
        <v>0</v>
      </c>
      <c r="AB1625" s="49">
        <f t="shared" si="180"/>
        <v>0</v>
      </c>
      <c r="AC1625" s="60">
        <f t="shared" si="181"/>
        <v>0</v>
      </c>
    </row>
    <row r="1626" spans="1:29">
      <c r="A1626" s="83" t="str">
        <f t="shared" si="175"/>
        <v/>
      </c>
      <c r="B1626" s="83" t="str">
        <f t="shared" si="176"/>
        <v/>
      </c>
      <c r="U1626" s="83" t="str">
        <f t="shared" si="177"/>
        <v/>
      </c>
      <c r="V1626" s="83" t="str">
        <f t="shared" si="178"/>
        <v/>
      </c>
      <c r="AA1626" s="60">
        <f t="shared" si="179"/>
        <v>0</v>
      </c>
      <c r="AB1626" s="49">
        <f t="shared" si="180"/>
        <v>0</v>
      </c>
      <c r="AC1626" s="60">
        <f t="shared" si="181"/>
        <v>0</v>
      </c>
    </row>
    <row r="1627" spans="1:29">
      <c r="A1627" s="83" t="str">
        <f t="shared" si="175"/>
        <v/>
      </c>
      <c r="B1627" s="83" t="str">
        <f t="shared" si="176"/>
        <v/>
      </c>
      <c r="U1627" s="83" t="str">
        <f t="shared" si="177"/>
        <v/>
      </c>
      <c r="V1627" s="83" t="str">
        <f t="shared" si="178"/>
        <v/>
      </c>
      <c r="AA1627" s="60">
        <f t="shared" si="179"/>
        <v>0</v>
      </c>
      <c r="AB1627" s="49">
        <f t="shared" si="180"/>
        <v>0</v>
      </c>
      <c r="AC1627" s="60">
        <f t="shared" si="181"/>
        <v>0</v>
      </c>
    </row>
    <row r="1628" spans="1:29">
      <c r="A1628" s="83" t="str">
        <f t="shared" si="175"/>
        <v/>
      </c>
      <c r="B1628" s="83" t="str">
        <f t="shared" si="176"/>
        <v/>
      </c>
      <c r="U1628" s="83" t="str">
        <f t="shared" si="177"/>
        <v/>
      </c>
      <c r="V1628" s="83" t="str">
        <f t="shared" si="178"/>
        <v/>
      </c>
      <c r="AA1628" s="60">
        <f t="shared" si="179"/>
        <v>0</v>
      </c>
      <c r="AB1628" s="49">
        <f t="shared" si="180"/>
        <v>0</v>
      </c>
      <c r="AC1628" s="60">
        <f t="shared" si="181"/>
        <v>0</v>
      </c>
    </row>
    <row r="1629" spans="1:29">
      <c r="A1629" s="83" t="str">
        <f t="shared" si="175"/>
        <v/>
      </c>
      <c r="B1629" s="83" t="str">
        <f t="shared" si="176"/>
        <v/>
      </c>
      <c r="U1629" s="83" t="str">
        <f t="shared" si="177"/>
        <v/>
      </c>
      <c r="V1629" s="83" t="str">
        <f t="shared" si="178"/>
        <v/>
      </c>
      <c r="AA1629" s="60">
        <f t="shared" si="179"/>
        <v>0</v>
      </c>
      <c r="AB1629" s="49">
        <f t="shared" si="180"/>
        <v>0</v>
      </c>
      <c r="AC1629" s="60">
        <f t="shared" si="181"/>
        <v>0</v>
      </c>
    </row>
    <row r="1630" spans="1:29">
      <c r="A1630" s="83" t="str">
        <f t="shared" si="175"/>
        <v/>
      </c>
      <c r="B1630" s="83" t="str">
        <f t="shared" si="176"/>
        <v/>
      </c>
      <c r="U1630" s="83" t="str">
        <f t="shared" si="177"/>
        <v/>
      </c>
      <c r="V1630" s="83" t="str">
        <f t="shared" si="178"/>
        <v/>
      </c>
      <c r="AA1630" s="60">
        <f t="shared" si="179"/>
        <v>0</v>
      </c>
      <c r="AB1630" s="49">
        <f t="shared" si="180"/>
        <v>0</v>
      </c>
      <c r="AC1630" s="60">
        <f t="shared" si="181"/>
        <v>0</v>
      </c>
    </row>
    <row r="1631" spans="1:29">
      <c r="A1631" s="83" t="str">
        <f t="shared" si="175"/>
        <v/>
      </c>
      <c r="B1631" s="83" t="str">
        <f t="shared" si="176"/>
        <v/>
      </c>
      <c r="U1631" s="83" t="str">
        <f t="shared" si="177"/>
        <v/>
      </c>
      <c r="V1631" s="83" t="str">
        <f t="shared" si="178"/>
        <v/>
      </c>
      <c r="AA1631" s="60">
        <f t="shared" si="179"/>
        <v>0</v>
      </c>
      <c r="AB1631" s="49">
        <f t="shared" si="180"/>
        <v>0</v>
      </c>
      <c r="AC1631" s="60">
        <f t="shared" si="181"/>
        <v>0</v>
      </c>
    </row>
    <row r="1632" spans="1:29">
      <c r="A1632" s="83" t="str">
        <f t="shared" si="175"/>
        <v/>
      </c>
      <c r="B1632" s="83" t="str">
        <f t="shared" si="176"/>
        <v/>
      </c>
      <c r="U1632" s="83" t="str">
        <f t="shared" si="177"/>
        <v/>
      </c>
      <c r="V1632" s="83" t="str">
        <f t="shared" si="178"/>
        <v/>
      </c>
      <c r="AA1632" s="60">
        <f t="shared" si="179"/>
        <v>0</v>
      </c>
      <c r="AB1632" s="49">
        <f t="shared" si="180"/>
        <v>0</v>
      </c>
      <c r="AC1632" s="60">
        <f t="shared" si="181"/>
        <v>0</v>
      </c>
    </row>
    <row r="1633" spans="1:29">
      <c r="A1633" s="83" t="str">
        <f t="shared" si="175"/>
        <v/>
      </c>
      <c r="B1633" s="83" t="str">
        <f t="shared" si="176"/>
        <v/>
      </c>
      <c r="U1633" s="83" t="str">
        <f t="shared" si="177"/>
        <v/>
      </c>
      <c r="V1633" s="83" t="str">
        <f t="shared" si="178"/>
        <v/>
      </c>
      <c r="AA1633" s="60">
        <f t="shared" si="179"/>
        <v>0</v>
      </c>
      <c r="AB1633" s="49">
        <f t="shared" si="180"/>
        <v>0</v>
      </c>
      <c r="AC1633" s="60">
        <f t="shared" si="181"/>
        <v>0</v>
      </c>
    </row>
    <row r="1634" spans="1:29">
      <c r="A1634" s="83" t="str">
        <f t="shared" si="175"/>
        <v/>
      </c>
      <c r="B1634" s="83" t="str">
        <f t="shared" si="176"/>
        <v/>
      </c>
      <c r="U1634" s="83" t="str">
        <f t="shared" si="177"/>
        <v/>
      </c>
      <c r="V1634" s="83" t="str">
        <f t="shared" si="178"/>
        <v/>
      </c>
      <c r="AA1634" s="60">
        <f t="shared" si="179"/>
        <v>0</v>
      </c>
      <c r="AB1634" s="49">
        <f t="shared" si="180"/>
        <v>0</v>
      </c>
      <c r="AC1634" s="60">
        <f t="shared" si="181"/>
        <v>0</v>
      </c>
    </row>
    <row r="1635" spans="1:29">
      <c r="A1635" s="83" t="str">
        <f t="shared" si="175"/>
        <v/>
      </c>
      <c r="B1635" s="83" t="str">
        <f t="shared" si="176"/>
        <v/>
      </c>
      <c r="U1635" s="83" t="str">
        <f t="shared" si="177"/>
        <v/>
      </c>
      <c r="V1635" s="83" t="str">
        <f t="shared" si="178"/>
        <v/>
      </c>
      <c r="AA1635" s="60">
        <f t="shared" si="179"/>
        <v>0</v>
      </c>
      <c r="AB1635" s="49">
        <f t="shared" si="180"/>
        <v>0</v>
      </c>
      <c r="AC1635" s="60">
        <f t="shared" si="181"/>
        <v>0</v>
      </c>
    </row>
    <row r="1636" spans="1:29">
      <c r="A1636" s="83" t="str">
        <f t="shared" si="175"/>
        <v/>
      </c>
      <c r="B1636" s="83" t="str">
        <f t="shared" si="176"/>
        <v/>
      </c>
      <c r="U1636" s="83" t="str">
        <f t="shared" si="177"/>
        <v/>
      </c>
      <c r="V1636" s="83" t="str">
        <f t="shared" si="178"/>
        <v/>
      </c>
      <c r="AA1636" s="60">
        <f t="shared" si="179"/>
        <v>0</v>
      </c>
      <c r="AB1636" s="49">
        <f t="shared" si="180"/>
        <v>0</v>
      </c>
      <c r="AC1636" s="60">
        <f t="shared" si="181"/>
        <v>0</v>
      </c>
    </row>
    <row r="1637" spans="1:29">
      <c r="A1637" s="83" t="str">
        <f t="shared" si="175"/>
        <v/>
      </c>
      <c r="B1637" s="83" t="str">
        <f t="shared" si="176"/>
        <v/>
      </c>
      <c r="U1637" s="83" t="str">
        <f t="shared" si="177"/>
        <v/>
      </c>
      <c r="V1637" s="83" t="str">
        <f t="shared" si="178"/>
        <v/>
      </c>
      <c r="AA1637" s="60">
        <f t="shared" si="179"/>
        <v>0</v>
      </c>
      <c r="AB1637" s="49">
        <f t="shared" si="180"/>
        <v>0</v>
      </c>
      <c r="AC1637" s="60">
        <f t="shared" si="181"/>
        <v>0</v>
      </c>
    </row>
    <row r="1638" spans="1:29">
      <c r="A1638" s="83" t="str">
        <f t="shared" si="175"/>
        <v/>
      </c>
      <c r="B1638" s="83" t="str">
        <f t="shared" si="176"/>
        <v/>
      </c>
      <c r="U1638" s="83" t="str">
        <f t="shared" si="177"/>
        <v/>
      </c>
      <c r="V1638" s="83" t="str">
        <f t="shared" si="178"/>
        <v/>
      </c>
      <c r="AA1638" s="60">
        <f t="shared" si="179"/>
        <v>0</v>
      </c>
      <c r="AB1638" s="49">
        <f t="shared" si="180"/>
        <v>0</v>
      </c>
      <c r="AC1638" s="60">
        <f t="shared" si="181"/>
        <v>0</v>
      </c>
    </row>
    <row r="1639" spans="1:29">
      <c r="A1639" s="83" t="str">
        <f t="shared" si="175"/>
        <v/>
      </c>
      <c r="B1639" s="83" t="str">
        <f t="shared" si="176"/>
        <v/>
      </c>
      <c r="U1639" s="83" t="str">
        <f t="shared" si="177"/>
        <v/>
      </c>
      <c r="V1639" s="83" t="str">
        <f t="shared" si="178"/>
        <v/>
      </c>
      <c r="AA1639" s="60">
        <f t="shared" si="179"/>
        <v>0</v>
      </c>
      <c r="AB1639" s="49">
        <f t="shared" si="180"/>
        <v>0</v>
      </c>
      <c r="AC1639" s="60">
        <f t="shared" si="181"/>
        <v>0</v>
      </c>
    </row>
    <row r="1640" spans="1:29">
      <c r="A1640" s="83" t="str">
        <f t="shared" si="175"/>
        <v/>
      </c>
      <c r="B1640" s="83" t="str">
        <f t="shared" si="176"/>
        <v/>
      </c>
      <c r="U1640" s="83" t="str">
        <f t="shared" si="177"/>
        <v/>
      </c>
      <c r="V1640" s="83" t="str">
        <f t="shared" si="178"/>
        <v/>
      </c>
      <c r="AA1640" s="60">
        <f t="shared" si="179"/>
        <v>0</v>
      </c>
      <c r="AB1640" s="49">
        <f t="shared" si="180"/>
        <v>0</v>
      </c>
      <c r="AC1640" s="60">
        <f t="shared" si="181"/>
        <v>0</v>
      </c>
    </row>
    <row r="1641" spans="1:29">
      <c r="A1641" s="83" t="str">
        <f t="shared" si="175"/>
        <v/>
      </c>
      <c r="B1641" s="83" t="str">
        <f t="shared" si="176"/>
        <v/>
      </c>
      <c r="U1641" s="83" t="str">
        <f t="shared" si="177"/>
        <v/>
      </c>
      <c r="V1641" s="83" t="str">
        <f t="shared" si="178"/>
        <v/>
      </c>
      <c r="AA1641" s="60">
        <f t="shared" si="179"/>
        <v>0</v>
      </c>
      <c r="AB1641" s="49">
        <f t="shared" si="180"/>
        <v>0</v>
      </c>
      <c r="AC1641" s="60">
        <f t="shared" si="181"/>
        <v>0</v>
      </c>
    </row>
    <row r="1642" spans="1:29">
      <c r="A1642" s="83" t="str">
        <f t="shared" si="175"/>
        <v/>
      </c>
      <c r="B1642" s="83" t="str">
        <f t="shared" si="176"/>
        <v/>
      </c>
      <c r="U1642" s="83" t="str">
        <f t="shared" si="177"/>
        <v/>
      </c>
      <c r="V1642" s="83" t="str">
        <f t="shared" si="178"/>
        <v/>
      </c>
      <c r="AA1642" s="60">
        <f t="shared" si="179"/>
        <v>0</v>
      </c>
      <c r="AB1642" s="49">
        <f t="shared" si="180"/>
        <v>0</v>
      </c>
      <c r="AC1642" s="60">
        <f t="shared" si="181"/>
        <v>0</v>
      </c>
    </row>
    <row r="1643" spans="1:29">
      <c r="A1643" s="83" t="str">
        <f t="shared" si="175"/>
        <v/>
      </c>
      <c r="B1643" s="83" t="str">
        <f t="shared" si="176"/>
        <v/>
      </c>
      <c r="U1643" s="83" t="str">
        <f t="shared" si="177"/>
        <v/>
      </c>
      <c r="V1643" s="83" t="str">
        <f t="shared" si="178"/>
        <v/>
      </c>
      <c r="AA1643" s="60">
        <f t="shared" si="179"/>
        <v>0</v>
      </c>
      <c r="AB1643" s="49">
        <f t="shared" si="180"/>
        <v>0</v>
      </c>
      <c r="AC1643" s="60">
        <f t="shared" si="181"/>
        <v>0</v>
      </c>
    </row>
    <row r="1644" spans="1:29">
      <c r="A1644" s="83" t="str">
        <f t="shared" si="175"/>
        <v/>
      </c>
      <c r="B1644" s="83" t="str">
        <f t="shared" si="176"/>
        <v/>
      </c>
      <c r="U1644" s="83" t="str">
        <f t="shared" si="177"/>
        <v/>
      </c>
      <c r="V1644" s="83" t="str">
        <f t="shared" si="178"/>
        <v/>
      </c>
      <c r="AA1644" s="60">
        <f t="shared" si="179"/>
        <v>0</v>
      </c>
      <c r="AB1644" s="49">
        <f t="shared" si="180"/>
        <v>0</v>
      </c>
      <c r="AC1644" s="60">
        <f t="shared" si="181"/>
        <v>0</v>
      </c>
    </row>
    <row r="1645" spans="1:29">
      <c r="A1645" s="83" t="str">
        <f t="shared" si="175"/>
        <v/>
      </c>
      <c r="B1645" s="83" t="str">
        <f t="shared" si="176"/>
        <v/>
      </c>
      <c r="U1645" s="83" t="str">
        <f t="shared" si="177"/>
        <v/>
      </c>
      <c r="V1645" s="83" t="str">
        <f t="shared" si="178"/>
        <v/>
      </c>
      <c r="AA1645" s="60">
        <f t="shared" si="179"/>
        <v>0</v>
      </c>
      <c r="AB1645" s="49">
        <f t="shared" si="180"/>
        <v>0</v>
      </c>
      <c r="AC1645" s="60">
        <f t="shared" si="181"/>
        <v>0</v>
      </c>
    </row>
    <row r="1646" spans="1:29">
      <c r="A1646" s="83" t="str">
        <f t="shared" si="175"/>
        <v/>
      </c>
      <c r="B1646" s="83" t="str">
        <f t="shared" si="176"/>
        <v/>
      </c>
      <c r="U1646" s="83" t="str">
        <f t="shared" si="177"/>
        <v/>
      </c>
      <c r="V1646" s="83" t="str">
        <f t="shared" si="178"/>
        <v/>
      </c>
      <c r="AA1646" s="60">
        <f t="shared" si="179"/>
        <v>0</v>
      </c>
      <c r="AB1646" s="49">
        <f t="shared" si="180"/>
        <v>0</v>
      </c>
      <c r="AC1646" s="60">
        <f t="shared" si="181"/>
        <v>0</v>
      </c>
    </row>
    <row r="1647" spans="1:29">
      <c r="A1647" s="83" t="str">
        <f t="shared" si="175"/>
        <v/>
      </c>
      <c r="B1647" s="83" t="str">
        <f t="shared" si="176"/>
        <v/>
      </c>
      <c r="U1647" s="83" t="str">
        <f t="shared" si="177"/>
        <v/>
      </c>
      <c r="V1647" s="83" t="str">
        <f t="shared" si="178"/>
        <v/>
      </c>
      <c r="AA1647" s="60">
        <f t="shared" si="179"/>
        <v>0</v>
      </c>
      <c r="AB1647" s="49">
        <f t="shared" si="180"/>
        <v>0</v>
      </c>
      <c r="AC1647" s="60">
        <f t="shared" si="181"/>
        <v>0</v>
      </c>
    </row>
    <row r="1648" spans="1:29">
      <c r="A1648" s="83" t="str">
        <f t="shared" si="175"/>
        <v/>
      </c>
      <c r="B1648" s="83" t="str">
        <f t="shared" si="176"/>
        <v/>
      </c>
      <c r="U1648" s="83" t="str">
        <f t="shared" si="177"/>
        <v/>
      </c>
      <c r="V1648" s="83" t="str">
        <f t="shared" si="178"/>
        <v/>
      </c>
      <c r="AA1648" s="60">
        <f t="shared" si="179"/>
        <v>0</v>
      </c>
      <c r="AB1648" s="49">
        <f t="shared" si="180"/>
        <v>0</v>
      </c>
      <c r="AC1648" s="60">
        <f t="shared" si="181"/>
        <v>0</v>
      </c>
    </row>
    <row r="1649" spans="1:29">
      <c r="A1649" s="83" t="str">
        <f t="shared" si="175"/>
        <v/>
      </c>
      <c r="B1649" s="83" t="str">
        <f t="shared" si="176"/>
        <v/>
      </c>
      <c r="U1649" s="83" t="str">
        <f t="shared" si="177"/>
        <v/>
      </c>
      <c r="V1649" s="83" t="str">
        <f t="shared" si="178"/>
        <v/>
      </c>
      <c r="AA1649" s="60">
        <f t="shared" si="179"/>
        <v>0</v>
      </c>
      <c r="AB1649" s="49">
        <f t="shared" si="180"/>
        <v>0</v>
      </c>
      <c r="AC1649" s="60">
        <f t="shared" si="181"/>
        <v>0</v>
      </c>
    </row>
    <row r="1650" spans="1:29">
      <c r="A1650" s="83" t="str">
        <f t="shared" si="175"/>
        <v/>
      </c>
      <c r="B1650" s="83" t="str">
        <f t="shared" si="176"/>
        <v/>
      </c>
      <c r="U1650" s="83" t="str">
        <f t="shared" si="177"/>
        <v/>
      </c>
      <c r="V1650" s="83" t="str">
        <f t="shared" si="178"/>
        <v/>
      </c>
      <c r="AA1650" s="60">
        <f t="shared" si="179"/>
        <v>0</v>
      </c>
      <c r="AB1650" s="49">
        <f t="shared" si="180"/>
        <v>0</v>
      </c>
      <c r="AC1650" s="60">
        <f t="shared" si="181"/>
        <v>0</v>
      </c>
    </row>
    <row r="1651" spans="1:29">
      <c r="A1651" s="83" t="str">
        <f t="shared" si="175"/>
        <v/>
      </c>
      <c r="B1651" s="83" t="str">
        <f t="shared" si="176"/>
        <v/>
      </c>
      <c r="U1651" s="83" t="str">
        <f t="shared" si="177"/>
        <v/>
      </c>
      <c r="V1651" s="83" t="str">
        <f t="shared" si="178"/>
        <v/>
      </c>
      <c r="AA1651" s="60">
        <f t="shared" si="179"/>
        <v>0</v>
      </c>
      <c r="AB1651" s="49">
        <f t="shared" si="180"/>
        <v>0</v>
      </c>
      <c r="AC1651" s="60">
        <f t="shared" si="181"/>
        <v>0</v>
      </c>
    </row>
    <row r="1652" spans="1:29">
      <c r="A1652" s="83" t="str">
        <f t="shared" si="175"/>
        <v/>
      </c>
      <c r="B1652" s="83" t="str">
        <f t="shared" si="176"/>
        <v/>
      </c>
      <c r="U1652" s="83" t="str">
        <f t="shared" si="177"/>
        <v/>
      </c>
      <c r="V1652" s="83" t="str">
        <f t="shared" si="178"/>
        <v/>
      </c>
      <c r="AA1652" s="60">
        <f t="shared" si="179"/>
        <v>0</v>
      </c>
      <c r="AB1652" s="49">
        <f t="shared" si="180"/>
        <v>0</v>
      </c>
      <c r="AC1652" s="60">
        <f t="shared" si="181"/>
        <v>0</v>
      </c>
    </row>
    <row r="1653" spans="1:29">
      <c r="A1653" s="83" t="str">
        <f t="shared" si="175"/>
        <v/>
      </c>
      <c r="B1653" s="83" t="str">
        <f t="shared" si="176"/>
        <v/>
      </c>
      <c r="U1653" s="83" t="str">
        <f t="shared" si="177"/>
        <v/>
      </c>
      <c r="V1653" s="83" t="str">
        <f t="shared" si="178"/>
        <v/>
      </c>
      <c r="AA1653" s="60">
        <f t="shared" si="179"/>
        <v>0</v>
      </c>
      <c r="AB1653" s="49">
        <f t="shared" si="180"/>
        <v>0</v>
      </c>
      <c r="AC1653" s="60">
        <f t="shared" si="181"/>
        <v>0</v>
      </c>
    </row>
    <row r="1654" spans="1:29">
      <c r="A1654" s="83" t="str">
        <f t="shared" si="175"/>
        <v/>
      </c>
      <c r="B1654" s="83" t="str">
        <f t="shared" si="176"/>
        <v/>
      </c>
      <c r="U1654" s="83" t="str">
        <f t="shared" si="177"/>
        <v/>
      </c>
      <c r="V1654" s="83" t="str">
        <f t="shared" si="178"/>
        <v/>
      </c>
      <c r="AA1654" s="60">
        <f t="shared" si="179"/>
        <v>0</v>
      </c>
      <c r="AB1654" s="49">
        <f t="shared" si="180"/>
        <v>0</v>
      </c>
      <c r="AC1654" s="60">
        <f t="shared" si="181"/>
        <v>0</v>
      </c>
    </row>
    <row r="1655" spans="1:29">
      <c r="A1655" s="83" t="str">
        <f t="shared" si="175"/>
        <v/>
      </c>
      <c r="B1655" s="83" t="str">
        <f t="shared" si="176"/>
        <v/>
      </c>
      <c r="U1655" s="83" t="str">
        <f t="shared" si="177"/>
        <v/>
      </c>
      <c r="V1655" s="83" t="str">
        <f t="shared" si="178"/>
        <v/>
      </c>
      <c r="AA1655" s="60">
        <f t="shared" si="179"/>
        <v>0</v>
      </c>
      <c r="AB1655" s="49">
        <f t="shared" si="180"/>
        <v>0</v>
      </c>
      <c r="AC1655" s="60">
        <f t="shared" si="181"/>
        <v>0</v>
      </c>
    </row>
    <row r="1656" spans="1:29">
      <c r="A1656" s="83" t="str">
        <f t="shared" si="175"/>
        <v/>
      </c>
      <c r="B1656" s="83" t="str">
        <f t="shared" si="176"/>
        <v/>
      </c>
      <c r="U1656" s="83" t="str">
        <f t="shared" si="177"/>
        <v/>
      </c>
      <c r="V1656" s="83" t="str">
        <f t="shared" si="178"/>
        <v/>
      </c>
      <c r="AA1656" s="60">
        <f t="shared" si="179"/>
        <v>0</v>
      </c>
      <c r="AB1656" s="49">
        <f t="shared" si="180"/>
        <v>0</v>
      </c>
      <c r="AC1656" s="60">
        <f t="shared" si="181"/>
        <v>0</v>
      </c>
    </row>
    <row r="1657" spans="1:29">
      <c r="A1657" s="83" t="str">
        <f t="shared" si="175"/>
        <v/>
      </c>
      <c r="B1657" s="83" t="str">
        <f t="shared" si="176"/>
        <v/>
      </c>
      <c r="U1657" s="83" t="str">
        <f t="shared" si="177"/>
        <v/>
      </c>
      <c r="V1657" s="83" t="str">
        <f t="shared" si="178"/>
        <v/>
      </c>
      <c r="AA1657" s="60">
        <f t="shared" si="179"/>
        <v>0</v>
      </c>
      <c r="AB1657" s="49">
        <f t="shared" si="180"/>
        <v>0</v>
      </c>
      <c r="AC1657" s="60">
        <f t="shared" si="181"/>
        <v>0</v>
      </c>
    </row>
    <row r="1658" spans="1:29">
      <c r="A1658" s="83" t="str">
        <f t="shared" si="175"/>
        <v/>
      </c>
      <c r="B1658" s="83" t="str">
        <f t="shared" si="176"/>
        <v/>
      </c>
      <c r="U1658" s="83" t="str">
        <f t="shared" si="177"/>
        <v/>
      </c>
      <c r="V1658" s="83" t="str">
        <f t="shared" si="178"/>
        <v/>
      </c>
      <c r="AA1658" s="60">
        <f t="shared" si="179"/>
        <v>0</v>
      </c>
      <c r="AB1658" s="49">
        <f t="shared" si="180"/>
        <v>0</v>
      </c>
      <c r="AC1658" s="60">
        <f t="shared" si="181"/>
        <v>0</v>
      </c>
    </row>
    <row r="1659" spans="1:29">
      <c r="A1659" s="83" t="str">
        <f t="shared" si="175"/>
        <v/>
      </c>
      <c r="B1659" s="83" t="str">
        <f t="shared" si="176"/>
        <v/>
      </c>
      <c r="U1659" s="83" t="str">
        <f t="shared" si="177"/>
        <v/>
      </c>
      <c r="V1659" s="83" t="str">
        <f t="shared" si="178"/>
        <v/>
      </c>
      <c r="AA1659" s="60">
        <f t="shared" si="179"/>
        <v>0</v>
      </c>
      <c r="AB1659" s="49">
        <f t="shared" si="180"/>
        <v>0</v>
      </c>
      <c r="AC1659" s="60">
        <f t="shared" si="181"/>
        <v>0</v>
      </c>
    </row>
    <row r="1660" spans="1:29">
      <c r="A1660" s="83" t="str">
        <f t="shared" si="175"/>
        <v/>
      </c>
      <c r="B1660" s="83" t="str">
        <f t="shared" si="176"/>
        <v/>
      </c>
      <c r="U1660" s="83" t="str">
        <f t="shared" si="177"/>
        <v/>
      </c>
      <c r="V1660" s="83" t="str">
        <f t="shared" si="178"/>
        <v/>
      </c>
      <c r="AA1660" s="60">
        <f t="shared" si="179"/>
        <v>0</v>
      </c>
      <c r="AB1660" s="49">
        <f t="shared" si="180"/>
        <v>0</v>
      </c>
      <c r="AC1660" s="60">
        <f t="shared" si="181"/>
        <v>0</v>
      </c>
    </row>
    <row r="1661" spans="1:29">
      <c r="A1661" s="83" t="str">
        <f t="shared" si="175"/>
        <v/>
      </c>
      <c r="B1661" s="83" t="str">
        <f t="shared" si="176"/>
        <v/>
      </c>
      <c r="U1661" s="83" t="str">
        <f t="shared" si="177"/>
        <v/>
      </c>
      <c r="V1661" s="83" t="str">
        <f t="shared" si="178"/>
        <v/>
      </c>
      <c r="AA1661" s="60">
        <f t="shared" si="179"/>
        <v>0</v>
      </c>
      <c r="AB1661" s="49">
        <f t="shared" si="180"/>
        <v>0</v>
      </c>
      <c r="AC1661" s="60">
        <f t="shared" si="181"/>
        <v>0</v>
      </c>
    </row>
    <row r="1662" spans="1:29">
      <c r="A1662" s="83" t="str">
        <f t="shared" si="175"/>
        <v/>
      </c>
      <c r="B1662" s="83" t="str">
        <f t="shared" si="176"/>
        <v/>
      </c>
      <c r="U1662" s="83" t="str">
        <f t="shared" si="177"/>
        <v/>
      </c>
      <c r="V1662" s="83" t="str">
        <f t="shared" si="178"/>
        <v/>
      </c>
      <c r="AA1662" s="60">
        <f t="shared" si="179"/>
        <v>0</v>
      </c>
      <c r="AB1662" s="49">
        <f t="shared" si="180"/>
        <v>0</v>
      </c>
      <c r="AC1662" s="60">
        <f t="shared" si="181"/>
        <v>0</v>
      </c>
    </row>
    <row r="1663" spans="1:29">
      <c r="A1663" s="83" t="str">
        <f t="shared" si="175"/>
        <v/>
      </c>
      <c r="B1663" s="83" t="str">
        <f t="shared" si="176"/>
        <v/>
      </c>
      <c r="U1663" s="83" t="str">
        <f t="shared" si="177"/>
        <v/>
      </c>
      <c r="V1663" s="83" t="str">
        <f t="shared" si="178"/>
        <v/>
      </c>
      <c r="AA1663" s="60">
        <f t="shared" si="179"/>
        <v>0</v>
      </c>
      <c r="AB1663" s="49">
        <f t="shared" si="180"/>
        <v>0</v>
      </c>
      <c r="AC1663" s="60">
        <f t="shared" si="181"/>
        <v>0</v>
      </c>
    </row>
    <row r="1664" spans="1:29">
      <c r="A1664" s="83" t="str">
        <f t="shared" si="175"/>
        <v/>
      </c>
      <c r="B1664" s="83" t="str">
        <f t="shared" si="176"/>
        <v/>
      </c>
      <c r="U1664" s="83" t="str">
        <f t="shared" si="177"/>
        <v/>
      </c>
      <c r="V1664" s="83" t="str">
        <f t="shared" si="178"/>
        <v/>
      </c>
      <c r="AA1664" s="60">
        <f t="shared" si="179"/>
        <v>0</v>
      </c>
      <c r="AB1664" s="49">
        <f t="shared" si="180"/>
        <v>0</v>
      </c>
      <c r="AC1664" s="60">
        <f t="shared" si="181"/>
        <v>0</v>
      </c>
    </row>
    <row r="1665" spans="1:29">
      <c r="A1665" s="83" t="str">
        <f t="shared" si="175"/>
        <v/>
      </c>
      <c r="B1665" s="83" t="str">
        <f t="shared" si="176"/>
        <v/>
      </c>
      <c r="U1665" s="83" t="str">
        <f t="shared" si="177"/>
        <v/>
      </c>
      <c r="V1665" s="83" t="str">
        <f t="shared" si="178"/>
        <v/>
      </c>
      <c r="AA1665" s="60">
        <f t="shared" si="179"/>
        <v>0</v>
      </c>
      <c r="AB1665" s="49">
        <f t="shared" si="180"/>
        <v>0</v>
      </c>
      <c r="AC1665" s="60">
        <f t="shared" si="181"/>
        <v>0</v>
      </c>
    </row>
    <row r="1666" spans="1:29">
      <c r="A1666" s="83" t="str">
        <f t="shared" si="175"/>
        <v/>
      </c>
      <c r="B1666" s="83" t="str">
        <f t="shared" si="176"/>
        <v/>
      </c>
      <c r="U1666" s="83" t="str">
        <f t="shared" si="177"/>
        <v/>
      </c>
      <c r="V1666" s="83" t="str">
        <f t="shared" si="178"/>
        <v/>
      </c>
      <c r="AA1666" s="60">
        <f t="shared" si="179"/>
        <v>0</v>
      </c>
      <c r="AB1666" s="49">
        <f t="shared" si="180"/>
        <v>0</v>
      </c>
      <c r="AC1666" s="60">
        <f t="shared" si="181"/>
        <v>0</v>
      </c>
    </row>
    <row r="1667" spans="1:29">
      <c r="A1667" s="83" t="str">
        <f t="shared" ref="A1667:A1730" si="182">IF(G1667&amp;Q1667&lt;&gt;"",U1667&amp;Q1667,"")</f>
        <v/>
      </c>
      <c r="B1667" s="83" t="str">
        <f t="shared" ref="B1667:B1730" si="183">IF(C1667&lt;&gt;"",LEFT(C1667,9),"")</f>
        <v/>
      </c>
      <c r="U1667" s="83" t="str">
        <f t="shared" ref="U1667:U1730" si="184">IF(G1667&lt;&gt;"",IF(StyleSpaceSplit,IFERROR(IF(FIND(" ",G1667)&gt;=1,MID(G1667,1,FIND(" ",G1667)-1),G1667),G1667),G1667),"")</f>
        <v/>
      </c>
      <c r="V1667" s="83" t="str">
        <f t="shared" ref="V1667:V1730" si="185">IF(A1667&lt;&gt;"",IFERROR(IF(FIND(" ",G1667)&gt;=1,MID(G1667,FIND(" ",G1667)+1,LEN(G1667)),""),G1667),"")</f>
        <v/>
      </c>
      <c r="AA1667" s="60">
        <f t="shared" ref="AA1667:AA1730" si="186">IFERROR(VALUE(MID($C1667,1,2)),0)</f>
        <v>0</v>
      </c>
      <c r="AB1667" s="49">
        <f t="shared" ref="AB1667:AB1730" si="187">IFERROR(VALUE(MID($C1667,4,3)),0)</f>
        <v>0</v>
      </c>
      <c r="AC1667" s="60">
        <f t="shared" ref="AC1667:AC1730" si="188">VALUE(RIGHT("00"&amp;AA1667,2)&amp;RIGHT("000"&amp;AB1667,3))</f>
        <v>0</v>
      </c>
    </row>
    <row r="1668" spans="1:29">
      <c r="A1668" s="83" t="str">
        <f t="shared" si="182"/>
        <v/>
      </c>
      <c r="B1668" s="83" t="str">
        <f t="shared" si="183"/>
        <v/>
      </c>
      <c r="U1668" s="83" t="str">
        <f t="shared" si="184"/>
        <v/>
      </c>
      <c r="V1668" s="83" t="str">
        <f t="shared" si="185"/>
        <v/>
      </c>
      <c r="AA1668" s="60">
        <f t="shared" si="186"/>
        <v>0</v>
      </c>
      <c r="AB1668" s="49">
        <f t="shared" si="187"/>
        <v>0</v>
      </c>
      <c r="AC1668" s="60">
        <f t="shared" si="188"/>
        <v>0</v>
      </c>
    </row>
    <row r="1669" spans="1:29">
      <c r="A1669" s="83" t="str">
        <f t="shared" si="182"/>
        <v/>
      </c>
      <c r="B1669" s="83" t="str">
        <f t="shared" si="183"/>
        <v/>
      </c>
      <c r="U1669" s="83" t="str">
        <f t="shared" si="184"/>
        <v/>
      </c>
      <c r="V1669" s="83" t="str">
        <f t="shared" si="185"/>
        <v/>
      </c>
      <c r="AA1669" s="60">
        <f t="shared" si="186"/>
        <v>0</v>
      </c>
      <c r="AB1669" s="49">
        <f t="shared" si="187"/>
        <v>0</v>
      </c>
      <c r="AC1669" s="60">
        <f t="shared" si="188"/>
        <v>0</v>
      </c>
    </row>
    <row r="1670" spans="1:29">
      <c r="A1670" s="83" t="str">
        <f t="shared" si="182"/>
        <v/>
      </c>
      <c r="B1670" s="83" t="str">
        <f t="shared" si="183"/>
        <v/>
      </c>
      <c r="U1670" s="83" t="str">
        <f t="shared" si="184"/>
        <v/>
      </c>
      <c r="V1670" s="83" t="str">
        <f t="shared" si="185"/>
        <v/>
      </c>
      <c r="AA1670" s="60">
        <f t="shared" si="186"/>
        <v>0</v>
      </c>
      <c r="AB1670" s="49">
        <f t="shared" si="187"/>
        <v>0</v>
      </c>
      <c r="AC1670" s="60">
        <f t="shared" si="188"/>
        <v>0</v>
      </c>
    </row>
    <row r="1671" spans="1:29">
      <c r="A1671" s="83" t="str">
        <f t="shared" si="182"/>
        <v/>
      </c>
      <c r="B1671" s="83" t="str">
        <f t="shared" si="183"/>
        <v/>
      </c>
      <c r="U1671" s="83" t="str">
        <f t="shared" si="184"/>
        <v/>
      </c>
      <c r="V1671" s="83" t="str">
        <f t="shared" si="185"/>
        <v/>
      </c>
      <c r="AA1671" s="60">
        <f t="shared" si="186"/>
        <v>0</v>
      </c>
      <c r="AB1671" s="49">
        <f t="shared" si="187"/>
        <v>0</v>
      </c>
      <c r="AC1671" s="60">
        <f t="shared" si="188"/>
        <v>0</v>
      </c>
    </row>
    <row r="1672" spans="1:29">
      <c r="A1672" s="83" t="str">
        <f t="shared" si="182"/>
        <v/>
      </c>
      <c r="B1672" s="83" t="str">
        <f t="shared" si="183"/>
        <v/>
      </c>
      <c r="U1672" s="83" t="str">
        <f t="shared" si="184"/>
        <v/>
      </c>
      <c r="V1672" s="83" t="str">
        <f t="shared" si="185"/>
        <v/>
      </c>
      <c r="AA1672" s="60">
        <f t="shared" si="186"/>
        <v>0</v>
      </c>
      <c r="AB1672" s="49">
        <f t="shared" si="187"/>
        <v>0</v>
      </c>
      <c r="AC1672" s="60">
        <f t="shared" si="188"/>
        <v>0</v>
      </c>
    </row>
    <row r="1673" spans="1:29">
      <c r="A1673" s="83" t="str">
        <f t="shared" si="182"/>
        <v/>
      </c>
      <c r="B1673" s="83" t="str">
        <f t="shared" si="183"/>
        <v/>
      </c>
      <c r="U1673" s="83" t="str">
        <f t="shared" si="184"/>
        <v/>
      </c>
      <c r="V1673" s="83" t="str">
        <f t="shared" si="185"/>
        <v/>
      </c>
      <c r="AA1673" s="60">
        <f t="shared" si="186"/>
        <v>0</v>
      </c>
      <c r="AB1673" s="49">
        <f t="shared" si="187"/>
        <v>0</v>
      </c>
      <c r="AC1673" s="60">
        <f t="shared" si="188"/>
        <v>0</v>
      </c>
    </row>
    <row r="1674" spans="1:29">
      <c r="A1674" s="83" t="str">
        <f t="shared" si="182"/>
        <v/>
      </c>
      <c r="B1674" s="83" t="str">
        <f t="shared" si="183"/>
        <v/>
      </c>
      <c r="U1674" s="83" t="str">
        <f t="shared" si="184"/>
        <v/>
      </c>
      <c r="V1674" s="83" t="str">
        <f t="shared" si="185"/>
        <v/>
      </c>
      <c r="AA1674" s="60">
        <f t="shared" si="186"/>
        <v>0</v>
      </c>
      <c r="AB1674" s="49">
        <f t="shared" si="187"/>
        <v>0</v>
      </c>
      <c r="AC1674" s="60">
        <f t="shared" si="188"/>
        <v>0</v>
      </c>
    </row>
    <row r="1675" spans="1:29">
      <c r="A1675" s="83" t="str">
        <f t="shared" si="182"/>
        <v/>
      </c>
      <c r="B1675" s="83" t="str">
        <f t="shared" si="183"/>
        <v/>
      </c>
      <c r="U1675" s="83" t="str">
        <f t="shared" si="184"/>
        <v/>
      </c>
      <c r="V1675" s="83" t="str">
        <f t="shared" si="185"/>
        <v/>
      </c>
      <c r="AA1675" s="60">
        <f t="shared" si="186"/>
        <v>0</v>
      </c>
      <c r="AB1675" s="49">
        <f t="shared" si="187"/>
        <v>0</v>
      </c>
      <c r="AC1675" s="60">
        <f t="shared" si="188"/>
        <v>0</v>
      </c>
    </row>
    <row r="1676" spans="1:29">
      <c r="A1676" s="83" t="str">
        <f t="shared" si="182"/>
        <v/>
      </c>
      <c r="B1676" s="83" t="str">
        <f t="shared" si="183"/>
        <v/>
      </c>
      <c r="U1676" s="83" t="str">
        <f t="shared" si="184"/>
        <v/>
      </c>
      <c r="V1676" s="83" t="str">
        <f t="shared" si="185"/>
        <v/>
      </c>
      <c r="AA1676" s="60">
        <f t="shared" si="186"/>
        <v>0</v>
      </c>
      <c r="AB1676" s="49">
        <f t="shared" si="187"/>
        <v>0</v>
      </c>
      <c r="AC1676" s="60">
        <f t="shared" si="188"/>
        <v>0</v>
      </c>
    </row>
    <row r="1677" spans="1:29">
      <c r="A1677" s="83" t="str">
        <f t="shared" si="182"/>
        <v/>
      </c>
      <c r="B1677" s="83" t="str">
        <f t="shared" si="183"/>
        <v/>
      </c>
      <c r="U1677" s="83" t="str">
        <f t="shared" si="184"/>
        <v/>
      </c>
      <c r="V1677" s="83" t="str">
        <f t="shared" si="185"/>
        <v/>
      </c>
      <c r="AA1677" s="60">
        <f t="shared" si="186"/>
        <v>0</v>
      </c>
      <c r="AB1677" s="49">
        <f t="shared" si="187"/>
        <v>0</v>
      </c>
      <c r="AC1677" s="60">
        <f t="shared" si="188"/>
        <v>0</v>
      </c>
    </row>
    <row r="1678" spans="1:29">
      <c r="A1678" s="83" t="str">
        <f t="shared" si="182"/>
        <v/>
      </c>
      <c r="B1678" s="83" t="str">
        <f t="shared" si="183"/>
        <v/>
      </c>
      <c r="U1678" s="83" t="str">
        <f t="shared" si="184"/>
        <v/>
      </c>
      <c r="V1678" s="83" t="str">
        <f t="shared" si="185"/>
        <v/>
      </c>
      <c r="AA1678" s="60">
        <f t="shared" si="186"/>
        <v>0</v>
      </c>
      <c r="AB1678" s="49">
        <f t="shared" si="187"/>
        <v>0</v>
      </c>
      <c r="AC1678" s="60">
        <f t="shared" si="188"/>
        <v>0</v>
      </c>
    </row>
    <row r="1679" spans="1:29">
      <c r="A1679" s="83" t="str">
        <f t="shared" si="182"/>
        <v/>
      </c>
      <c r="B1679" s="83" t="str">
        <f t="shared" si="183"/>
        <v/>
      </c>
      <c r="U1679" s="83" t="str">
        <f t="shared" si="184"/>
        <v/>
      </c>
      <c r="V1679" s="83" t="str">
        <f t="shared" si="185"/>
        <v/>
      </c>
      <c r="AA1679" s="60">
        <f t="shared" si="186"/>
        <v>0</v>
      </c>
      <c r="AB1679" s="49">
        <f t="shared" si="187"/>
        <v>0</v>
      </c>
      <c r="AC1679" s="60">
        <f t="shared" si="188"/>
        <v>0</v>
      </c>
    </row>
    <row r="1680" spans="1:29">
      <c r="A1680" s="83" t="str">
        <f t="shared" si="182"/>
        <v/>
      </c>
      <c r="B1680" s="83" t="str">
        <f t="shared" si="183"/>
        <v/>
      </c>
      <c r="U1680" s="83" t="str">
        <f t="shared" si="184"/>
        <v/>
      </c>
      <c r="V1680" s="83" t="str">
        <f t="shared" si="185"/>
        <v/>
      </c>
      <c r="AA1680" s="60">
        <f t="shared" si="186"/>
        <v>0</v>
      </c>
      <c r="AB1680" s="49">
        <f t="shared" si="187"/>
        <v>0</v>
      </c>
      <c r="AC1680" s="60">
        <f t="shared" si="188"/>
        <v>0</v>
      </c>
    </row>
    <row r="1681" spans="1:29">
      <c r="A1681" s="83" t="str">
        <f t="shared" si="182"/>
        <v/>
      </c>
      <c r="B1681" s="83" t="str">
        <f t="shared" si="183"/>
        <v/>
      </c>
      <c r="U1681" s="83" t="str">
        <f t="shared" si="184"/>
        <v/>
      </c>
      <c r="V1681" s="83" t="str">
        <f t="shared" si="185"/>
        <v/>
      </c>
      <c r="AA1681" s="60">
        <f t="shared" si="186"/>
        <v>0</v>
      </c>
      <c r="AB1681" s="49">
        <f t="shared" si="187"/>
        <v>0</v>
      </c>
      <c r="AC1681" s="60">
        <f t="shared" si="188"/>
        <v>0</v>
      </c>
    </row>
    <row r="1682" spans="1:29">
      <c r="A1682" s="83" t="str">
        <f t="shared" si="182"/>
        <v/>
      </c>
      <c r="B1682" s="83" t="str">
        <f t="shared" si="183"/>
        <v/>
      </c>
      <c r="U1682" s="83" t="str">
        <f t="shared" si="184"/>
        <v/>
      </c>
      <c r="V1682" s="83" t="str">
        <f t="shared" si="185"/>
        <v/>
      </c>
      <c r="AA1682" s="60">
        <f t="shared" si="186"/>
        <v>0</v>
      </c>
      <c r="AB1682" s="49">
        <f t="shared" si="187"/>
        <v>0</v>
      </c>
      <c r="AC1682" s="60">
        <f t="shared" si="188"/>
        <v>0</v>
      </c>
    </row>
    <row r="1683" spans="1:29">
      <c r="A1683" s="83" t="str">
        <f t="shared" si="182"/>
        <v/>
      </c>
      <c r="B1683" s="83" t="str">
        <f t="shared" si="183"/>
        <v/>
      </c>
      <c r="U1683" s="83" t="str">
        <f t="shared" si="184"/>
        <v/>
      </c>
      <c r="V1683" s="83" t="str">
        <f t="shared" si="185"/>
        <v/>
      </c>
      <c r="AA1683" s="60">
        <f t="shared" si="186"/>
        <v>0</v>
      </c>
      <c r="AB1683" s="49">
        <f t="shared" si="187"/>
        <v>0</v>
      </c>
      <c r="AC1683" s="60">
        <f t="shared" si="188"/>
        <v>0</v>
      </c>
    </row>
    <row r="1684" spans="1:29">
      <c r="A1684" s="83" t="str">
        <f t="shared" si="182"/>
        <v/>
      </c>
      <c r="B1684" s="83" t="str">
        <f t="shared" si="183"/>
        <v/>
      </c>
      <c r="U1684" s="83" t="str">
        <f t="shared" si="184"/>
        <v/>
      </c>
      <c r="V1684" s="83" t="str">
        <f t="shared" si="185"/>
        <v/>
      </c>
      <c r="AA1684" s="60">
        <f t="shared" si="186"/>
        <v>0</v>
      </c>
      <c r="AB1684" s="49">
        <f t="shared" si="187"/>
        <v>0</v>
      </c>
      <c r="AC1684" s="60">
        <f t="shared" si="188"/>
        <v>0</v>
      </c>
    </row>
    <row r="1685" spans="1:29">
      <c r="A1685" s="83" t="str">
        <f t="shared" si="182"/>
        <v/>
      </c>
      <c r="B1685" s="83" t="str">
        <f t="shared" si="183"/>
        <v/>
      </c>
      <c r="U1685" s="83" t="str">
        <f t="shared" si="184"/>
        <v/>
      </c>
      <c r="V1685" s="83" t="str">
        <f t="shared" si="185"/>
        <v/>
      </c>
      <c r="AA1685" s="60">
        <f t="shared" si="186"/>
        <v>0</v>
      </c>
      <c r="AB1685" s="49">
        <f t="shared" si="187"/>
        <v>0</v>
      </c>
      <c r="AC1685" s="60">
        <f t="shared" si="188"/>
        <v>0</v>
      </c>
    </row>
    <row r="1686" spans="1:29">
      <c r="A1686" s="83" t="str">
        <f t="shared" si="182"/>
        <v/>
      </c>
      <c r="B1686" s="83" t="str">
        <f t="shared" si="183"/>
        <v/>
      </c>
      <c r="U1686" s="83" t="str">
        <f t="shared" si="184"/>
        <v/>
      </c>
      <c r="V1686" s="83" t="str">
        <f t="shared" si="185"/>
        <v/>
      </c>
      <c r="AA1686" s="60">
        <f t="shared" si="186"/>
        <v>0</v>
      </c>
      <c r="AB1686" s="49">
        <f t="shared" si="187"/>
        <v>0</v>
      </c>
      <c r="AC1686" s="60">
        <f t="shared" si="188"/>
        <v>0</v>
      </c>
    </row>
    <row r="1687" spans="1:29">
      <c r="A1687" s="83" t="str">
        <f t="shared" si="182"/>
        <v/>
      </c>
      <c r="B1687" s="83" t="str">
        <f t="shared" si="183"/>
        <v/>
      </c>
      <c r="U1687" s="83" t="str">
        <f t="shared" si="184"/>
        <v/>
      </c>
      <c r="V1687" s="83" t="str">
        <f t="shared" si="185"/>
        <v/>
      </c>
      <c r="AA1687" s="60">
        <f t="shared" si="186"/>
        <v>0</v>
      </c>
      <c r="AB1687" s="49">
        <f t="shared" si="187"/>
        <v>0</v>
      </c>
      <c r="AC1687" s="60">
        <f t="shared" si="188"/>
        <v>0</v>
      </c>
    </row>
    <row r="1688" spans="1:29">
      <c r="A1688" s="83" t="str">
        <f t="shared" si="182"/>
        <v/>
      </c>
      <c r="B1688" s="83" t="str">
        <f t="shared" si="183"/>
        <v/>
      </c>
      <c r="U1688" s="83" t="str">
        <f t="shared" si="184"/>
        <v/>
      </c>
      <c r="V1688" s="83" t="str">
        <f t="shared" si="185"/>
        <v/>
      </c>
      <c r="AA1688" s="60">
        <f t="shared" si="186"/>
        <v>0</v>
      </c>
      <c r="AB1688" s="49">
        <f t="shared" si="187"/>
        <v>0</v>
      </c>
      <c r="AC1688" s="60">
        <f t="shared" si="188"/>
        <v>0</v>
      </c>
    </row>
    <row r="1689" spans="1:29">
      <c r="A1689" s="83" t="str">
        <f t="shared" si="182"/>
        <v/>
      </c>
      <c r="B1689" s="83" t="str">
        <f t="shared" si="183"/>
        <v/>
      </c>
      <c r="U1689" s="83" t="str">
        <f t="shared" si="184"/>
        <v/>
      </c>
      <c r="V1689" s="83" t="str">
        <f t="shared" si="185"/>
        <v/>
      </c>
      <c r="AA1689" s="60">
        <f t="shared" si="186"/>
        <v>0</v>
      </c>
      <c r="AB1689" s="49">
        <f t="shared" si="187"/>
        <v>0</v>
      </c>
      <c r="AC1689" s="60">
        <f t="shared" si="188"/>
        <v>0</v>
      </c>
    </row>
    <row r="1690" spans="1:29">
      <c r="A1690" s="83" t="str">
        <f t="shared" si="182"/>
        <v/>
      </c>
      <c r="B1690" s="83" t="str">
        <f t="shared" si="183"/>
        <v/>
      </c>
      <c r="U1690" s="83" t="str">
        <f t="shared" si="184"/>
        <v/>
      </c>
      <c r="V1690" s="83" t="str">
        <f t="shared" si="185"/>
        <v/>
      </c>
      <c r="AA1690" s="60">
        <f t="shared" si="186"/>
        <v>0</v>
      </c>
      <c r="AB1690" s="49">
        <f t="shared" si="187"/>
        <v>0</v>
      </c>
      <c r="AC1690" s="60">
        <f t="shared" si="188"/>
        <v>0</v>
      </c>
    </row>
    <row r="1691" spans="1:29">
      <c r="A1691" s="83" t="str">
        <f t="shared" si="182"/>
        <v/>
      </c>
      <c r="B1691" s="83" t="str">
        <f t="shared" si="183"/>
        <v/>
      </c>
      <c r="U1691" s="83" t="str">
        <f t="shared" si="184"/>
        <v/>
      </c>
      <c r="V1691" s="83" t="str">
        <f t="shared" si="185"/>
        <v/>
      </c>
      <c r="AA1691" s="60">
        <f t="shared" si="186"/>
        <v>0</v>
      </c>
      <c r="AB1691" s="49">
        <f t="shared" si="187"/>
        <v>0</v>
      </c>
      <c r="AC1691" s="60">
        <f t="shared" si="188"/>
        <v>0</v>
      </c>
    </row>
    <row r="1692" spans="1:29">
      <c r="A1692" s="83" t="str">
        <f t="shared" si="182"/>
        <v/>
      </c>
      <c r="B1692" s="83" t="str">
        <f t="shared" si="183"/>
        <v/>
      </c>
      <c r="U1692" s="83" t="str">
        <f t="shared" si="184"/>
        <v/>
      </c>
      <c r="V1692" s="83" t="str">
        <f t="shared" si="185"/>
        <v/>
      </c>
      <c r="AA1692" s="60">
        <f t="shared" si="186"/>
        <v>0</v>
      </c>
      <c r="AB1692" s="49">
        <f t="shared" si="187"/>
        <v>0</v>
      </c>
      <c r="AC1692" s="60">
        <f t="shared" si="188"/>
        <v>0</v>
      </c>
    </row>
    <row r="1693" spans="1:29">
      <c r="A1693" s="83" t="str">
        <f t="shared" si="182"/>
        <v/>
      </c>
      <c r="B1693" s="83" t="str">
        <f t="shared" si="183"/>
        <v/>
      </c>
      <c r="U1693" s="83" t="str">
        <f t="shared" si="184"/>
        <v/>
      </c>
      <c r="V1693" s="83" t="str">
        <f t="shared" si="185"/>
        <v/>
      </c>
      <c r="AA1693" s="60">
        <f t="shared" si="186"/>
        <v>0</v>
      </c>
      <c r="AB1693" s="49">
        <f t="shared" si="187"/>
        <v>0</v>
      </c>
      <c r="AC1693" s="60">
        <f t="shared" si="188"/>
        <v>0</v>
      </c>
    </row>
    <row r="1694" spans="1:29">
      <c r="A1694" s="83" t="str">
        <f t="shared" si="182"/>
        <v/>
      </c>
      <c r="B1694" s="83" t="str">
        <f t="shared" si="183"/>
        <v/>
      </c>
      <c r="U1694" s="83" t="str">
        <f t="shared" si="184"/>
        <v/>
      </c>
      <c r="V1694" s="83" t="str">
        <f t="shared" si="185"/>
        <v/>
      </c>
      <c r="AA1694" s="60">
        <f t="shared" si="186"/>
        <v>0</v>
      </c>
      <c r="AB1694" s="49">
        <f t="shared" si="187"/>
        <v>0</v>
      </c>
      <c r="AC1694" s="60">
        <f t="shared" si="188"/>
        <v>0</v>
      </c>
    </row>
    <row r="1695" spans="1:29">
      <c r="A1695" s="83" t="str">
        <f t="shared" si="182"/>
        <v/>
      </c>
      <c r="B1695" s="83" t="str">
        <f t="shared" si="183"/>
        <v/>
      </c>
      <c r="U1695" s="83" t="str">
        <f t="shared" si="184"/>
        <v/>
      </c>
      <c r="V1695" s="83" t="str">
        <f t="shared" si="185"/>
        <v/>
      </c>
      <c r="AA1695" s="60">
        <f t="shared" si="186"/>
        <v>0</v>
      </c>
      <c r="AB1695" s="49">
        <f t="shared" si="187"/>
        <v>0</v>
      </c>
      <c r="AC1695" s="60">
        <f t="shared" si="188"/>
        <v>0</v>
      </c>
    </row>
    <row r="1696" spans="1:29">
      <c r="A1696" s="83" t="str">
        <f t="shared" si="182"/>
        <v/>
      </c>
      <c r="B1696" s="83" t="str">
        <f t="shared" si="183"/>
        <v/>
      </c>
      <c r="U1696" s="83" t="str">
        <f t="shared" si="184"/>
        <v/>
      </c>
      <c r="V1696" s="83" t="str">
        <f t="shared" si="185"/>
        <v/>
      </c>
      <c r="AA1696" s="60">
        <f t="shared" si="186"/>
        <v>0</v>
      </c>
      <c r="AB1696" s="49">
        <f t="shared" si="187"/>
        <v>0</v>
      </c>
      <c r="AC1696" s="60">
        <f t="shared" si="188"/>
        <v>0</v>
      </c>
    </row>
    <row r="1697" spans="1:29">
      <c r="A1697" s="83" t="str">
        <f t="shared" si="182"/>
        <v/>
      </c>
      <c r="B1697" s="83" t="str">
        <f t="shared" si="183"/>
        <v/>
      </c>
      <c r="U1697" s="83" t="str">
        <f t="shared" si="184"/>
        <v/>
      </c>
      <c r="V1697" s="83" t="str">
        <f t="shared" si="185"/>
        <v/>
      </c>
      <c r="AA1697" s="60">
        <f t="shared" si="186"/>
        <v>0</v>
      </c>
      <c r="AB1697" s="49">
        <f t="shared" si="187"/>
        <v>0</v>
      </c>
      <c r="AC1697" s="60">
        <f t="shared" si="188"/>
        <v>0</v>
      </c>
    </row>
    <row r="1698" spans="1:29">
      <c r="A1698" s="83" t="str">
        <f t="shared" si="182"/>
        <v/>
      </c>
      <c r="B1698" s="83" t="str">
        <f t="shared" si="183"/>
        <v/>
      </c>
      <c r="U1698" s="83" t="str">
        <f t="shared" si="184"/>
        <v/>
      </c>
      <c r="V1698" s="83" t="str">
        <f t="shared" si="185"/>
        <v/>
      </c>
      <c r="AA1698" s="60">
        <f t="shared" si="186"/>
        <v>0</v>
      </c>
      <c r="AB1698" s="49">
        <f t="shared" si="187"/>
        <v>0</v>
      </c>
      <c r="AC1698" s="60">
        <f t="shared" si="188"/>
        <v>0</v>
      </c>
    </row>
    <row r="1699" spans="1:29">
      <c r="A1699" s="83" t="str">
        <f t="shared" si="182"/>
        <v/>
      </c>
      <c r="B1699" s="83" t="str">
        <f t="shared" si="183"/>
        <v/>
      </c>
      <c r="U1699" s="83" t="str">
        <f t="shared" si="184"/>
        <v/>
      </c>
      <c r="V1699" s="83" t="str">
        <f t="shared" si="185"/>
        <v/>
      </c>
      <c r="AA1699" s="60">
        <f t="shared" si="186"/>
        <v>0</v>
      </c>
      <c r="AB1699" s="49">
        <f t="shared" si="187"/>
        <v>0</v>
      </c>
      <c r="AC1699" s="60">
        <f t="shared" si="188"/>
        <v>0</v>
      </c>
    </row>
    <row r="1700" spans="1:29">
      <c r="A1700" s="83" t="str">
        <f t="shared" si="182"/>
        <v/>
      </c>
      <c r="B1700" s="83" t="str">
        <f t="shared" si="183"/>
        <v/>
      </c>
      <c r="U1700" s="83" t="str">
        <f t="shared" si="184"/>
        <v/>
      </c>
      <c r="V1700" s="83" t="str">
        <f t="shared" si="185"/>
        <v/>
      </c>
      <c r="AA1700" s="60">
        <f t="shared" si="186"/>
        <v>0</v>
      </c>
      <c r="AB1700" s="49">
        <f t="shared" si="187"/>
        <v>0</v>
      </c>
      <c r="AC1700" s="60">
        <f t="shared" si="188"/>
        <v>0</v>
      </c>
    </row>
    <row r="1701" spans="1:29">
      <c r="A1701" s="83" t="str">
        <f t="shared" si="182"/>
        <v/>
      </c>
      <c r="B1701" s="83" t="str">
        <f t="shared" si="183"/>
        <v/>
      </c>
      <c r="U1701" s="83" t="str">
        <f t="shared" si="184"/>
        <v/>
      </c>
      <c r="V1701" s="83" t="str">
        <f t="shared" si="185"/>
        <v/>
      </c>
      <c r="AA1701" s="60">
        <f t="shared" si="186"/>
        <v>0</v>
      </c>
      <c r="AB1701" s="49">
        <f t="shared" si="187"/>
        <v>0</v>
      </c>
      <c r="AC1701" s="60">
        <f t="shared" si="188"/>
        <v>0</v>
      </c>
    </row>
    <row r="1702" spans="1:29">
      <c r="A1702" s="83" t="str">
        <f t="shared" si="182"/>
        <v/>
      </c>
      <c r="B1702" s="83" t="str">
        <f t="shared" si="183"/>
        <v/>
      </c>
      <c r="U1702" s="83" t="str">
        <f t="shared" si="184"/>
        <v/>
      </c>
      <c r="V1702" s="83" t="str">
        <f t="shared" si="185"/>
        <v/>
      </c>
      <c r="AA1702" s="60">
        <f t="shared" si="186"/>
        <v>0</v>
      </c>
      <c r="AB1702" s="49">
        <f t="shared" si="187"/>
        <v>0</v>
      </c>
      <c r="AC1702" s="60">
        <f t="shared" si="188"/>
        <v>0</v>
      </c>
    </row>
    <row r="1703" spans="1:29">
      <c r="A1703" s="83" t="str">
        <f t="shared" si="182"/>
        <v/>
      </c>
      <c r="B1703" s="83" t="str">
        <f t="shared" si="183"/>
        <v/>
      </c>
      <c r="U1703" s="83" t="str">
        <f t="shared" si="184"/>
        <v/>
      </c>
      <c r="V1703" s="83" t="str">
        <f t="shared" si="185"/>
        <v/>
      </c>
      <c r="AA1703" s="60">
        <f t="shared" si="186"/>
        <v>0</v>
      </c>
      <c r="AB1703" s="49">
        <f t="shared" si="187"/>
        <v>0</v>
      </c>
      <c r="AC1703" s="60">
        <f t="shared" si="188"/>
        <v>0</v>
      </c>
    </row>
    <row r="1704" spans="1:29">
      <c r="A1704" s="83" t="str">
        <f t="shared" si="182"/>
        <v/>
      </c>
      <c r="B1704" s="83" t="str">
        <f t="shared" si="183"/>
        <v/>
      </c>
      <c r="U1704" s="83" t="str">
        <f t="shared" si="184"/>
        <v/>
      </c>
      <c r="V1704" s="83" t="str">
        <f t="shared" si="185"/>
        <v/>
      </c>
      <c r="AA1704" s="60">
        <f t="shared" si="186"/>
        <v>0</v>
      </c>
      <c r="AB1704" s="49">
        <f t="shared" si="187"/>
        <v>0</v>
      </c>
      <c r="AC1704" s="60">
        <f t="shared" si="188"/>
        <v>0</v>
      </c>
    </row>
    <row r="1705" spans="1:29">
      <c r="A1705" s="83" t="str">
        <f t="shared" si="182"/>
        <v/>
      </c>
      <c r="B1705" s="83" t="str">
        <f t="shared" si="183"/>
        <v/>
      </c>
      <c r="U1705" s="83" t="str">
        <f t="shared" si="184"/>
        <v/>
      </c>
      <c r="V1705" s="83" t="str">
        <f t="shared" si="185"/>
        <v/>
      </c>
      <c r="AA1705" s="60">
        <f t="shared" si="186"/>
        <v>0</v>
      </c>
      <c r="AB1705" s="49">
        <f t="shared" si="187"/>
        <v>0</v>
      </c>
      <c r="AC1705" s="60">
        <f t="shared" si="188"/>
        <v>0</v>
      </c>
    </row>
    <row r="1706" spans="1:29">
      <c r="A1706" s="83" t="str">
        <f t="shared" si="182"/>
        <v/>
      </c>
      <c r="B1706" s="83" t="str">
        <f t="shared" si="183"/>
        <v/>
      </c>
      <c r="U1706" s="83" t="str">
        <f t="shared" si="184"/>
        <v/>
      </c>
      <c r="V1706" s="83" t="str">
        <f t="shared" si="185"/>
        <v/>
      </c>
      <c r="AA1706" s="60">
        <f t="shared" si="186"/>
        <v>0</v>
      </c>
      <c r="AB1706" s="49">
        <f t="shared" si="187"/>
        <v>0</v>
      </c>
      <c r="AC1706" s="60">
        <f t="shared" si="188"/>
        <v>0</v>
      </c>
    </row>
    <row r="1707" spans="1:29">
      <c r="A1707" s="83" t="str">
        <f t="shared" si="182"/>
        <v/>
      </c>
      <c r="B1707" s="83" t="str">
        <f t="shared" si="183"/>
        <v/>
      </c>
      <c r="U1707" s="83" t="str">
        <f t="shared" si="184"/>
        <v/>
      </c>
      <c r="V1707" s="83" t="str">
        <f t="shared" si="185"/>
        <v/>
      </c>
      <c r="AA1707" s="60">
        <f t="shared" si="186"/>
        <v>0</v>
      </c>
      <c r="AB1707" s="49">
        <f t="shared" si="187"/>
        <v>0</v>
      </c>
      <c r="AC1707" s="60">
        <f t="shared" si="188"/>
        <v>0</v>
      </c>
    </row>
    <row r="1708" spans="1:29">
      <c r="A1708" s="83" t="str">
        <f t="shared" si="182"/>
        <v/>
      </c>
      <c r="B1708" s="83" t="str">
        <f t="shared" si="183"/>
        <v/>
      </c>
      <c r="U1708" s="83" t="str">
        <f t="shared" si="184"/>
        <v/>
      </c>
      <c r="V1708" s="83" t="str">
        <f t="shared" si="185"/>
        <v/>
      </c>
      <c r="AA1708" s="60">
        <f t="shared" si="186"/>
        <v>0</v>
      </c>
      <c r="AB1708" s="49">
        <f t="shared" si="187"/>
        <v>0</v>
      </c>
      <c r="AC1708" s="60">
        <f t="shared" si="188"/>
        <v>0</v>
      </c>
    </row>
    <row r="1709" spans="1:29">
      <c r="A1709" s="83" t="str">
        <f t="shared" si="182"/>
        <v/>
      </c>
      <c r="B1709" s="83" t="str">
        <f t="shared" si="183"/>
        <v/>
      </c>
      <c r="U1709" s="83" t="str">
        <f t="shared" si="184"/>
        <v/>
      </c>
      <c r="V1709" s="83" t="str">
        <f t="shared" si="185"/>
        <v/>
      </c>
      <c r="AA1709" s="60">
        <f t="shared" si="186"/>
        <v>0</v>
      </c>
      <c r="AB1709" s="49">
        <f t="shared" si="187"/>
        <v>0</v>
      </c>
      <c r="AC1709" s="60">
        <f t="shared" si="188"/>
        <v>0</v>
      </c>
    </row>
    <row r="1710" spans="1:29">
      <c r="A1710" s="83" t="str">
        <f t="shared" si="182"/>
        <v/>
      </c>
      <c r="B1710" s="83" t="str">
        <f t="shared" si="183"/>
        <v/>
      </c>
      <c r="U1710" s="83" t="str">
        <f t="shared" si="184"/>
        <v/>
      </c>
      <c r="V1710" s="83" t="str">
        <f t="shared" si="185"/>
        <v/>
      </c>
      <c r="AA1710" s="60">
        <f t="shared" si="186"/>
        <v>0</v>
      </c>
      <c r="AB1710" s="49">
        <f t="shared" si="187"/>
        <v>0</v>
      </c>
      <c r="AC1710" s="60">
        <f t="shared" si="188"/>
        <v>0</v>
      </c>
    </row>
    <row r="1711" spans="1:29">
      <c r="A1711" s="83" t="str">
        <f t="shared" si="182"/>
        <v/>
      </c>
      <c r="B1711" s="83" t="str">
        <f t="shared" si="183"/>
        <v/>
      </c>
      <c r="U1711" s="83" t="str">
        <f t="shared" si="184"/>
        <v/>
      </c>
      <c r="V1711" s="83" t="str">
        <f t="shared" si="185"/>
        <v/>
      </c>
      <c r="AA1711" s="60">
        <f t="shared" si="186"/>
        <v>0</v>
      </c>
      <c r="AB1711" s="49">
        <f t="shared" si="187"/>
        <v>0</v>
      </c>
      <c r="AC1711" s="60">
        <f t="shared" si="188"/>
        <v>0</v>
      </c>
    </row>
    <row r="1712" spans="1:29">
      <c r="A1712" s="83" t="str">
        <f t="shared" si="182"/>
        <v/>
      </c>
      <c r="B1712" s="83" t="str">
        <f t="shared" si="183"/>
        <v/>
      </c>
      <c r="U1712" s="83" t="str">
        <f t="shared" si="184"/>
        <v/>
      </c>
      <c r="V1712" s="83" t="str">
        <f t="shared" si="185"/>
        <v/>
      </c>
      <c r="AA1712" s="60">
        <f t="shared" si="186"/>
        <v>0</v>
      </c>
      <c r="AB1712" s="49">
        <f t="shared" si="187"/>
        <v>0</v>
      </c>
      <c r="AC1712" s="60">
        <f t="shared" si="188"/>
        <v>0</v>
      </c>
    </row>
    <row r="1713" spans="1:29">
      <c r="A1713" s="83" t="str">
        <f t="shared" si="182"/>
        <v/>
      </c>
      <c r="B1713" s="83" t="str">
        <f t="shared" si="183"/>
        <v/>
      </c>
      <c r="U1713" s="83" t="str">
        <f t="shared" si="184"/>
        <v/>
      </c>
      <c r="V1713" s="83" t="str">
        <f t="shared" si="185"/>
        <v/>
      </c>
      <c r="AA1713" s="60">
        <f t="shared" si="186"/>
        <v>0</v>
      </c>
      <c r="AB1713" s="49">
        <f t="shared" si="187"/>
        <v>0</v>
      </c>
      <c r="AC1713" s="60">
        <f t="shared" si="188"/>
        <v>0</v>
      </c>
    </row>
    <row r="1714" spans="1:29">
      <c r="A1714" s="83" t="str">
        <f t="shared" si="182"/>
        <v/>
      </c>
      <c r="B1714" s="83" t="str">
        <f t="shared" si="183"/>
        <v/>
      </c>
      <c r="U1714" s="83" t="str">
        <f t="shared" si="184"/>
        <v/>
      </c>
      <c r="V1714" s="83" t="str">
        <f t="shared" si="185"/>
        <v/>
      </c>
      <c r="AA1714" s="60">
        <f t="shared" si="186"/>
        <v>0</v>
      </c>
      <c r="AB1714" s="49">
        <f t="shared" si="187"/>
        <v>0</v>
      </c>
      <c r="AC1714" s="60">
        <f t="shared" si="188"/>
        <v>0</v>
      </c>
    </row>
    <row r="1715" spans="1:29">
      <c r="A1715" s="83" t="str">
        <f t="shared" si="182"/>
        <v/>
      </c>
      <c r="B1715" s="83" t="str">
        <f t="shared" si="183"/>
        <v/>
      </c>
      <c r="U1715" s="83" t="str">
        <f t="shared" si="184"/>
        <v/>
      </c>
      <c r="V1715" s="83" t="str">
        <f t="shared" si="185"/>
        <v/>
      </c>
      <c r="AA1715" s="60">
        <f t="shared" si="186"/>
        <v>0</v>
      </c>
      <c r="AB1715" s="49">
        <f t="shared" si="187"/>
        <v>0</v>
      </c>
      <c r="AC1715" s="60">
        <f t="shared" si="188"/>
        <v>0</v>
      </c>
    </row>
    <row r="1716" spans="1:29">
      <c r="A1716" s="83" t="str">
        <f t="shared" si="182"/>
        <v/>
      </c>
      <c r="B1716" s="83" t="str">
        <f t="shared" si="183"/>
        <v/>
      </c>
      <c r="U1716" s="83" t="str">
        <f t="shared" si="184"/>
        <v/>
      </c>
      <c r="V1716" s="83" t="str">
        <f t="shared" si="185"/>
        <v/>
      </c>
      <c r="AA1716" s="60">
        <f t="shared" si="186"/>
        <v>0</v>
      </c>
      <c r="AB1716" s="49">
        <f t="shared" si="187"/>
        <v>0</v>
      </c>
      <c r="AC1716" s="60">
        <f t="shared" si="188"/>
        <v>0</v>
      </c>
    </row>
    <row r="1717" spans="1:29">
      <c r="A1717" s="83" t="str">
        <f t="shared" si="182"/>
        <v/>
      </c>
      <c r="B1717" s="83" t="str">
        <f t="shared" si="183"/>
        <v/>
      </c>
      <c r="U1717" s="83" t="str">
        <f t="shared" si="184"/>
        <v/>
      </c>
      <c r="V1717" s="83" t="str">
        <f t="shared" si="185"/>
        <v/>
      </c>
      <c r="AA1717" s="60">
        <f t="shared" si="186"/>
        <v>0</v>
      </c>
      <c r="AB1717" s="49">
        <f t="shared" si="187"/>
        <v>0</v>
      </c>
      <c r="AC1717" s="60">
        <f t="shared" si="188"/>
        <v>0</v>
      </c>
    </row>
    <row r="1718" spans="1:29">
      <c r="A1718" s="83" t="str">
        <f t="shared" si="182"/>
        <v/>
      </c>
      <c r="B1718" s="83" t="str">
        <f t="shared" si="183"/>
        <v/>
      </c>
      <c r="U1718" s="83" t="str">
        <f t="shared" si="184"/>
        <v/>
      </c>
      <c r="V1718" s="83" t="str">
        <f t="shared" si="185"/>
        <v/>
      </c>
      <c r="AA1718" s="60">
        <f t="shared" si="186"/>
        <v>0</v>
      </c>
      <c r="AB1718" s="49">
        <f t="shared" si="187"/>
        <v>0</v>
      </c>
      <c r="AC1718" s="60">
        <f t="shared" si="188"/>
        <v>0</v>
      </c>
    </row>
    <row r="1719" spans="1:29">
      <c r="A1719" s="83" t="str">
        <f t="shared" si="182"/>
        <v/>
      </c>
      <c r="B1719" s="83" t="str">
        <f t="shared" si="183"/>
        <v/>
      </c>
      <c r="U1719" s="83" t="str">
        <f t="shared" si="184"/>
        <v/>
      </c>
      <c r="V1719" s="83" t="str">
        <f t="shared" si="185"/>
        <v/>
      </c>
      <c r="AA1719" s="60">
        <f t="shared" si="186"/>
        <v>0</v>
      </c>
      <c r="AB1719" s="49">
        <f t="shared" si="187"/>
        <v>0</v>
      </c>
      <c r="AC1719" s="60">
        <f t="shared" si="188"/>
        <v>0</v>
      </c>
    </row>
    <row r="1720" spans="1:29">
      <c r="A1720" s="83" t="str">
        <f t="shared" si="182"/>
        <v/>
      </c>
      <c r="B1720" s="83" t="str">
        <f t="shared" si="183"/>
        <v/>
      </c>
      <c r="U1720" s="83" t="str">
        <f t="shared" si="184"/>
        <v/>
      </c>
      <c r="V1720" s="83" t="str">
        <f t="shared" si="185"/>
        <v/>
      </c>
      <c r="AA1720" s="60">
        <f t="shared" si="186"/>
        <v>0</v>
      </c>
      <c r="AB1720" s="49">
        <f t="shared" si="187"/>
        <v>0</v>
      </c>
      <c r="AC1720" s="60">
        <f t="shared" si="188"/>
        <v>0</v>
      </c>
    </row>
    <row r="1721" spans="1:29">
      <c r="A1721" s="83" t="str">
        <f t="shared" si="182"/>
        <v/>
      </c>
      <c r="B1721" s="83" t="str">
        <f t="shared" si="183"/>
        <v/>
      </c>
      <c r="U1721" s="83" t="str">
        <f t="shared" si="184"/>
        <v/>
      </c>
      <c r="V1721" s="83" t="str">
        <f t="shared" si="185"/>
        <v/>
      </c>
      <c r="AA1721" s="60">
        <f t="shared" si="186"/>
        <v>0</v>
      </c>
      <c r="AB1721" s="49">
        <f t="shared" si="187"/>
        <v>0</v>
      </c>
      <c r="AC1721" s="60">
        <f t="shared" si="188"/>
        <v>0</v>
      </c>
    </row>
    <row r="1722" spans="1:29">
      <c r="A1722" s="83" t="str">
        <f t="shared" si="182"/>
        <v/>
      </c>
      <c r="B1722" s="83" t="str">
        <f t="shared" si="183"/>
        <v/>
      </c>
      <c r="U1722" s="83" t="str">
        <f t="shared" si="184"/>
        <v/>
      </c>
      <c r="V1722" s="83" t="str">
        <f t="shared" si="185"/>
        <v/>
      </c>
      <c r="AA1722" s="60">
        <f t="shared" si="186"/>
        <v>0</v>
      </c>
      <c r="AB1722" s="49">
        <f t="shared" si="187"/>
        <v>0</v>
      </c>
      <c r="AC1722" s="60">
        <f t="shared" si="188"/>
        <v>0</v>
      </c>
    </row>
    <row r="1723" spans="1:29">
      <c r="A1723" s="83" t="str">
        <f t="shared" si="182"/>
        <v/>
      </c>
      <c r="B1723" s="83" t="str">
        <f t="shared" si="183"/>
        <v/>
      </c>
      <c r="U1723" s="83" t="str">
        <f t="shared" si="184"/>
        <v/>
      </c>
      <c r="V1723" s="83" t="str">
        <f t="shared" si="185"/>
        <v/>
      </c>
      <c r="AA1723" s="60">
        <f t="shared" si="186"/>
        <v>0</v>
      </c>
      <c r="AB1723" s="49">
        <f t="shared" si="187"/>
        <v>0</v>
      </c>
      <c r="AC1723" s="60">
        <f t="shared" si="188"/>
        <v>0</v>
      </c>
    </row>
    <row r="1724" spans="1:29">
      <c r="A1724" s="83" t="str">
        <f t="shared" si="182"/>
        <v/>
      </c>
      <c r="B1724" s="83" t="str">
        <f t="shared" si="183"/>
        <v/>
      </c>
      <c r="U1724" s="83" t="str">
        <f t="shared" si="184"/>
        <v/>
      </c>
      <c r="V1724" s="83" t="str">
        <f t="shared" si="185"/>
        <v/>
      </c>
      <c r="AA1724" s="60">
        <f t="shared" si="186"/>
        <v>0</v>
      </c>
      <c r="AB1724" s="49">
        <f t="shared" si="187"/>
        <v>0</v>
      </c>
      <c r="AC1724" s="60">
        <f t="shared" si="188"/>
        <v>0</v>
      </c>
    </row>
    <row r="1725" spans="1:29">
      <c r="A1725" s="83" t="str">
        <f t="shared" si="182"/>
        <v/>
      </c>
      <c r="B1725" s="83" t="str">
        <f t="shared" si="183"/>
        <v/>
      </c>
      <c r="U1725" s="83" t="str">
        <f t="shared" si="184"/>
        <v/>
      </c>
      <c r="V1725" s="83" t="str">
        <f t="shared" si="185"/>
        <v/>
      </c>
      <c r="AA1725" s="60">
        <f t="shared" si="186"/>
        <v>0</v>
      </c>
      <c r="AB1725" s="49">
        <f t="shared" si="187"/>
        <v>0</v>
      </c>
      <c r="AC1725" s="60">
        <f t="shared" si="188"/>
        <v>0</v>
      </c>
    </row>
    <row r="1726" spans="1:29">
      <c r="A1726" s="83" t="str">
        <f t="shared" si="182"/>
        <v/>
      </c>
      <c r="B1726" s="83" t="str">
        <f t="shared" si="183"/>
        <v/>
      </c>
      <c r="U1726" s="83" t="str">
        <f t="shared" si="184"/>
        <v/>
      </c>
      <c r="V1726" s="83" t="str">
        <f t="shared" si="185"/>
        <v/>
      </c>
      <c r="AA1726" s="60">
        <f t="shared" si="186"/>
        <v>0</v>
      </c>
      <c r="AB1726" s="49">
        <f t="shared" si="187"/>
        <v>0</v>
      </c>
      <c r="AC1726" s="60">
        <f t="shared" si="188"/>
        <v>0</v>
      </c>
    </row>
    <row r="1727" spans="1:29">
      <c r="A1727" s="83" t="str">
        <f t="shared" si="182"/>
        <v/>
      </c>
      <c r="B1727" s="83" t="str">
        <f t="shared" si="183"/>
        <v/>
      </c>
      <c r="U1727" s="83" t="str">
        <f t="shared" si="184"/>
        <v/>
      </c>
      <c r="V1727" s="83" t="str">
        <f t="shared" si="185"/>
        <v/>
      </c>
      <c r="AA1727" s="60">
        <f t="shared" si="186"/>
        <v>0</v>
      </c>
      <c r="AB1727" s="49">
        <f t="shared" si="187"/>
        <v>0</v>
      </c>
      <c r="AC1727" s="60">
        <f t="shared" si="188"/>
        <v>0</v>
      </c>
    </row>
    <row r="1728" spans="1:29">
      <c r="A1728" s="83" t="str">
        <f t="shared" si="182"/>
        <v/>
      </c>
      <c r="B1728" s="83" t="str">
        <f t="shared" si="183"/>
        <v/>
      </c>
      <c r="U1728" s="83" t="str">
        <f t="shared" si="184"/>
        <v/>
      </c>
      <c r="V1728" s="83" t="str">
        <f t="shared" si="185"/>
        <v/>
      </c>
      <c r="AA1728" s="60">
        <f t="shared" si="186"/>
        <v>0</v>
      </c>
      <c r="AB1728" s="49">
        <f t="shared" si="187"/>
        <v>0</v>
      </c>
      <c r="AC1728" s="60">
        <f t="shared" si="188"/>
        <v>0</v>
      </c>
    </row>
    <row r="1729" spans="1:29">
      <c r="A1729" s="83" t="str">
        <f t="shared" si="182"/>
        <v/>
      </c>
      <c r="B1729" s="83" t="str">
        <f t="shared" si="183"/>
        <v/>
      </c>
      <c r="U1729" s="83" t="str">
        <f t="shared" si="184"/>
        <v/>
      </c>
      <c r="V1729" s="83" t="str">
        <f t="shared" si="185"/>
        <v/>
      </c>
      <c r="AA1729" s="60">
        <f t="shared" si="186"/>
        <v>0</v>
      </c>
      <c r="AB1729" s="49">
        <f t="shared" si="187"/>
        <v>0</v>
      </c>
      <c r="AC1729" s="60">
        <f t="shared" si="188"/>
        <v>0</v>
      </c>
    </row>
    <row r="1730" spans="1:29">
      <c r="A1730" s="83" t="str">
        <f t="shared" si="182"/>
        <v/>
      </c>
      <c r="B1730" s="83" t="str">
        <f t="shared" si="183"/>
        <v/>
      </c>
      <c r="U1730" s="83" t="str">
        <f t="shared" si="184"/>
        <v/>
      </c>
      <c r="V1730" s="83" t="str">
        <f t="shared" si="185"/>
        <v/>
      </c>
      <c r="AA1730" s="60">
        <f t="shared" si="186"/>
        <v>0</v>
      </c>
      <c r="AB1730" s="49">
        <f t="shared" si="187"/>
        <v>0</v>
      </c>
      <c r="AC1730" s="60">
        <f t="shared" si="188"/>
        <v>0</v>
      </c>
    </row>
    <row r="1731" spans="1:29">
      <c r="A1731" s="83" t="str">
        <f t="shared" ref="A1731:A1794" si="189">IF(G1731&amp;Q1731&lt;&gt;"",U1731&amp;Q1731,"")</f>
        <v/>
      </c>
      <c r="B1731" s="83" t="str">
        <f t="shared" ref="B1731:B1794" si="190">IF(C1731&lt;&gt;"",LEFT(C1731,9),"")</f>
        <v/>
      </c>
      <c r="U1731" s="83" t="str">
        <f t="shared" ref="U1731:U1794" si="191">IF(G1731&lt;&gt;"",IF(StyleSpaceSplit,IFERROR(IF(FIND(" ",G1731)&gt;=1,MID(G1731,1,FIND(" ",G1731)-1),G1731),G1731),G1731),"")</f>
        <v/>
      </c>
      <c r="V1731" s="83" t="str">
        <f t="shared" ref="V1731:V1794" si="192">IF(A1731&lt;&gt;"",IFERROR(IF(FIND(" ",G1731)&gt;=1,MID(G1731,FIND(" ",G1731)+1,LEN(G1731)),""),G1731),"")</f>
        <v/>
      </c>
      <c r="AA1731" s="60">
        <f t="shared" ref="AA1731:AA1794" si="193">IFERROR(VALUE(MID($C1731,1,2)),0)</f>
        <v>0</v>
      </c>
      <c r="AB1731" s="49">
        <f t="shared" ref="AB1731:AB1794" si="194">IFERROR(VALUE(MID($C1731,4,3)),0)</f>
        <v>0</v>
      </c>
      <c r="AC1731" s="60">
        <f t="shared" ref="AC1731:AC1794" si="195">VALUE(RIGHT("00"&amp;AA1731,2)&amp;RIGHT("000"&amp;AB1731,3))</f>
        <v>0</v>
      </c>
    </row>
    <row r="1732" spans="1:29">
      <c r="A1732" s="83" t="str">
        <f t="shared" si="189"/>
        <v/>
      </c>
      <c r="B1732" s="83" t="str">
        <f t="shared" si="190"/>
        <v/>
      </c>
      <c r="U1732" s="83" t="str">
        <f t="shared" si="191"/>
        <v/>
      </c>
      <c r="V1732" s="83" t="str">
        <f t="shared" si="192"/>
        <v/>
      </c>
      <c r="AA1732" s="60">
        <f t="shared" si="193"/>
        <v>0</v>
      </c>
      <c r="AB1732" s="49">
        <f t="shared" si="194"/>
        <v>0</v>
      </c>
      <c r="AC1732" s="60">
        <f t="shared" si="195"/>
        <v>0</v>
      </c>
    </row>
    <row r="1733" spans="1:29">
      <c r="A1733" s="83" t="str">
        <f t="shared" si="189"/>
        <v/>
      </c>
      <c r="B1733" s="83" t="str">
        <f t="shared" si="190"/>
        <v/>
      </c>
      <c r="U1733" s="83" t="str">
        <f t="shared" si="191"/>
        <v/>
      </c>
      <c r="V1733" s="83" t="str">
        <f t="shared" si="192"/>
        <v/>
      </c>
      <c r="AA1733" s="60">
        <f t="shared" si="193"/>
        <v>0</v>
      </c>
      <c r="AB1733" s="49">
        <f t="shared" si="194"/>
        <v>0</v>
      </c>
      <c r="AC1733" s="60">
        <f t="shared" si="195"/>
        <v>0</v>
      </c>
    </row>
    <row r="1734" spans="1:29">
      <c r="A1734" s="83" t="str">
        <f t="shared" si="189"/>
        <v/>
      </c>
      <c r="B1734" s="83" t="str">
        <f t="shared" si="190"/>
        <v/>
      </c>
      <c r="U1734" s="83" t="str">
        <f t="shared" si="191"/>
        <v/>
      </c>
      <c r="V1734" s="83" t="str">
        <f t="shared" si="192"/>
        <v/>
      </c>
      <c r="AA1734" s="60">
        <f t="shared" si="193"/>
        <v>0</v>
      </c>
      <c r="AB1734" s="49">
        <f t="shared" si="194"/>
        <v>0</v>
      </c>
      <c r="AC1734" s="60">
        <f t="shared" si="195"/>
        <v>0</v>
      </c>
    </row>
    <row r="1735" spans="1:29">
      <c r="A1735" s="83" t="str">
        <f t="shared" si="189"/>
        <v/>
      </c>
      <c r="B1735" s="83" t="str">
        <f t="shared" si="190"/>
        <v/>
      </c>
      <c r="U1735" s="83" t="str">
        <f t="shared" si="191"/>
        <v/>
      </c>
      <c r="V1735" s="83" t="str">
        <f t="shared" si="192"/>
        <v/>
      </c>
      <c r="AA1735" s="60">
        <f t="shared" si="193"/>
        <v>0</v>
      </c>
      <c r="AB1735" s="49">
        <f t="shared" si="194"/>
        <v>0</v>
      </c>
      <c r="AC1735" s="60">
        <f t="shared" si="195"/>
        <v>0</v>
      </c>
    </row>
    <row r="1736" spans="1:29">
      <c r="A1736" s="83" t="str">
        <f t="shared" si="189"/>
        <v/>
      </c>
      <c r="B1736" s="83" t="str">
        <f t="shared" si="190"/>
        <v/>
      </c>
      <c r="U1736" s="83" t="str">
        <f t="shared" si="191"/>
        <v/>
      </c>
      <c r="V1736" s="83" t="str">
        <f t="shared" si="192"/>
        <v/>
      </c>
      <c r="AA1736" s="60">
        <f t="shared" si="193"/>
        <v>0</v>
      </c>
      <c r="AB1736" s="49">
        <f t="shared" si="194"/>
        <v>0</v>
      </c>
      <c r="AC1736" s="60">
        <f t="shared" si="195"/>
        <v>0</v>
      </c>
    </row>
    <row r="1737" spans="1:29">
      <c r="A1737" s="83" t="str">
        <f t="shared" si="189"/>
        <v/>
      </c>
      <c r="B1737" s="83" t="str">
        <f t="shared" si="190"/>
        <v/>
      </c>
      <c r="U1737" s="83" t="str">
        <f t="shared" si="191"/>
        <v/>
      </c>
      <c r="V1737" s="83" t="str">
        <f t="shared" si="192"/>
        <v/>
      </c>
      <c r="AA1737" s="60">
        <f t="shared" si="193"/>
        <v>0</v>
      </c>
      <c r="AB1737" s="49">
        <f t="shared" si="194"/>
        <v>0</v>
      </c>
      <c r="AC1737" s="60">
        <f t="shared" si="195"/>
        <v>0</v>
      </c>
    </row>
    <row r="1738" spans="1:29">
      <c r="A1738" s="83" t="str">
        <f t="shared" si="189"/>
        <v/>
      </c>
      <c r="B1738" s="83" t="str">
        <f t="shared" si="190"/>
        <v/>
      </c>
      <c r="U1738" s="83" t="str">
        <f t="shared" si="191"/>
        <v/>
      </c>
      <c r="V1738" s="83" t="str">
        <f t="shared" si="192"/>
        <v/>
      </c>
      <c r="AA1738" s="60">
        <f t="shared" si="193"/>
        <v>0</v>
      </c>
      <c r="AB1738" s="49">
        <f t="shared" si="194"/>
        <v>0</v>
      </c>
      <c r="AC1738" s="60">
        <f t="shared" si="195"/>
        <v>0</v>
      </c>
    </row>
    <row r="1739" spans="1:29">
      <c r="A1739" s="83" t="str">
        <f t="shared" si="189"/>
        <v/>
      </c>
      <c r="B1739" s="83" t="str">
        <f t="shared" si="190"/>
        <v/>
      </c>
      <c r="U1739" s="83" t="str">
        <f t="shared" si="191"/>
        <v/>
      </c>
      <c r="V1739" s="83" t="str">
        <f t="shared" si="192"/>
        <v/>
      </c>
      <c r="AA1739" s="60">
        <f t="shared" si="193"/>
        <v>0</v>
      </c>
      <c r="AB1739" s="49">
        <f t="shared" si="194"/>
        <v>0</v>
      </c>
      <c r="AC1739" s="60">
        <f t="shared" si="195"/>
        <v>0</v>
      </c>
    </row>
    <row r="1740" spans="1:29">
      <c r="A1740" s="83" t="str">
        <f t="shared" si="189"/>
        <v/>
      </c>
      <c r="B1740" s="83" t="str">
        <f t="shared" si="190"/>
        <v/>
      </c>
      <c r="U1740" s="83" t="str">
        <f t="shared" si="191"/>
        <v/>
      </c>
      <c r="V1740" s="83" t="str">
        <f t="shared" si="192"/>
        <v/>
      </c>
      <c r="AA1740" s="60">
        <f t="shared" si="193"/>
        <v>0</v>
      </c>
      <c r="AB1740" s="49">
        <f t="shared" si="194"/>
        <v>0</v>
      </c>
      <c r="AC1740" s="60">
        <f t="shared" si="195"/>
        <v>0</v>
      </c>
    </row>
    <row r="1741" spans="1:29">
      <c r="A1741" s="83" t="str">
        <f t="shared" si="189"/>
        <v/>
      </c>
      <c r="B1741" s="83" t="str">
        <f t="shared" si="190"/>
        <v/>
      </c>
      <c r="U1741" s="83" t="str">
        <f t="shared" si="191"/>
        <v/>
      </c>
      <c r="V1741" s="83" t="str">
        <f t="shared" si="192"/>
        <v/>
      </c>
      <c r="AA1741" s="60">
        <f t="shared" si="193"/>
        <v>0</v>
      </c>
      <c r="AB1741" s="49">
        <f t="shared" si="194"/>
        <v>0</v>
      </c>
      <c r="AC1741" s="60">
        <f t="shared" si="195"/>
        <v>0</v>
      </c>
    </row>
    <row r="1742" spans="1:29">
      <c r="A1742" s="83" t="str">
        <f t="shared" si="189"/>
        <v/>
      </c>
      <c r="B1742" s="83" t="str">
        <f t="shared" si="190"/>
        <v/>
      </c>
      <c r="U1742" s="83" t="str">
        <f t="shared" si="191"/>
        <v/>
      </c>
      <c r="V1742" s="83" t="str">
        <f t="shared" si="192"/>
        <v/>
      </c>
      <c r="AA1742" s="60">
        <f t="shared" si="193"/>
        <v>0</v>
      </c>
      <c r="AB1742" s="49">
        <f t="shared" si="194"/>
        <v>0</v>
      </c>
      <c r="AC1742" s="60">
        <f t="shared" si="195"/>
        <v>0</v>
      </c>
    </row>
    <row r="1743" spans="1:29">
      <c r="A1743" s="83" t="str">
        <f t="shared" si="189"/>
        <v/>
      </c>
      <c r="B1743" s="83" t="str">
        <f t="shared" si="190"/>
        <v/>
      </c>
      <c r="U1743" s="83" t="str">
        <f t="shared" si="191"/>
        <v/>
      </c>
      <c r="V1743" s="83" t="str">
        <f t="shared" si="192"/>
        <v/>
      </c>
      <c r="AA1743" s="60">
        <f t="shared" si="193"/>
        <v>0</v>
      </c>
      <c r="AB1743" s="49">
        <f t="shared" si="194"/>
        <v>0</v>
      </c>
      <c r="AC1743" s="60">
        <f t="shared" si="195"/>
        <v>0</v>
      </c>
    </row>
    <row r="1744" spans="1:29">
      <c r="A1744" s="83" t="str">
        <f t="shared" si="189"/>
        <v/>
      </c>
      <c r="B1744" s="83" t="str">
        <f t="shared" si="190"/>
        <v/>
      </c>
      <c r="U1744" s="83" t="str">
        <f t="shared" si="191"/>
        <v/>
      </c>
      <c r="V1744" s="83" t="str">
        <f t="shared" si="192"/>
        <v/>
      </c>
      <c r="AA1744" s="60">
        <f t="shared" si="193"/>
        <v>0</v>
      </c>
      <c r="AB1744" s="49">
        <f t="shared" si="194"/>
        <v>0</v>
      </c>
      <c r="AC1744" s="60">
        <f t="shared" si="195"/>
        <v>0</v>
      </c>
    </row>
    <row r="1745" spans="1:29">
      <c r="A1745" s="83" t="str">
        <f t="shared" si="189"/>
        <v/>
      </c>
      <c r="B1745" s="83" t="str">
        <f t="shared" si="190"/>
        <v/>
      </c>
      <c r="U1745" s="83" t="str">
        <f t="shared" si="191"/>
        <v/>
      </c>
      <c r="V1745" s="83" t="str">
        <f t="shared" si="192"/>
        <v/>
      </c>
      <c r="AA1745" s="60">
        <f t="shared" si="193"/>
        <v>0</v>
      </c>
      <c r="AB1745" s="49">
        <f t="shared" si="194"/>
        <v>0</v>
      </c>
      <c r="AC1745" s="60">
        <f t="shared" si="195"/>
        <v>0</v>
      </c>
    </row>
    <row r="1746" spans="1:29">
      <c r="A1746" s="83" t="str">
        <f t="shared" si="189"/>
        <v/>
      </c>
      <c r="B1746" s="83" t="str">
        <f t="shared" si="190"/>
        <v/>
      </c>
      <c r="U1746" s="83" t="str">
        <f t="shared" si="191"/>
        <v/>
      </c>
      <c r="V1746" s="83" t="str">
        <f t="shared" si="192"/>
        <v/>
      </c>
      <c r="AA1746" s="60">
        <f t="shared" si="193"/>
        <v>0</v>
      </c>
      <c r="AB1746" s="49">
        <f t="shared" si="194"/>
        <v>0</v>
      </c>
      <c r="AC1746" s="60">
        <f t="shared" si="195"/>
        <v>0</v>
      </c>
    </row>
    <row r="1747" spans="1:29">
      <c r="A1747" s="83" t="str">
        <f t="shared" si="189"/>
        <v/>
      </c>
      <c r="B1747" s="83" t="str">
        <f t="shared" si="190"/>
        <v/>
      </c>
      <c r="U1747" s="83" t="str">
        <f t="shared" si="191"/>
        <v/>
      </c>
      <c r="V1747" s="83" t="str">
        <f t="shared" si="192"/>
        <v/>
      </c>
      <c r="AA1747" s="60">
        <f t="shared" si="193"/>
        <v>0</v>
      </c>
      <c r="AB1747" s="49">
        <f t="shared" si="194"/>
        <v>0</v>
      </c>
      <c r="AC1747" s="60">
        <f t="shared" si="195"/>
        <v>0</v>
      </c>
    </row>
    <row r="1748" spans="1:29">
      <c r="A1748" s="83" t="str">
        <f t="shared" si="189"/>
        <v/>
      </c>
      <c r="B1748" s="83" t="str">
        <f t="shared" si="190"/>
        <v/>
      </c>
      <c r="U1748" s="83" t="str">
        <f t="shared" si="191"/>
        <v/>
      </c>
      <c r="V1748" s="83" t="str">
        <f t="shared" si="192"/>
        <v/>
      </c>
      <c r="AA1748" s="60">
        <f t="shared" si="193"/>
        <v>0</v>
      </c>
      <c r="AB1748" s="49">
        <f t="shared" si="194"/>
        <v>0</v>
      </c>
      <c r="AC1748" s="60">
        <f t="shared" si="195"/>
        <v>0</v>
      </c>
    </row>
    <row r="1749" spans="1:29">
      <c r="A1749" s="83" t="str">
        <f t="shared" si="189"/>
        <v/>
      </c>
      <c r="B1749" s="83" t="str">
        <f t="shared" si="190"/>
        <v/>
      </c>
      <c r="U1749" s="83" t="str">
        <f t="shared" si="191"/>
        <v/>
      </c>
      <c r="V1749" s="83" t="str">
        <f t="shared" si="192"/>
        <v/>
      </c>
      <c r="AA1749" s="60">
        <f t="shared" si="193"/>
        <v>0</v>
      </c>
      <c r="AB1749" s="49">
        <f t="shared" si="194"/>
        <v>0</v>
      </c>
      <c r="AC1749" s="60">
        <f t="shared" si="195"/>
        <v>0</v>
      </c>
    </row>
    <row r="1750" spans="1:29">
      <c r="A1750" s="83" t="str">
        <f t="shared" si="189"/>
        <v/>
      </c>
      <c r="B1750" s="83" t="str">
        <f t="shared" si="190"/>
        <v/>
      </c>
      <c r="U1750" s="83" t="str">
        <f t="shared" si="191"/>
        <v/>
      </c>
      <c r="V1750" s="83" t="str">
        <f t="shared" si="192"/>
        <v/>
      </c>
      <c r="AA1750" s="60">
        <f t="shared" si="193"/>
        <v>0</v>
      </c>
      <c r="AB1750" s="49">
        <f t="shared" si="194"/>
        <v>0</v>
      </c>
      <c r="AC1750" s="60">
        <f t="shared" si="195"/>
        <v>0</v>
      </c>
    </row>
    <row r="1751" spans="1:29">
      <c r="A1751" s="83" t="str">
        <f t="shared" si="189"/>
        <v/>
      </c>
      <c r="B1751" s="83" t="str">
        <f t="shared" si="190"/>
        <v/>
      </c>
      <c r="U1751" s="83" t="str">
        <f t="shared" si="191"/>
        <v/>
      </c>
      <c r="V1751" s="83" t="str">
        <f t="shared" si="192"/>
        <v/>
      </c>
      <c r="AA1751" s="60">
        <f t="shared" si="193"/>
        <v>0</v>
      </c>
      <c r="AB1751" s="49">
        <f t="shared" si="194"/>
        <v>0</v>
      </c>
      <c r="AC1751" s="60">
        <f t="shared" si="195"/>
        <v>0</v>
      </c>
    </row>
    <row r="1752" spans="1:29">
      <c r="A1752" s="83" t="str">
        <f t="shared" si="189"/>
        <v/>
      </c>
      <c r="B1752" s="83" t="str">
        <f t="shared" si="190"/>
        <v/>
      </c>
      <c r="U1752" s="83" t="str">
        <f t="shared" si="191"/>
        <v/>
      </c>
      <c r="V1752" s="83" t="str">
        <f t="shared" si="192"/>
        <v/>
      </c>
      <c r="AA1752" s="60">
        <f t="shared" si="193"/>
        <v>0</v>
      </c>
      <c r="AB1752" s="49">
        <f t="shared" si="194"/>
        <v>0</v>
      </c>
      <c r="AC1752" s="60">
        <f t="shared" si="195"/>
        <v>0</v>
      </c>
    </row>
    <row r="1753" spans="1:29">
      <c r="A1753" s="83" t="str">
        <f t="shared" si="189"/>
        <v/>
      </c>
      <c r="B1753" s="83" t="str">
        <f t="shared" si="190"/>
        <v/>
      </c>
      <c r="U1753" s="83" t="str">
        <f t="shared" si="191"/>
        <v/>
      </c>
      <c r="V1753" s="83" t="str">
        <f t="shared" si="192"/>
        <v/>
      </c>
      <c r="AA1753" s="60">
        <f t="shared" si="193"/>
        <v>0</v>
      </c>
      <c r="AB1753" s="49">
        <f t="shared" si="194"/>
        <v>0</v>
      </c>
      <c r="AC1753" s="60">
        <f t="shared" si="195"/>
        <v>0</v>
      </c>
    </row>
    <row r="1754" spans="1:29">
      <c r="A1754" s="83" t="str">
        <f t="shared" si="189"/>
        <v/>
      </c>
      <c r="B1754" s="83" t="str">
        <f t="shared" si="190"/>
        <v/>
      </c>
      <c r="U1754" s="83" t="str">
        <f t="shared" si="191"/>
        <v/>
      </c>
      <c r="V1754" s="83" t="str">
        <f t="shared" si="192"/>
        <v/>
      </c>
      <c r="AA1754" s="60">
        <f t="shared" si="193"/>
        <v>0</v>
      </c>
      <c r="AB1754" s="49">
        <f t="shared" si="194"/>
        <v>0</v>
      </c>
      <c r="AC1754" s="60">
        <f t="shared" si="195"/>
        <v>0</v>
      </c>
    </row>
    <row r="1755" spans="1:29">
      <c r="A1755" s="83" t="str">
        <f t="shared" si="189"/>
        <v/>
      </c>
      <c r="B1755" s="83" t="str">
        <f t="shared" si="190"/>
        <v/>
      </c>
      <c r="U1755" s="83" t="str">
        <f t="shared" si="191"/>
        <v/>
      </c>
      <c r="V1755" s="83" t="str">
        <f t="shared" si="192"/>
        <v/>
      </c>
      <c r="AA1755" s="60">
        <f t="shared" si="193"/>
        <v>0</v>
      </c>
      <c r="AB1755" s="49">
        <f t="shared" si="194"/>
        <v>0</v>
      </c>
      <c r="AC1755" s="60">
        <f t="shared" si="195"/>
        <v>0</v>
      </c>
    </row>
    <row r="1756" spans="1:29">
      <c r="A1756" s="83" t="str">
        <f t="shared" si="189"/>
        <v/>
      </c>
      <c r="B1756" s="83" t="str">
        <f t="shared" si="190"/>
        <v/>
      </c>
      <c r="U1756" s="83" t="str">
        <f t="shared" si="191"/>
        <v/>
      </c>
      <c r="V1756" s="83" t="str">
        <f t="shared" si="192"/>
        <v/>
      </c>
      <c r="AA1756" s="60">
        <f t="shared" si="193"/>
        <v>0</v>
      </c>
      <c r="AB1756" s="49">
        <f t="shared" si="194"/>
        <v>0</v>
      </c>
      <c r="AC1756" s="60">
        <f t="shared" si="195"/>
        <v>0</v>
      </c>
    </row>
    <row r="1757" spans="1:29">
      <c r="A1757" s="83" t="str">
        <f t="shared" si="189"/>
        <v/>
      </c>
      <c r="B1757" s="83" t="str">
        <f t="shared" si="190"/>
        <v/>
      </c>
      <c r="U1757" s="83" t="str">
        <f t="shared" si="191"/>
        <v/>
      </c>
      <c r="V1757" s="83" t="str">
        <f t="shared" si="192"/>
        <v/>
      </c>
      <c r="AA1757" s="60">
        <f t="shared" si="193"/>
        <v>0</v>
      </c>
      <c r="AB1757" s="49">
        <f t="shared" si="194"/>
        <v>0</v>
      </c>
      <c r="AC1757" s="60">
        <f t="shared" si="195"/>
        <v>0</v>
      </c>
    </row>
    <row r="1758" spans="1:29">
      <c r="A1758" s="83" t="str">
        <f t="shared" si="189"/>
        <v/>
      </c>
      <c r="B1758" s="83" t="str">
        <f t="shared" si="190"/>
        <v/>
      </c>
      <c r="U1758" s="83" t="str">
        <f t="shared" si="191"/>
        <v/>
      </c>
      <c r="V1758" s="83" t="str">
        <f t="shared" si="192"/>
        <v/>
      </c>
      <c r="AA1758" s="60">
        <f t="shared" si="193"/>
        <v>0</v>
      </c>
      <c r="AB1758" s="49">
        <f t="shared" si="194"/>
        <v>0</v>
      </c>
      <c r="AC1758" s="60">
        <f t="shared" si="195"/>
        <v>0</v>
      </c>
    </row>
    <row r="1759" spans="1:29">
      <c r="A1759" s="83" t="str">
        <f t="shared" si="189"/>
        <v/>
      </c>
      <c r="B1759" s="83" t="str">
        <f t="shared" si="190"/>
        <v/>
      </c>
      <c r="U1759" s="83" t="str">
        <f t="shared" si="191"/>
        <v/>
      </c>
      <c r="V1759" s="83" t="str">
        <f t="shared" si="192"/>
        <v/>
      </c>
      <c r="AA1759" s="60">
        <f t="shared" si="193"/>
        <v>0</v>
      </c>
      <c r="AB1759" s="49">
        <f t="shared" si="194"/>
        <v>0</v>
      </c>
      <c r="AC1759" s="60">
        <f t="shared" si="195"/>
        <v>0</v>
      </c>
    </row>
    <row r="1760" spans="1:29">
      <c r="A1760" s="83" t="str">
        <f t="shared" si="189"/>
        <v/>
      </c>
      <c r="B1760" s="83" t="str">
        <f t="shared" si="190"/>
        <v/>
      </c>
      <c r="U1760" s="83" t="str">
        <f t="shared" si="191"/>
        <v/>
      </c>
      <c r="V1760" s="83" t="str">
        <f t="shared" si="192"/>
        <v/>
      </c>
      <c r="AA1760" s="60">
        <f t="shared" si="193"/>
        <v>0</v>
      </c>
      <c r="AB1760" s="49">
        <f t="shared" si="194"/>
        <v>0</v>
      </c>
      <c r="AC1760" s="60">
        <f t="shared" si="195"/>
        <v>0</v>
      </c>
    </row>
    <row r="1761" spans="1:29">
      <c r="A1761" s="83" t="str">
        <f t="shared" si="189"/>
        <v/>
      </c>
      <c r="B1761" s="83" t="str">
        <f t="shared" si="190"/>
        <v/>
      </c>
      <c r="U1761" s="83" t="str">
        <f t="shared" si="191"/>
        <v/>
      </c>
      <c r="V1761" s="83" t="str">
        <f t="shared" si="192"/>
        <v/>
      </c>
      <c r="AA1761" s="60">
        <f t="shared" si="193"/>
        <v>0</v>
      </c>
      <c r="AB1761" s="49">
        <f t="shared" si="194"/>
        <v>0</v>
      </c>
      <c r="AC1761" s="60">
        <f t="shared" si="195"/>
        <v>0</v>
      </c>
    </row>
    <row r="1762" spans="1:29">
      <c r="A1762" s="83" t="str">
        <f t="shared" si="189"/>
        <v/>
      </c>
      <c r="B1762" s="83" t="str">
        <f t="shared" si="190"/>
        <v/>
      </c>
      <c r="U1762" s="83" t="str">
        <f t="shared" si="191"/>
        <v/>
      </c>
      <c r="V1762" s="83" t="str">
        <f t="shared" si="192"/>
        <v/>
      </c>
      <c r="AA1762" s="60">
        <f t="shared" si="193"/>
        <v>0</v>
      </c>
      <c r="AB1762" s="49">
        <f t="shared" si="194"/>
        <v>0</v>
      </c>
      <c r="AC1762" s="60">
        <f t="shared" si="195"/>
        <v>0</v>
      </c>
    </row>
    <row r="1763" spans="1:29">
      <c r="A1763" s="83" t="str">
        <f t="shared" si="189"/>
        <v/>
      </c>
      <c r="B1763" s="83" t="str">
        <f t="shared" si="190"/>
        <v/>
      </c>
      <c r="U1763" s="83" t="str">
        <f t="shared" si="191"/>
        <v/>
      </c>
      <c r="V1763" s="83" t="str">
        <f t="shared" si="192"/>
        <v/>
      </c>
      <c r="AA1763" s="60">
        <f t="shared" si="193"/>
        <v>0</v>
      </c>
      <c r="AB1763" s="49">
        <f t="shared" si="194"/>
        <v>0</v>
      </c>
      <c r="AC1763" s="60">
        <f t="shared" si="195"/>
        <v>0</v>
      </c>
    </row>
    <row r="1764" spans="1:29">
      <c r="A1764" s="83" t="str">
        <f t="shared" si="189"/>
        <v/>
      </c>
      <c r="B1764" s="83" t="str">
        <f t="shared" si="190"/>
        <v/>
      </c>
      <c r="U1764" s="83" t="str">
        <f t="shared" si="191"/>
        <v/>
      </c>
      <c r="V1764" s="83" t="str">
        <f t="shared" si="192"/>
        <v/>
      </c>
      <c r="AA1764" s="60">
        <f t="shared" si="193"/>
        <v>0</v>
      </c>
      <c r="AB1764" s="49">
        <f t="shared" si="194"/>
        <v>0</v>
      </c>
      <c r="AC1764" s="60">
        <f t="shared" si="195"/>
        <v>0</v>
      </c>
    </row>
    <row r="1765" spans="1:29">
      <c r="A1765" s="83" t="str">
        <f t="shared" si="189"/>
        <v/>
      </c>
      <c r="B1765" s="83" t="str">
        <f t="shared" si="190"/>
        <v/>
      </c>
      <c r="U1765" s="83" t="str">
        <f t="shared" si="191"/>
        <v/>
      </c>
      <c r="V1765" s="83" t="str">
        <f t="shared" si="192"/>
        <v/>
      </c>
      <c r="AA1765" s="60">
        <f t="shared" si="193"/>
        <v>0</v>
      </c>
      <c r="AB1765" s="49">
        <f t="shared" si="194"/>
        <v>0</v>
      </c>
      <c r="AC1765" s="60">
        <f t="shared" si="195"/>
        <v>0</v>
      </c>
    </row>
    <row r="1766" spans="1:29">
      <c r="A1766" s="83" t="str">
        <f t="shared" si="189"/>
        <v/>
      </c>
      <c r="B1766" s="83" t="str">
        <f t="shared" si="190"/>
        <v/>
      </c>
      <c r="U1766" s="83" t="str">
        <f t="shared" si="191"/>
        <v/>
      </c>
      <c r="V1766" s="83" t="str">
        <f t="shared" si="192"/>
        <v/>
      </c>
      <c r="AA1766" s="60">
        <f t="shared" si="193"/>
        <v>0</v>
      </c>
      <c r="AB1766" s="49">
        <f t="shared" si="194"/>
        <v>0</v>
      </c>
      <c r="AC1766" s="60">
        <f t="shared" si="195"/>
        <v>0</v>
      </c>
    </row>
    <row r="1767" spans="1:29">
      <c r="A1767" s="83" t="str">
        <f t="shared" si="189"/>
        <v/>
      </c>
      <c r="B1767" s="83" t="str">
        <f t="shared" si="190"/>
        <v/>
      </c>
      <c r="U1767" s="83" t="str">
        <f t="shared" si="191"/>
        <v/>
      </c>
      <c r="V1767" s="83" t="str">
        <f t="shared" si="192"/>
        <v/>
      </c>
      <c r="AA1767" s="60">
        <f t="shared" si="193"/>
        <v>0</v>
      </c>
      <c r="AB1767" s="49">
        <f t="shared" si="194"/>
        <v>0</v>
      </c>
      <c r="AC1767" s="60">
        <f t="shared" si="195"/>
        <v>0</v>
      </c>
    </row>
    <row r="1768" spans="1:29">
      <c r="A1768" s="83" t="str">
        <f t="shared" si="189"/>
        <v/>
      </c>
      <c r="B1768" s="83" t="str">
        <f t="shared" si="190"/>
        <v/>
      </c>
      <c r="U1768" s="83" t="str">
        <f t="shared" si="191"/>
        <v/>
      </c>
      <c r="V1768" s="83" t="str">
        <f t="shared" si="192"/>
        <v/>
      </c>
      <c r="AA1768" s="60">
        <f t="shared" si="193"/>
        <v>0</v>
      </c>
      <c r="AB1768" s="49">
        <f t="shared" si="194"/>
        <v>0</v>
      </c>
      <c r="AC1768" s="60">
        <f t="shared" si="195"/>
        <v>0</v>
      </c>
    </row>
    <row r="1769" spans="1:29">
      <c r="A1769" s="83" t="str">
        <f t="shared" si="189"/>
        <v/>
      </c>
      <c r="B1769" s="83" t="str">
        <f t="shared" si="190"/>
        <v/>
      </c>
      <c r="U1769" s="83" t="str">
        <f t="shared" si="191"/>
        <v/>
      </c>
      <c r="V1769" s="83" t="str">
        <f t="shared" si="192"/>
        <v/>
      </c>
      <c r="AA1769" s="60">
        <f t="shared" si="193"/>
        <v>0</v>
      </c>
      <c r="AB1769" s="49">
        <f t="shared" si="194"/>
        <v>0</v>
      </c>
      <c r="AC1769" s="60">
        <f t="shared" si="195"/>
        <v>0</v>
      </c>
    </row>
    <row r="1770" spans="1:29">
      <c r="A1770" s="83" t="str">
        <f t="shared" si="189"/>
        <v/>
      </c>
      <c r="B1770" s="83" t="str">
        <f t="shared" si="190"/>
        <v/>
      </c>
      <c r="U1770" s="83" t="str">
        <f t="shared" si="191"/>
        <v/>
      </c>
      <c r="V1770" s="83" t="str">
        <f t="shared" si="192"/>
        <v/>
      </c>
      <c r="AA1770" s="60">
        <f t="shared" si="193"/>
        <v>0</v>
      </c>
      <c r="AB1770" s="49">
        <f t="shared" si="194"/>
        <v>0</v>
      </c>
      <c r="AC1770" s="60">
        <f t="shared" si="195"/>
        <v>0</v>
      </c>
    </row>
    <row r="1771" spans="1:29">
      <c r="A1771" s="83" t="str">
        <f t="shared" si="189"/>
        <v/>
      </c>
      <c r="B1771" s="83" t="str">
        <f t="shared" si="190"/>
        <v/>
      </c>
      <c r="U1771" s="83" t="str">
        <f t="shared" si="191"/>
        <v/>
      </c>
      <c r="V1771" s="83" t="str">
        <f t="shared" si="192"/>
        <v/>
      </c>
      <c r="AA1771" s="60">
        <f t="shared" si="193"/>
        <v>0</v>
      </c>
      <c r="AB1771" s="49">
        <f t="shared" si="194"/>
        <v>0</v>
      </c>
      <c r="AC1771" s="60">
        <f t="shared" si="195"/>
        <v>0</v>
      </c>
    </row>
    <row r="1772" spans="1:29">
      <c r="A1772" s="83" t="str">
        <f t="shared" si="189"/>
        <v/>
      </c>
      <c r="B1772" s="83" t="str">
        <f t="shared" si="190"/>
        <v/>
      </c>
      <c r="U1772" s="83" t="str">
        <f t="shared" si="191"/>
        <v/>
      </c>
      <c r="V1772" s="83" t="str">
        <f t="shared" si="192"/>
        <v/>
      </c>
      <c r="AA1772" s="60">
        <f t="shared" si="193"/>
        <v>0</v>
      </c>
      <c r="AB1772" s="49">
        <f t="shared" si="194"/>
        <v>0</v>
      </c>
      <c r="AC1772" s="60">
        <f t="shared" si="195"/>
        <v>0</v>
      </c>
    </row>
    <row r="1773" spans="1:29">
      <c r="A1773" s="83" t="str">
        <f t="shared" si="189"/>
        <v/>
      </c>
      <c r="B1773" s="83" t="str">
        <f t="shared" si="190"/>
        <v/>
      </c>
      <c r="U1773" s="83" t="str">
        <f t="shared" si="191"/>
        <v/>
      </c>
      <c r="V1773" s="83" t="str">
        <f t="shared" si="192"/>
        <v/>
      </c>
      <c r="AA1773" s="60">
        <f t="shared" si="193"/>
        <v>0</v>
      </c>
      <c r="AB1773" s="49">
        <f t="shared" si="194"/>
        <v>0</v>
      </c>
      <c r="AC1773" s="60">
        <f t="shared" si="195"/>
        <v>0</v>
      </c>
    </row>
    <row r="1774" spans="1:29">
      <c r="A1774" s="83" t="str">
        <f t="shared" si="189"/>
        <v/>
      </c>
      <c r="B1774" s="83" t="str">
        <f t="shared" si="190"/>
        <v/>
      </c>
      <c r="U1774" s="83" t="str">
        <f t="shared" si="191"/>
        <v/>
      </c>
      <c r="V1774" s="83" t="str">
        <f t="shared" si="192"/>
        <v/>
      </c>
      <c r="AA1774" s="60">
        <f t="shared" si="193"/>
        <v>0</v>
      </c>
      <c r="AB1774" s="49">
        <f t="shared" si="194"/>
        <v>0</v>
      </c>
      <c r="AC1774" s="60">
        <f t="shared" si="195"/>
        <v>0</v>
      </c>
    </row>
    <row r="1775" spans="1:29">
      <c r="A1775" s="83" t="str">
        <f t="shared" si="189"/>
        <v/>
      </c>
      <c r="B1775" s="83" t="str">
        <f t="shared" si="190"/>
        <v/>
      </c>
      <c r="U1775" s="83" t="str">
        <f t="shared" si="191"/>
        <v/>
      </c>
      <c r="V1775" s="83" t="str">
        <f t="shared" si="192"/>
        <v/>
      </c>
      <c r="AA1775" s="60">
        <f t="shared" si="193"/>
        <v>0</v>
      </c>
      <c r="AB1775" s="49">
        <f t="shared" si="194"/>
        <v>0</v>
      </c>
      <c r="AC1775" s="60">
        <f t="shared" si="195"/>
        <v>0</v>
      </c>
    </row>
    <row r="1776" spans="1:29">
      <c r="A1776" s="83" t="str">
        <f t="shared" si="189"/>
        <v/>
      </c>
      <c r="B1776" s="83" t="str">
        <f t="shared" si="190"/>
        <v/>
      </c>
      <c r="U1776" s="83" t="str">
        <f t="shared" si="191"/>
        <v/>
      </c>
      <c r="V1776" s="83" t="str">
        <f t="shared" si="192"/>
        <v/>
      </c>
      <c r="AA1776" s="60">
        <f t="shared" si="193"/>
        <v>0</v>
      </c>
      <c r="AB1776" s="49">
        <f t="shared" si="194"/>
        <v>0</v>
      </c>
      <c r="AC1776" s="60">
        <f t="shared" si="195"/>
        <v>0</v>
      </c>
    </row>
    <row r="1777" spans="1:29">
      <c r="A1777" s="83" t="str">
        <f t="shared" si="189"/>
        <v/>
      </c>
      <c r="B1777" s="83" t="str">
        <f t="shared" si="190"/>
        <v/>
      </c>
      <c r="U1777" s="83" t="str">
        <f t="shared" si="191"/>
        <v/>
      </c>
      <c r="V1777" s="83" t="str">
        <f t="shared" si="192"/>
        <v/>
      </c>
      <c r="AA1777" s="60">
        <f t="shared" si="193"/>
        <v>0</v>
      </c>
      <c r="AB1777" s="49">
        <f t="shared" si="194"/>
        <v>0</v>
      </c>
      <c r="AC1777" s="60">
        <f t="shared" si="195"/>
        <v>0</v>
      </c>
    </row>
    <row r="1778" spans="1:29">
      <c r="A1778" s="83" t="str">
        <f t="shared" si="189"/>
        <v/>
      </c>
      <c r="B1778" s="83" t="str">
        <f t="shared" si="190"/>
        <v/>
      </c>
      <c r="U1778" s="83" t="str">
        <f t="shared" si="191"/>
        <v/>
      </c>
      <c r="V1778" s="83" t="str">
        <f t="shared" si="192"/>
        <v/>
      </c>
      <c r="AA1778" s="60">
        <f t="shared" si="193"/>
        <v>0</v>
      </c>
      <c r="AB1778" s="49">
        <f t="shared" si="194"/>
        <v>0</v>
      </c>
      <c r="AC1778" s="60">
        <f t="shared" si="195"/>
        <v>0</v>
      </c>
    </row>
    <row r="1779" spans="1:29">
      <c r="A1779" s="83" t="str">
        <f t="shared" si="189"/>
        <v/>
      </c>
      <c r="B1779" s="83" t="str">
        <f t="shared" si="190"/>
        <v/>
      </c>
      <c r="U1779" s="83" t="str">
        <f t="shared" si="191"/>
        <v/>
      </c>
      <c r="V1779" s="83" t="str">
        <f t="shared" si="192"/>
        <v/>
      </c>
      <c r="AA1779" s="60">
        <f t="shared" si="193"/>
        <v>0</v>
      </c>
      <c r="AB1779" s="49">
        <f t="shared" si="194"/>
        <v>0</v>
      </c>
      <c r="AC1779" s="60">
        <f t="shared" si="195"/>
        <v>0</v>
      </c>
    </row>
    <row r="1780" spans="1:29">
      <c r="A1780" s="83" t="str">
        <f t="shared" si="189"/>
        <v/>
      </c>
      <c r="B1780" s="83" t="str">
        <f t="shared" si="190"/>
        <v/>
      </c>
      <c r="U1780" s="83" t="str">
        <f t="shared" si="191"/>
        <v/>
      </c>
      <c r="V1780" s="83" t="str">
        <f t="shared" si="192"/>
        <v/>
      </c>
      <c r="AA1780" s="60">
        <f t="shared" si="193"/>
        <v>0</v>
      </c>
      <c r="AB1780" s="49">
        <f t="shared" si="194"/>
        <v>0</v>
      </c>
      <c r="AC1780" s="60">
        <f t="shared" si="195"/>
        <v>0</v>
      </c>
    </row>
    <row r="1781" spans="1:29">
      <c r="A1781" s="83" t="str">
        <f t="shared" si="189"/>
        <v/>
      </c>
      <c r="B1781" s="83" t="str">
        <f t="shared" si="190"/>
        <v/>
      </c>
      <c r="U1781" s="83" t="str">
        <f t="shared" si="191"/>
        <v/>
      </c>
      <c r="V1781" s="83" t="str">
        <f t="shared" si="192"/>
        <v/>
      </c>
      <c r="AA1781" s="60">
        <f t="shared" si="193"/>
        <v>0</v>
      </c>
      <c r="AB1781" s="49">
        <f t="shared" si="194"/>
        <v>0</v>
      </c>
      <c r="AC1781" s="60">
        <f t="shared" si="195"/>
        <v>0</v>
      </c>
    </row>
    <row r="1782" spans="1:29">
      <c r="A1782" s="83" t="str">
        <f t="shared" si="189"/>
        <v/>
      </c>
      <c r="B1782" s="83" t="str">
        <f t="shared" si="190"/>
        <v/>
      </c>
      <c r="U1782" s="83" t="str">
        <f t="shared" si="191"/>
        <v/>
      </c>
      <c r="V1782" s="83" t="str">
        <f t="shared" si="192"/>
        <v/>
      </c>
      <c r="AA1782" s="60">
        <f t="shared" si="193"/>
        <v>0</v>
      </c>
      <c r="AB1782" s="49">
        <f t="shared" si="194"/>
        <v>0</v>
      </c>
      <c r="AC1782" s="60">
        <f t="shared" si="195"/>
        <v>0</v>
      </c>
    </row>
    <row r="1783" spans="1:29">
      <c r="A1783" s="83" t="str">
        <f t="shared" si="189"/>
        <v/>
      </c>
      <c r="B1783" s="83" t="str">
        <f t="shared" si="190"/>
        <v/>
      </c>
      <c r="U1783" s="83" t="str">
        <f t="shared" si="191"/>
        <v/>
      </c>
      <c r="V1783" s="83" t="str">
        <f t="shared" si="192"/>
        <v/>
      </c>
      <c r="AA1783" s="60">
        <f t="shared" si="193"/>
        <v>0</v>
      </c>
      <c r="AB1783" s="49">
        <f t="shared" si="194"/>
        <v>0</v>
      </c>
      <c r="AC1783" s="60">
        <f t="shared" si="195"/>
        <v>0</v>
      </c>
    </row>
    <row r="1784" spans="1:29">
      <c r="A1784" s="83" t="str">
        <f t="shared" si="189"/>
        <v/>
      </c>
      <c r="B1784" s="83" t="str">
        <f t="shared" si="190"/>
        <v/>
      </c>
      <c r="U1784" s="83" t="str">
        <f t="shared" si="191"/>
        <v/>
      </c>
      <c r="V1784" s="83" t="str">
        <f t="shared" si="192"/>
        <v/>
      </c>
      <c r="AA1784" s="60">
        <f t="shared" si="193"/>
        <v>0</v>
      </c>
      <c r="AB1784" s="49">
        <f t="shared" si="194"/>
        <v>0</v>
      </c>
      <c r="AC1784" s="60">
        <f t="shared" si="195"/>
        <v>0</v>
      </c>
    </row>
    <row r="1785" spans="1:29">
      <c r="A1785" s="83" t="str">
        <f t="shared" si="189"/>
        <v/>
      </c>
      <c r="B1785" s="83" t="str">
        <f t="shared" si="190"/>
        <v/>
      </c>
      <c r="U1785" s="83" t="str">
        <f t="shared" si="191"/>
        <v/>
      </c>
      <c r="V1785" s="83" t="str">
        <f t="shared" si="192"/>
        <v/>
      </c>
      <c r="AA1785" s="60">
        <f t="shared" si="193"/>
        <v>0</v>
      </c>
      <c r="AB1785" s="49">
        <f t="shared" si="194"/>
        <v>0</v>
      </c>
      <c r="AC1785" s="60">
        <f t="shared" si="195"/>
        <v>0</v>
      </c>
    </row>
    <row r="1786" spans="1:29">
      <c r="A1786" s="83" t="str">
        <f t="shared" si="189"/>
        <v/>
      </c>
      <c r="B1786" s="83" t="str">
        <f t="shared" si="190"/>
        <v/>
      </c>
      <c r="U1786" s="83" t="str">
        <f t="shared" si="191"/>
        <v/>
      </c>
      <c r="V1786" s="83" t="str">
        <f t="shared" si="192"/>
        <v/>
      </c>
      <c r="AA1786" s="60">
        <f t="shared" si="193"/>
        <v>0</v>
      </c>
      <c r="AB1786" s="49">
        <f t="shared" si="194"/>
        <v>0</v>
      </c>
      <c r="AC1786" s="60">
        <f t="shared" si="195"/>
        <v>0</v>
      </c>
    </row>
    <row r="1787" spans="1:29">
      <c r="A1787" s="83" t="str">
        <f t="shared" si="189"/>
        <v/>
      </c>
      <c r="B1787" s="83" t="str">
        <f t="shared" si="190"/>
        <v/>
      </c>
      <c r="U1787" s="83" t="str">
        <f t="shared" si="191"/>
        <v/>
      </c>
      <c r="V1787" s="83" t="str">
        <f t="shared" si="192"/>
        <v/>
      </c>
      <c r="AA1787" s="60">
        <f t="shared" si="193"/>
        <v>0</v>
      </c>
      <c r="AB1787" s="49">
        <f t="shared" si="194"/>
        <v>0</v>
      </c>
      <c r="AC1787" s="60">
        <f t="shared" si="195"/>
        <v>0</v>
      </c>
    </row>
    <row r="1788" spans="1:29">
      <c r="A1788" s="83" t="str">
        <f t="shared" si="189"/>
        <v/>
      </c>
      <c r="B1788" s="83" t="str">
        <f t="shared" si="190"/>
        <v/>
      </c>
      <c r="U1788" s="83" t="str">
        <f t="shared" si="191"/>
        <v/>
      </c>
      <c r="V1788" s="83" t="str">
        <f t="shared" si="192"/>
        <v/>
      </c>
      <c r="AA1788" s="60">
        <f t="shared" si="193"/>
        <v>0</v>
      </c>
      <c r="AB1788" s="49">
        <f t="shared" si="194"/>
        <v>0</v>
      </c>
      <c r="AC1788" s="60">
        <f t="shared" si="195"/>
        <v>0</v>
      </c>
    </row>
    <row r="1789" spans="1:29">
      <c r="A1789" s="83" t="str">
        <f t="shared" si="189"/>
        <v/>
      </c>
      <c r="B1789" s="83" t="str">
        <f t="shared" si="190"/>
        <v/>
      </c>
      <c r="U1789" s="83" t="str">
        <f t="shared" si="191"/>
        <v/>
      </c>
      <c r="V1789" s="83" t="str">
        <f t="shared" si="192"/>
        <v/>
      </c>
      <c r="AA1789" s="60">
        <f t="shared" si="193"/>
        <v>0</v>
      </c>
      <c r="AB1789" s="49">
        <f t="shared" si="194"/>
        <v>0</v>
      </c>
      <c r="AC1789" s="60">
        <f t="shared" si="195"/>
        <v>0</v>
      </c>
    </row>
    <row r="1790" spans="1:29">
      <c r="A1790" s="83" t="str">
        <f t="shared" si="189"/>
        <v/>
      </c>
      <c r="B1790" s="83" t="str">
        <f t="shared" si="190"/>
        <v/>
      </c>
      <c r="U1790" s="83" t="str">
        <f t="shared" si="191"/>
        <v/>
      </c>
      <c r="V1790" s="83" t="str">
        <f t="shared" si="192"/>
        <v/>
      </c>
      <c r="AA1790" s="60">
        <f t="shared" si="193"/>
        <v>0</v>
      </c>
      <c r="AB1790" s="49">
        <f t="shared" si="194"/>
        <v>0</v>
      </c>
      <c r="AC1790" s="60">
        <f t="shared" si="195"/>
        <v>0</v>
      </c>
    </row>
    <row r="1791" spans="1:29">
      <c r="A1791" s="83" t="str">
        <f t="shared" si="189"/>
        <v/>
      </c>
      <c r="B1791" s="83" t="str">
        <f t="shared" si="190"/>
        <v/>
      </c>
      <c r="U1791" s="83" t="str">
        <f t="shared" si="191"/>
        <v/>
      </c>
      <c r="V1791" s="83" t="str">
        <f t="shared" si="192"/>
        <v/>
      </c>
      <c r="AA1791" s="60">
        <f t="shared" si="193"/>
        <v>0</v>
      </c>
      <c r="AB1791" s="49">
        <f t="shared" si="194"/>
        <v>0</v>
      </c>
      <c r="AC1791" s="60">
        <f t="shared" si="195"/>
        <v>0</v>
      </c>
    </row>
    <row r="1792" spans="1:29">
      <c r="A1792" s="83" t="str">
        <f t="shared" si="189"/>
        <v/>
      </c>
      <c r="B1792" s="83" t="str">
        <f t="shared" si="190"/>
        <v/>
      </c>
      <c r="U1792" s="83" t="str">
        <f t="shared" si="191"/>
        <v/>
      </c>
      <c r="V1792" s="83" t="str">
        <f t="shared" si="192"/>
        <v/>
      </c>
      <c r="AA1792" s="60">
        <f t="shared" si="193"/>
        <v>0</v>
      </c>
      <c r="AB1792" s="49">
        <f t="shared" si="194"/>
        <v>0</v>
      </c>
      <c r="AC1792" s="60">
        <f t="shared" si="195"/>
        <v>0</v>
      </c>
    </row>
    <row r="1793" spans="1:29">
      <c r="A1793" s="83" t="str">
        <f t="shared" si="189"/>
        <v/>
      </c>
      <c r="B1793" s="83" t="str">
        <f t="shared" si="190"/>
        <v/>
      </c>
      <c r="U1793" s="83" t="str">
        <f t="shared" si="191"/>
        <v/>
      </c>
      <c r="V1793" s="83" t="str">
        <f t="shared" si="192"/>
        <v/>
      </c>
      <c r="AA1793" s="60">
        <f t="shared" si="193"/>
        <v>0</v>
      </c>
      <c r="AB1793" s="49">
        <f t="shared" si="194"/>
        <v>0</v>
      </c>
      <c r="AC1793" s="60">
        <f t="shared" si="195"/>
        <v>0</v>
      </c>
    </row>
    <row r="1794" spans="1:29">
      <c r="A1794" s="83" t="str">
        <f t="shared" si="189"/>
        <v/>
      </c>
      <c r="B1794" s="83" t="str">
        <f t="shared" si="190"/>
        <v/>
      </c>
      <c r="U1794" s="83" t="str">
        <f t="shared" si="191"/>
        <v/>
      </c>
      <c r="V1794" s="83" t="str">
        <f t="shared" si="192"/>
        <v/>
      </c>
      <c r="AA1794" s="60">
        <f t="shared" si="193"/>
        <v>0</v>
      </c>
      <c r="AB1794" s="49">
        <f t="shared" si="194"/>
        <v>0</v>
      </c>
      <c r="AC1794" s="60">
        <f t="shared" si="195"/>
        <v>0</v>
      </c>
    </row>
    <row r="1795" spans="1:29">
      <c r="A1795" s="83" t="str">
        <f t="shared" ref="A1795:A1858" si="196">IF(G1795&amp;Q1795&lt;&gt;"",U1795&amp;Q1795,"")</f>
        <v/>
      </c>
      <c r="B1795" s="83" t="str">
        <f t="shared" ref="B1795:B1858" si="197">IF(C1795&lt;&gt;"",LEFT(C1795,9),"")</f>
        <v/>
      </c>
      <c r="U1795" s="83" t="str">
        <f t="shared" ref="U1795:U1858" si="198">IF(G1795&lt;&gt;"",IF(StyleSpaceSplit,IFERROR(IF(FIND(" ",G1795)&gt;=1,MID(G1795,1,FIND(" ",G1795)-1),G1795),G1795),G1795),"")</f>
        <v/>
      </c>
      <c r="V1795" s="83" t="str">
        <f t="shared" ref="V1795:V1858" si="199">IF(A1795&lt;&gt;"",IFERROR(IF(FIND(" ",G1795)&gt;=1,MID(G1795,FIND(" ",G1795)+1,LEN(G1795)),""),G1795),"")</f>
        <v/>
      </c>
      <c r="AA1795" s="60">
        <f t="shared" ref="AA1795:AA1858" si="200">IFERROR(VALUE(MID($C1795,1,2)),0)</f>
        <v>0</v>
      </c>
      <c r="AB1795" s="49">
        <f t="shared" ref="AB1795:AB1858" si="201">IFERROR(VALUE(MID($C1795,4,3)),0)</f>
        <v>0</v>
      </c>
      <c r="AC1795" s="60">
        <f t="shared" ref="AC1795:AC1858" si="202">VALUE(RIGHT("00"&amp;AA1795,2)&amp;RIGHT("000"&amp;AB1795,3))</f>
        <v>0</v>
      </c>
    </row>
    <row r="1796" spans="1:29">
      <c r="A1796" s="83" t="str">
        <f t="shared" si="196"/>
        <v/>
      </c>
      <c r="B1796" s="83" t="str">
        <f t="shared" si="197"/>
        <v/>
      </c>
      <c r="U1796" s="83" t="str">
        <f t="shared" si="198"/>
        <v/>
      </c>
      <c r="V1796" s="83" t="str">
        <f t="shared" si="199"/>
        <v/>
      </c>
      <c r="AA1796" s="60">
        <f t="shared" si="200"/>
        <v>0</v>
      </c>
      <c r="AB1796" s="49">
        <f t="shared" si="201"/>
        <v>0</v>
      </c>
      <c r="AC1796" s="60">
        <f t="shared" si="202"/>
        <v>0</v>
      </c>
    </row>
    <row r="1797" spans="1:29">
      <c r="A1797" s="83" t="str">
        <f t="shared" si="196"/>
        <v/>
      </c>
      <c r="B1797" s="83" t="str">
        <f t="shared" si="197"/>
        <v/>
      </c>
      <c r="U1797" s="83" t="str">
        <f t="shared" si="198"/>
        <v/>
      </c>
      <c r="V1797" s="83" t="str">
        <f t="shared" si="199"/>
        <v/>
      </c>
      <c r="AA1797" s="60">
        <f t="shared" si="200"/>
        <v>0</v>
      </c>
      <c r="AB1797" s="49">
        <f t="shared" si="201"/>
        <v>0</v>
      </c>
      <c r="AC1797" s="60">
        <f t="shared" si="202"/>
        <v>0</v>
      </c>
    </row>
    <row r="1798" spans="1:29">
      <c r="A1798" s="83" t="str">
        <f t="shared" si="196"/>
        <v/>
      </c>
      <c r="B1798" s="83" t="str">
        <f t="shared" si="197"/>
        <v/>
      </c>
      <c r="U1798" s="83" t="str">
        <f t="shared" si="198"/>
        <v/>
      </c>
      <c r="V1798" s="83" t="str">
        <f t="shared" si="199"/>
        <v/>
      </c>
      <c r="AA1798" s="60">
        <f t="shared" si="200"/>
        <v>0</v>
      </c>
      <c r="AB1798" s="49">
        <f t="shared" si="201"/>
        <v>0</v>
      </c>
      <c r="AC1798" s="60">
        <f t="shared" si="202"/>
        <v>0</v>
      </c>
    </row>
    <row r="1799" spans="1:29">
      <c r="A1799" s="83" t="str">
        <f t="shared" si="196"/>
        <v/>
      </c>
      <c r="B1799" s="83" t="str">
        <f t="shared" si="197"/>
        <v/>
      </c>
      <c r="U1799" s="83" t="str">
        <f t="shared" si="198"/>
        <v/>
      </c>
      <c r="V1799" s="83" t="str">
        <f t="shared" si="199"/>
        <v/>
      </c>
      <c r="AA1799" s="60">
        <f t="shared" si="200"/>
        <v>0</v>
      </c>
      <c r="AB1799" s="49">
        <f t="shared" si="201"/>
        <v>0</v>
      </c>
      <c r="AC1799" s="60">
        <f t="shared" si="202"/>
        <v>0</v>
      </c>
    </row>
    <row r="1800" spans="1:29">
      <c r="A1800" s="83" t="str">
        <f t="shared" si="196"/>
        <v/>
      </c>
      <c r="B1800" s="83" t="str">
        <f t="shared" si="197"/>
        <v/>
      </c>
      <c r="U1800" s="83" t="str">
        <f t="shared" si="198"/>
        <v/>
      </c>
      <c r="V1800" s="83" t="str">
        <f t="shared" si="199"/>
        <v/>
      </c>
      <c r="AA1800" s="60">
        <f t="shared" si="200"/>
        <v>0</v>
      </c>
      <c r="AB1800" s="49">
        <f t="shared" si="201"/>
        <v>0</v>
      </c>
      <c r="AC1800" s="60">
        <f t="shared" si="202"/>
        <v>0</v>
      </c>
    </row>
    <row r="1801" spans="1:29">
      <c r="A1801" s="83" t="str">
        <f t="shared" si="196"/>
        <v/>
      </c>
      <c r="B1801" s="83" t="str">
        <f t="shared" si="197"/>
        <v/>
      </c>
      <c r="U1801" s="83" t="str">
        <f t="shared" si="198"/>
        <v/>
      </c>
      <c r="V1801" s="83" t="str">
        <f t="shared" si="199"/>
        <v/>
      </c>
      <c r="AA1801" s="60">
        <f t="shared" si="200"/>
        <v>0</v>
      </c>
      <c r="AB1801" s="49">
        <f t="shared" si="201"/>
        <v>0</v>
      </c>
      <c r="AC1801" s="60">
        <f t="shared" si="202"/>
        <v>0</v>
      </c>
    </row>
    <row r="1802" spans="1:29">
      <c r="A1802" s="83" t="str">
        <f t="shared" si="196"/>
        <v/>
      </c>
      <c r="B1802" s="83" t="str">
        <f t="shared" si="197"/>
        <v/>
      </c>
      <c r="U1802" s="83" t="str">
        <f t="shared" si="198"/>
        <v/>
      </c>
      <c r="V1802" s="83" t="str">
        <f t="shared" si="199"/>
        <v/>
      </c>
      <c r="AA1802" s="60">
        <f t="shared" si="200"/>
        <v>0</v>
      </c>
      <c r="AB1802" s="49">
        <f t="shared" si="201"/>
        <v>0</v>
      </c>
      <c r="AC1802" s="60">
        <f t="shared" si="202"/>
        <v>0</v>
      </c>
    </row>
    <row r="1803" spans="1:29">
      <c r="A1803" s="83" t="str">
        <f t="shared" si="196"/>
        <v/>
      </c>
      <c r="B1803" s="83" t="str">
        <f t="shared" si="197"/>
        <v/>
      </c>
      <c r="U1803" s="83" t="str">
        <f t="shared" si="198"/>
        <v/>
      </c>
      <c r="V1803" s="83" t="str">
        <f t="shared" si="199"/>
        <v/>
      </c>
      <c r="AA1803" s="60">
        <f t="shared" si="200"/>
        <v>0</v>
      </c>
      <c r="AB1803" s="49">
        <f t="shared" si="201"/>
        <v>0</v>
      </c>
      <c r="AC1803" s="60">
        <f t="shared" si="202"/>
        <v>0</v>
      </c>
    </row>
    <row r="1804" spans="1:29">
      <c r="A1804" s="83" t="str">
        <f t="shared" si="196"/>
        <v/>
      </c>
      <c r="B1804" s="83" t="str">
        <f t="shared" si="197"/>
        <v/>
      </c>
      <c r="U1804" s="83" t="str">
        <f t="shared" si="198"/>
        <v/>
      </c>
      <c r="V1804" s="83" t="str">
        <f t="shared" si="199"/>
        <v/>
      </c>
      <c r="AA1804" s="60">
        <f t="shared" si="200"/>
        <v>0</v>
      </c>
      <c r="AB1804" s="49">
        <f t="shared" si="201"/>
        <v>0</v>
      </c>
      <c r="AC1804" s="60">
        <f t="shared" si="202"/>
        <v>0</v>
      </c>
    </row>
    <row r="1805" spans="1:29">
      <c r="A1805" s="83" t="str">
        <f t="shared" si="196"/>
        <v/>
      </c>
      <c r="B1805" s="83" t="str">
        <f t="shared" si="197"/>
        <v/>
      </c>
      <c r="U1805" s="83" t="str">
        <f t="shared" si="198"/>
        <v/>
      </c>
      <c r="V1805" s="83" t="str">
        <f t="shared" si="199"/>
        <v/>
      </c>
      <c r="AA1805" s="60">
        <f t="shared" si="200"/>
        <v>0</v>
      </c>
      <c r="AB1805" s="49">
        <f t="shared" si="201"/>
        <v>0</v>
      </c>
      <c r="AC1805" s="60">
        <f t="shared" si="202"/>
        <v>0</v>
      </c>
    </row>
    <row r="1806" spans="1:29">
      <c r="A1806" s="83" t="str">
        <f t="shared" si="196"/>
        <v/>
      </c>
      <c r="B1806" s="83" t="str">
        <f t="shared" si="197"/>
        <v/>
      </c>
      <c r="U1806" s="83" t="str">
        <f t="shared" si="198"/>
        <v/>
      </c>
      <c r="V1806" s="83" t="str">
        <f t="shared" si="199"/>
        <v/>
      </c>
      <c r="AA1806" s="60">
        <f t="shared" si="200"/>
        <v>0</v>
      </c>
      <c r="AB1806" s="49">
        <f t="shared" si="201"/>
        <v>0</v>
      </c>
      <c r="AC1806" s="60">
        <f t="shared" si="202"/>
        <v>0</v>
      </c>
    </row>
    <row r="1807" spans="1:29">
      <c r="A1807" s="83" t="str">
        <f t="shared" si="196"/>
        <v/>
      </c>
      <c r="B1807" s="83" t="str">
        <f t="shared" si="197"/>
        <v/>
      </c>
      <c r="U1807" s="83" t="str">
        <f t="shared" si="198"/>
        <v/>
      </c>
      <c r="V1807" s="83" t="str">
        <f t="shared" si="199"/>
        <v/>
      </c>
      <c r="AA1807" s="60">
        <f t="shared" si="200"/>
        <v>0</v>
      </c>
      <c r="AB1807" s="49">
        <f t="shared" si="201"/>
        <v>0</v>
      </c>
      <c r="AC1807" s="60">
        <f t="shared" si="202"/>
        <v>0</v>
      </c>
    </row>
    <row r="1808" spans="1:29">
      <c r="A1808" s="83" t="str">
        <f t="shared" si="196"/>
        <v/>
      </c>
      <c r="B1808" s="83" t="str">
        <f t="shared" si="197"/>
        <v/>
      </c>
      <c r="U1808" s="83" t="str">
        <f t="shared" si="198"/>
        <v/>
      </c>
      <c r="V1808" s="83" t="str">
        <f t="shared" si="199"/>
        <v/>
      </c>
      <c r="AA1808" s="60">
        <f t="shared" si="200"/>
        <v>0</v>
      </c>
      <c r="AB1808" s="49">
        <f t="shared" si="201"/>
        <v>0</v>
      </c>
      <c r="AC1808" s="60">
        <f t="shared" si="202"/>
        <v>0</v>
      </c>
    </row>
    <row r="1809" spans="1:29">
      <c r="A1809" s="83" t="str">
        <f t="shared" si="196"/>
        <v/>
      </c>
      <c r="B1809" s="83" t="str">
        <f t="shared" si="197"/>
        <v/>
      </c>
      <c r="U1809" s="83" t="str">
        <f t="shared" si="198"/>
        <v/>
      </c>
      <c r="V1809" s="83" t="str">
        <f t="shared" si="199"/>
        <v/>
      </c>
      <c r="AA1809" s="60">
        <f t="shared" si="200"/>
        <v>0</v>
      </c>
      <c r="AB1809" s="49">
        <f t="shared" si="201"/>
        <v>0</v>
      </c>
      <c r="AC1809" s="60">
        <f t="shared" si="202"/>
        <v>0</v>
      </c>
    </row>
    <row r="1810" spans="1:29">
      <c r="A1810" s="83" t="str">
        <f t="shared" si="196"/>
        <v/>
      </c>
      <c r="B1810" s="83" t="str">
        <f t="shared" si="197"/>
        <v/>
      </c>
      <c r="U1810" s="83" t="str">
        <f t="shared" si="198"/>
        <v/>
      </c>
      <c r="V1810" s="83" t="str">
        <f t="shared" si="199"/>
        <v/>
      </c>
      <c r="AA1810" s="60">
        <f t="shared" si="200"/>
        <v>0</v>
      </c>
      <c r="AB1810" s="49">
        <f t="shared" si="201"/>
        <v>0</v>
      </c>
      <c r="AC1810" s="60">
        <f t="shared" si="202"/>
        <v>0</v>
      </c>
    </row>
    <row r="1811" spans="1:29">
      <c r="A1811" s="83" t="str">
        <f t="shared" si="196"/>
        <v/>
      </c>
      <c r="B1811" s="83" t="str">
        <f t="shared" si="197"/>
        <v/>
      </c>
      <c r="U1811" s="83" t="str">
        <f t="shared" si="198"/>
        <v/>
      </c>
      <c r="V1811" s="83" t="str">
        <f t="shared" si="199"/>
        <v/>
      </c>
      <c r="AA1811" s="60">
        <f t="shared" si="200"/>
        <v>0</v>
      </c>
      <c r="AB1811" s="49">
        <f t="shared" si="201"/>
        <v>0</v>
      </c>
      <c r="AC1811" s="60">
        <f t="shared" si="202"/>
        <v>0</v>
      </c>
    </row>
    <row r="1812" spans="1:29">
      <c r="A1812" s="83" t="str">
        <f t="shared" si="196"/>
        <v/>
      </c>
      <c r="B1812" s="83" t="str">
        <f t="shared" si="197"/>
        <v/>
      </c>
      <c r="U1812" s="83" t="str">
        <f t="shared" si="198"/>
        <v/>
      </c>
      <c r="V1812" s="83" t="str">
        <f t="shared" si="199"/>
        <v/>
      </c>
      <c r="AA1812" s="60">
        <f t="shared" si="200"/>
        <v>0</v>
      </c>
      <c r="AB1812" s="49">
        <f t="shared" si="201"/>
        <v>0</v>
      </c>
      <c r="AC1812" s="60">
        <f t="shared" si="202"/>
        <v>0</v>
      </c>
    </row>
    <row r="1813" spans="1:29">
      <c r="A1813" s="83" t="str">
        <f t="shared" si="196"/>
        <v/>
      </c>
      <c r="B1813" s="83" t="str">
        <f t="shared" si="197"/>
        <v/>
      </c>
      <c r="U1813" s="83" t="str">
        <f t="shared" si="198"/>
        <v/>
      </c>
      <c r="V1813" s="83" t="str">
        <f t="shared" si="199"/>
        <v/>
      </c>
      <c r="AA1813" s="60">
        <f t="shared" si="200"/>
        <v>0</v>
      </c>
      <c r="AB1813" s="49">
        <f t="shared" si="201"/>
        <v>0</v>
      </c>
      <c r="AC1813" s="60">
        <f t="shared" si="202"/>
        <v>0</v>
      </c>
    </row>
    <row r="1814" spans="1:29">
      <c r="A1814" s="83" t="str">
        <f t="shared" si="196"/>
        <v/>
      </c>
      <c r="B1814" s="83" t="str">
        <f t="shared" si="197"/>
        <v/>
      </c>
      <c r="U1814" s="83" t="str">
        <f t="shared" si="198"/>
        <v/>
      </c>
      <c r="V1814" s="83" t="str">
        <f t="shared" si="199"/>
        <v/>
      </c>
      <c r="AA1814" s="60">
        <f t="shared" si="200"/>
        <v>0</v>
      </c>
      <c r="AB1814" s="49">
        <f t="shared" si="201"/>
        <v>0</v>
      </c>
      <c r="AC1814" s="60">
        <f t="shared" si="202"/>
        <v>0</v>
      </c>
    </row>
    <row r="1815" spans="1:29">
      <c r="A1815" s="83" t="str">
        <f t="shared" si="196"/>
        <v/>
      </c>
      <c r="B1815" s="83" t="str">
        <f t="shared" si="197"/>
        <v/>
      </c>
      <c r="U1815" s="83" t="str">
        <f t="shared" si="198"/>
        <v/>
      </c>
      <c r="V1815" s="83" t="str">
        <f t="shared" si="199"/>
        <v/>
      </c>
      <c r="AA1815" s="60">
        <f t="shared" si="200"/>
        <v>0</v>
      </c>
      <c r="AB1815" s="49">
        <f t="shared" si="201"/>
        <v>0</v>
      </c>
      <c r="AC1815" s="60">
        <f t="shared" si="202"/>
        <v>0</v>
      </c>
    </row>
    <row r="1816" spans="1:29">
      <c r="A1816" s="83" t="str">
        <f t="shared" si="196"/>
        <v/>
      </c>
      <c r="B1816" s="83" t="str">
        <f t="shared" si="197"/>
        <v/>
      </c>
      <c r="U1816" s="83" t="str">
        <f t="shared" si="198"/>
        <v/>
      </c>
      <c r="V1816" s="83" t="str">
        <f t="shared" si="199"/>
        <v/>
      </c>
      <c r="AA1816" s="60">
        <f t="shared" si="200"/>
        <v>0</v>
      </c>
      <c r="AB1816" s="49">
        <f t="shared" si="201"/>
        <v>0</v>
      </c>
      <c r="AC1816" s="60">
        <f t="shared" si="202"/>
        <v>0</v>
      </c>
    </row>
    <row r="1817" spans="1:29">
      <c r="A1817" s="83" t="str">
        <f t="shared" si="196"/>
        <v/>
      </c>
      <c r="B1817" s="83" t="str">
        <f t="shared" si="197"/>
        <v/>
      </c>
      <c r="U1817" s="83" t="str">
        <f t="shared" si="198"/>
        <v/>
      </c>
      <c r="V1817" s="83" t="str">
        <f t="shared" si="199"/>
        <v/>
      </c>
      <c r="AA1817" s="60">
        <f t="shared" si="200"/>
        <v>0</v>
      </c>
      <c r="AB1817" s="49">
        <f t="shared" si="201"/>
        <v>0</v>
      </c>
      <c r="AC1817" s="60">
        <f t="shared" si="202"/>
        <v>0</v>
      </c>
    </row>
    <row r="1818" spans="1:29">
      <c r="A1818" s="83" t="str">
        <f t="shared" si="196"/>
        <v/>
      </c>
      <c r="B1818" s="83" t="str">
        <f t="shared" si="197"/>
        <v/>
      </c>
      <c r="U1818" s="83" t="str">
        <f t="shared" si="198"/>
        <v/>
      </c>
      <c r="V1818" s="83" t="str">
        <f t="shared" si="199"/>
        <v/>
      </c>
      <c r="AA1818" s="60">
        <f t="shared" si="200"/>
        <v>0</v>
      </c>
      <c r="AB1818" s="49">
        <f t="shared" si="201"/>
        <v>0</v>
      </c>
      <c r="AC1818" s="60">
        <f t="shared" si="202"/>
        <v>0</v>
      </c>
    </row>
    <row r="1819" spans="1:29">
      <c r="A1819" s="83" t="str">
        <f t="shared" si="196"/>
        <v/>
      </c>
      <c r="B1819" s="83" t="str">
        <f t="shared" si="197"/>
        <v/>
      </c>
      <c r="U1819" s="83" t="str">
        <f t="shared" si="198"/>
        <v/>
      </c>
      <c r="V1819" s="83" t="str">
        <f t="shared" si="199"/>
        <v/>
      </c>
      <c r="AA1819" s="60">
        <f t="shared" si="200"/>
        <v>0</v>
      </c>
      <c r="AB1819" s="49">
        <f t="shared" si="201"/>
        <v>0</v>
      </c>
      <c r="AC1819" s="60">
        <f t="shared" si="202"/>
        <v>0</v>
      </c>
    </row>
    <row r="1820" spans="1:29">
      <c r="A1820" s="83" t="str">
        <f t="shared" si="196"/>
        <v/>
      </c>
      <c r="B1820" s="83" t="str">
        <f t="shared" si="197"/>
        <v/>
      </c>
      <c r="U1820" s="83" t="str">
        <f t="shared" si="198"/>
        <v/>
      </c>
      <c r="V1820" s="83" t="str">
        <f t="shared" si="199"/>
        <v/>
      </c>
      <c r="AA1820" s="60">
        <f t="shared" si="200"/>
        <v>0</v>
      </c>
      <c r="AB1820" s="49">
        <f t="shared" si="201"/>
        <v>0</v>
      </c>
      <c r="AC1820" s="60">
        <f t="shared" si="202"/>
        <v>0</v>
      </c>
    </row>
    <row r="1821" spans="1:29">
      <c r="A1821" s="83" t="str">
        <f t="shared" si="196"/>
        <v/>
      </c>
      <c r="B1821" s="83" t="str">
        <f t="shared" si="197"/>
        <v/>
      </c>
      <c r="U1821" s="83" t="str">
        <f t="shared" si="198"/>
        <v/>
      </c>
      <c r="V1821" s="83" t="str">
        <f t="shared" si="199"/>
        <v/>
      </c>
      <c r="AA1821" s="60">
        <f t="shared" si="200"/>
        <v>0</v>
      </c>
      <c r="AB1821" s="49">
        <f t="shared" si="201"/>
        <v>0</v>
      </c>
      <c r="AC1821" s="60">
        <f t="shared" si="202"/>
        <v>0</v>
      </c>
    </row>
    <row r="1822" spans="1:29">
      <c r="A1822" s="83" t="str">
        <f t="shared" si="196"/>
        <v/>
      </c>
      <c r="B1822" s="83" t="str">
        <f t="shared" si="197"/>
        <v/>
      </c>
      <c r="U1822" s="83" t="str">
        <f t="shared" si="198"/>
        <v/>
      </c>
      <c r="V1822" s="83" t="str">
        <f t="shared" si="199"/>
        <v/>
      </c>
      <c r="AA1822" s="60">
        <f t="shared" si="200"/>
        <v>0</v>
      </c>
      <c r="AB1822" s="49">
        <f t="shared" si="201"/>
        <v>0</v>
      </c>
      <c r="AC1822" s="60">
        <f t="shared" si="202"/>
        <v>0</v>
      </c>
    </row>
    <row r="1823" spans="1:29">
      <c r="A1823" s="83" t="str">
        <f t="shared" si="196"/>
        <v/>
      </c>
      <c r="B1823" s="83" t="str">
        <f t="shared" si="197"/>
        <v/>
      </c>
      <c r="U1823" s="83" t="str">
        <f t="shared" si="198"/>
        <v/>
      </c>
      <c r="V1823" s="83" t="str">
        <f t="shared" si="199"/>
        <v/>
      </c>
      <c r="AA1823" s="60">
        <f t="shared" si="200"/>
        <v>0</v>
      </c>
      <c r="AB1823" s="49">
        <f t="shared" si="201"/>
        <v>0</v>
      </c>
      <c r="AC1823" s="60">
        <f t="shared" si="202"/>
        <v>0</v>
      </c>
    </row>
    <row r="1824" spans="1:29">
      <c r="A1824" s="83" t="str">
        <f t="shared" si="196"/>
        <v/>
      </c>
      <c r="B1824" s="83" t="str">
        <f t="shared" si="197"/>
        <v/>
      </c>
      <c r="U1824" s="83" t="str">
        <f t="shared" si="198"/>
        <v/>
      </c>
      <c r="V1824" s="83" t="str">
        <f t="shared" si="199"/>
        <v/>
      </c>
      <c r="AA1824" s="60">
        <f t="shared" si="200"/>
        <v>0</v>
      </c>
      <c r="AB1824" s="49">
        <f t="shared" si="201"/>
        <v>0</v>
      </c>
      <c r="AC1824" s="60">
        <f t="shared" si="202"/>
        <v>0</v>
      </c>
    </row>
    <row r="1825" spans="1:29">
      <c r="A1825" s="83" t="str">
        <f t="shared" si="196"/>
        <v/>
      </c>
      <c r="B1825" s="83" t="str">
        <f t="shared" si="197"/>
        <v/>
      </c>
      <c r="U1825" s="83" t="str">
        <f t="shared" si="198"/>
        <v/>
      </c>
      <c r="V1825" s="83" t="str">
        <f t="shared" si="199"/>
        <v/>
      </c>
      <c r="AA1825" s="60">
        <f t="shared" si="200"/>
        <v>0</v>
      </c>
      <c r="AB1825" s="49">
        <f t="shared" si="201"/>
        <v>0</v>
      </c>
      <c r="AC1825" s="60">
        <f t="shared" si="202"/>
        <v>0</v>
      </c>
    </row>
    <row r="1826" spans="1:29">
      <c r="A1826" s="83" t="str">
        <f t="shared" si="196"/>
        <v/>
      </c>
      <c r="B1826" s="83" t="str">
        <f t="shared" si="197"/>
        <v/>
      </c>
      <c r="U1826" s="83" t="str">
        <f t="shared" si="198"/>
        <v/>
      </c>
      <c r="V1826" s="83" t="str">
        <f t="shared" si="199"/>
        <v/>
      </c>
      <c r="AA1826" s="60">
        <f t="shared" si="200"/>
        <v>0</v>
      </c>
      <c r="AB1826" s="49">
        <f t="shared" si="201"/>
        <v>0</v>
      </c>
      <c r="AC1826" s="60">
        <f t="shared" si="202"/>
        <v>0</v>
      </c>
    </row>
    <row r="1827" spans="1:29">
      <c r="A1827" s="83" t="str">
        <f t="shared" si="196"/>
        <v/>
      </c>
      <c r="B1827" s="83" t="str">
        <f t="shared" si="197"/>
        <v/>
      </c>
      <c r="U1827" s="83" t="str">
        <f t="shared" si="198"/>
        <v/>
      </c>
      <c r="V1827" s="83" t="str">
        <f t="shared" si="199"/>
        <v/>
      </c>
      <c r="AA1827" s="60">
        <f t="shared" si="200"/>
        <v>0</v>
      </c>
      <c r="AB1827" s="49">
        <f t="shared" si="201"/>
        <v>0</v>
      </c>
      <c r="AC1827" s="60">
        <f t="shared" si="202"/>
        <v>0</v>
      </c>
    </row>
    <row r="1828" spans="1:29">
      <c r="A1828" s="83" t="str">
        <f t="shared" si="196"/>
        <v/>
      </c>
      <c r="B1828" s="83" t="str">
        <f t="shared" si="197"/>
        <v/>
      </c>
      <c r="U1828" s="83" t="str">
        <f t="shared" si="198"/>
        <v/>
      </c>
      <c r="V1828" s="83" t="str">
        <f t="shared" si="199"/>
        <v/>
      </c>
      <c r="AA1828" s="60">
        <f t="shared" si="200"/>
        <v>0</v>
      </c>
      <c r="AB1828" s="49">
        <f t="shared" si="201"/>
        <v>0</v>
      </c>
      <c r="AC1828" s="60">
        <f t="shared" si="202"/>
        <v>0</v>
      </c>
    </row>
    <row r="1829" spans="1:29">
      <c r="A1829" s="83" t="str">
        <f t="shared" si="196"/>
        <v/>
      </c>
      <c r="B1829" s="83" t="str">
        <f t="shared" si="197"/>
        <v/>
      </c>
      <c r="U1829" s="83" t="str">
        <f t="shared" si="198"/>
        <v/>
      </c>
      <c r="V1829" s="83" t="str">
        <f t="shared" si="199"/>
        <v/>
      </c>
      <c r="AA1829" s="60">
        <f t="shared" si="200"/>
        <v>0</v>
      </c>
      <c r="AB1829" s="49">
        <f t="shared" si="201"/>
        <v>0</v>
      </c>
      <c r="AC1829" s="60">
        <f t="shared" si="202"/>
        <v>0</v>
      </c>
    </row>
    <row r="1830" spans="1:29">
      <c r="A1830" s="83" t="str">
        <f t="shared" si="196"/>
        <v/>
      </c>
      <c r="B1830" s="83" t="str">
        <f t="shared" si="197"/>
        <v/>
      </c>
      <c r="U1830" s="83" t="str">
        <f t="shared" si="198"/>
        <v/>
      </c>
      <c r="V1830" s="83" t="str">
        <f t="shared" si="199"/>
        <v/>
      </c>
      <c r="AA1830" s="60">
        <f t="shared" si="200"/>
        <v>0</v>
      </c>
      <c r="AB1830" s="49">
        <f t="shared" si="201"/>
        <v>0</v>
      </c>
      <c r="AC1830" s="60">
        <f t="shared" si="202"/>
        <v>0</v>
      </c>
    </row>
    <row r="1831" spans="1:29">
      <c r="A1831" s="83" t="str">
        <f t="shared" si="196"/>
        <v/>
      </c>
      <c r="B1831" s="83" t="str">
        <f t="shared" si="197"/>
        <v/>
      </c>
      <c r="U1831" s="83" t="str">
        <f t="shared" si="198"/>
        <v/>
      </c>
      <c r="V1831" s="83" t="str">
        <f t="shared" si="199"/>
        <v/>
      </c>
      <c r="AA1831" s="60">
        <f t="shared" si="200"/>
        <v>0</v>
      </c>
      <c r="AB1831" s="49">
        <f t="shared" si="201"/>
        <v>0</v>
      </c>
      <c r="AC1831" s="60">
        <f t="shared" si="202"/>
        <v>0</v>
      </c>
    </row>
    <row r="1832" spans="1:29">
      <c r="A1832" s="83" t="str">
        <f t="shared" si="196"/>
        <v/>
      </c>
      <c r="B1832" s="83" t="str">
        <f t="shared" si="197"/>
        <v/>
      </c>
      <c r="U1832" s="83" t="str">
        <f t="shared" si="198"/>
        <v/>
      </c>
      <c r="V1832" s="83" t="str">
        <f t="shared" si="199"/>
        <v/>
      </c>
      <c r="AA1832" s="60">
        <f t="shared" si="200"/>
        <v>0</v>
      </c>
      <c r="AB1832" s="49">
        <f t="shared" si="201"/>
        <v>0</v>
      </c>
      <c r="AC1832" s="60">
        <f t="shared" si="202"/>
        <v>0</v>
      </c>
    </row>
    <row r="1833" spans="1:29">
      <c r="A1833" s="83" t="str">
        <f t="shared" si="196"/>
        <v/>
      </c>
      <c r="B1833" s="83" t="str">
        <f t="shared" si="197"/>
        <v/>
      </c>
      <c r="U1833" s="83" t="str">
        <f t="shared" si="198"/>
        <v/>
      </c>
      <c r="V1833" s="83" t="str">
        <f t="shared" si="199"/>
        <v/>
      </c>
      <c r="AA1833" s="60">
        <f t="shared" si="200"/>
        <v>0</v>
      </c>
      <c r="AB1833" s="49">
        <f t="shared" si="201"/>
        <v>0</v>
      </c>
      <c r="AC1833" s="60">
        <f t="shared" si="202"/>
        <v>0</v>
      </c>
    </row>
    <row r="1834" spans="1:29">
      <c r="A1834" s="83" t="str">
        <f t="shared" si="196"/>
        <v/>
      </c>
      <c r="B1834" s="83" t="str">
        <f t="shared" si="197"/>
        <v/>
      </c>
      <c r="U1834" s="83" t="str">
        <f t="shared" si="198"/>
        <v/>
      </c>
      <c r="V1834" s="83" t="str">
        <f t="shared" si="199"/>
        <v/>
      </c>
      <c r="AA1834" s="60">
        <f t="shared" si="200"/>
        <v>0</v>
      </c>
      <c r="AB1834" s="49">
        <f t="shared" si="201"/>
        <v>0</v>
      </c>
      <c r="AC1834" s="60">
        <f t="shared" si="202"/>
        <v>0</v>
      </c>
    </row>
    <row r="1835" spans="1:29">
      <c r="A1835" s="83" t="str">
        <f t="shared" si="196"/>
        <v/>
      </c>
      <c r="B1835" s="83" t="str">
        <f t="shared" si="197"/>
        <v/>
      </c>
      <c r="U1835" s="83" t="str">
        <f t="shared" si="198"/>
        <v/>
      </c>
      <c r="V1835" s="83" t="str">
        <f t="shared" si="199"/>
        <v/>
      </c>
      <c r="AA1835" s="60">
        <f t="shared" si="200"/>
        <v>0</v>
      </c>
      <c r="AB1835" s="49">
        <f t="shared" si="201"/>
        <v>0</v>
      </c>
      <c r="AC1835" s="60">
        <f t="shared" si="202"/>
        <v>0</v>
      </c>
    </row>
    <row r="1836" spans="1:29">
      <c r="A1836" s="83" t="str">
        <f t="shared" si="196"/>
        <v/>
      </c>
      <c r="B1836" s="83" t="str">
        <f t="shared" si="197"/>
        <v/>
      </c>
      <c r="U1836" s="83" t="str">
        <f t="shared" si="198"/>
        <v/>
      </c>
      <c r="V1836" s="83" t="str">
        <f t="shared" si="199"/>
        <v/>
      </c>
      <c r="AA1836" s="60">
        <f t="shared" si="200"/>
        <v>0</v>
      </c>
      <c r="AB1836" s="49">
        <f t="shared" si="201"/>
        <v>0</v>
      </c>
      <c r="AC1836" s="60">
        <f t="shared" si="202"/>
        <v>0</v>
      </c>
    </row>
    <row r="1837" spans="1:29">
      <c r="A1837" s="83" t="str">
        <f t="shared" si="196"/>
        <v/>
      </c>
      <c r="B1837" s="83" t="str">
        <f t="shared" si="197"/>
        <v/>
      </c>
      <c r="U1837" s="83" t="str">
        <f t="shared" si="198"/>
        <v/>
      </c>
      <c r="V1837" s="83" t="str">
        <f t="shared" si="199"/>
        <v/>
      </c>
      <c r="AA1837" s="60">
        <f t="shared" si="200"/>
        <v>0</v>
      </c>
      <c r="AB1837" s="49">
        <f t="shared" si="201"/>
        <v>0</v>
      </c>
      <c r="AC1837" s="60">
        <f t="shared" si="202"/>
        <v>0</v>
      </c>
    </row>
    <row r="1838" spans="1:29">
      <c r="A1838" s="83" t="str">
        <f t="shared" si="196"/>
        <v/>
      </c>
      <c r="B1838" s="83" t="str">
        <f t="shared" si="197"/>
        <v/>
      </c>
      <c r="U1838" s="83" t="str">
        <f t="shared" si="198"/>
        <v/>
      </c>
      <c r="V1838" s="83" t="str">
        <f t="shared" si="199"/>
        <v/>
      </c>
      <c r="AA1838" s="60">
        <f t="shared" si="200"/>
        <v>0</v>
      </c>
      <c r="AB1838" s="49">
        <f t="shared" si="201"/>
        <v>0</v>
      </c>
      <c r="AC1838" s="60">
        <f t="shared" si="202"/>
        <v>0</v>
      </c>
    </row>
    <row r="1839" spans="1:29">
      <c r="A1839" s="83" t="str">
        <f t="shared" si="196"/>
        <v/>
      </c>
      <c r="B1839" s="83" t="str">
        <f t="shared" si="197"/>
        <v/>
      </c>
      <c r="U1839" s="83" t="str">
        <f t="shared" si="198"/>
        <v/>
      </c>
      <c r="V1839" s="83" t="str">
        <f t="shared" si="199"/>
        <v/>
      </c>
      <c r="AA1839" s="60">
        <f t="shared" si="200"/>
        <v>0</v>
      </c>
      <c r="AB1839" s="49">
        <f t="shared" si="201"/>
        <v>0</v>
      </c>
      <c r="AC1839" s="60">
        <f t="shared" si="202"/>
        <v>0</v>
      </c>
    </row>
    <row r="1840" spans="1:29">
      <c r="A1840" s="83" t="str">
        <f t="shared" si="196"/>
        <v/>
      </c>
      <c r="B1840" s="83" t="str">
        <f t="shared" si="197"/>
        <v/>
      </c>
      <c r="U1840" s="83" t="str">
        <f t="shared" si="198"/>
        <v/>
      </c>
      <c r="V1840" s="83" t="str">
        <f t="shared" si="199"/>
        <v/>
      </c>
      <c r="AA1840" s="60">
        <f t="shared" si="200"/>
        <v>0</v>
      </c>
      <c r="AB1840" s="49">
        <f t="shared" si="201"/>
        <v>0</v>
      </c>
      <c r="AC1840" s="60">
        <f t="shared" si="202"/>
        <v>0</v>
      </c>
    </row>
    <row r="1841" spans="1:29">
      <c r="A1841" s="83" t="str">
        <f t="shared" si="196"/>
        <v/>
      </c>
      <c r="B1841" s="83" t="str">
        <f t="shared" si="197"/>
        <v/>
      </c>
      <c r="U1841" s="83" t="str">
        <f t="shared" si="198"/>
        <v/>
      </c>
      <c r="V1841" s="83" t="str">
        <f t="shared" si="199"/>
        <v/>
      </c>
      <c r="AA1841" s="60">
        <f t="shared" si="200"/>
        <v>0</v>
      </c>
      <c r="AB1841" s="49">
        <f t="shared" si="201"/>
        <v>0</v>
      </c>
      <c r="AC1841" s="60">
        <f t="shared" si="202"/>
        <v>0</v>
      </c>
    </row>
    <row r="1842" spans="1:29">
      <c r="A1842" s="83" t="str">
        <f t="shared" si="196"/>
        <v/>
      </c>
      <c r="B1842" s="83" t="str">
        <f t="shared" si="197"/>
        <v/>
      </c>
      <c r="U1842" s="83" t="str">
        <f t="shared" si="198"/>
        <v/>
      </c>
      <c r="V1842" s="83" t="str">
        <f t="shared" si="199"/>
        <v/>
      </c>
      <c r="AA1842" s="60">
        <f t="shared" si="200"/>
        <v>0</v>
      </c>
      <c r="AB1842" s="49">
        <f t="shared" si="201"/>
        <v>0</v>
      </c>
      <c r="AC1842" s="60">
        <f t="shared" si="202"/>
        <v>0</v>
      </c>
    </row>
    <row r="1843" spans="1:29">
      <c r="A1843" s="83" t="str">
        <f t="shared" si="196"/>
        <v/>
      </c>
      <c r="B1843" s="83" t="str">
        <f t="shared" si="197"/>
        <v/>
      </c>
      <c r="U1843" s="83" t="str">
        <f t="shared" si="198"/>
        <v/>
      </c>
      <c r="V1843" s="83" t="str">
        <f t="shared" si="199"/>
        <v/>
      </c>
      <c r="AA1843" s="60">
        <f t="shared" si="200"/>
        <v>0</v>
      </c>
      <c r="AB1843" s="49">
        <f t="shared" si="201"/>
        <v>0</v>
      </c>
      <c r="AC1843" s="60">
        <f t="shared" si="202"/>
        <v>0</v>
      </c>
    </row>
    <row r="1844" spans="1:29">
      <c r="A1844" s="83" t="str">
        <f t="shared" si="196"/>
        <v/>
      </c>
      <c r="B1844" s="83" t="str">
        <f t="shared" si="197"/>
        <v/>
      </c>
      <c r="U1844" s="83" t="str">
        <f t="shared" si="198"/>
        <v/>
      </c>
      <c r="V1844" s="83" t="str">
        <f t="shared" si="199"/>
        <v/>
      </c>
      <c r="AA1844" s="60">
        <f t="shared" si="200"/>
        <v>0</v>
      </c>
      <c r="AB1844" s="49">
        <f t="shared" si="201"/>
        <v>0</v>
      </c>
      <c r="AC1844" s="60">
        <f t="shared" si="202"/>
        <v>0</v>
      </c>
    </row>
    <row r="1845" spans="1:29">
      <c r="A1845" s="83" t="str">
        <f t="shared" si="196"/>
        <v/>
      </c>
      <c r="B1845" s="83" t="str">
        <f t="shared" si="197"/>
        <v/>
      </c>
      <c r="U1845" s="83" t="str">
        <f t="shared" si="198"/>
        <v/>
      </c>
      <c r="V1845" s="83" t="str">
        <f t="shared" si="199"/>
        <v/>
      </c>
      <c r="AA1845" s="60">
        <f t="shared" si="200"/>
        <v>0</v>
      </c>
      <c r="AB1845" s="49">
        <f t="shared" si="201"/>
        <v>0</v>
      </c>
      <c r="AC1845" s="60">
        <f t="shared" si="202"/>
        <v>0</v>
      </c>
    </row>
    <row r="1846" spans="1:29">
      <c r="A1846" s="83" t="str">
        <f t="shared" si="196"/>
        <v/>
      </c>
      <c r="B1846" s="83" t="str">
        <f t="shared" si="197"/>
        <v/>
      </c>
      <c r="U1846" s="83" t="str">
        <f t="shared" si="198"/>
        <v/>
      </c>
      <c r="V1846" s="83" t="str">
        <f t="shared" si="199"/>
        <v/>
      </c>
      <c r="AA1846" s="60">
        <f t="shared" si="200"/>
        <v>0</v>
      </c>
      <c r="AB1846" s="49">
        <f t="shared" si="201"/>
        <v>0</v>
      </c>
      <c r="AC1846" s="60">
        <f t="shared" si="202"/>
        <v>0</v>
      </c>
    </row>
    <row r="1847" spans="1:29">
      <c r="A1847" s="83" t="str">
        <f t="shared" si="196"/>
        <v/>
      </c>
      <c r="B1847" s="83" t="str">
        <f t="shared" si="197"/>
        <v/>
      </c>
      <c r="U1847" s="83" t="str">
        <f t="shared" si="198"/>
        <v/>
      </c>
      <c r="V1847" s="83" t="str">
        <f t="shared" si="199"/>
        <v/>
      </c>
      <c r="AA1847" s="60">
        <f t="shared" si="200"/>
        <v>0</v>
      </c>
      <c r="AB1847" s="49">
        <f t="shared" si="201"/>
        <v>0</v>
      </c>
      <c r="AC1847" s="60">
        <f t="shared" si="202"/>
        <v>0</v>
      </c>
    </row>
    <row r="1848" spans="1:29">
      <c r="A1848" s="83" t="str">
        <f t="shared" si="196"/>
        <v/>
      </c>
      <c r="B1848" s="83" t="str">
        <f t="shared" si="197"/>
        <v/>
      </c>
      <c r="U1848" s="83" t="str">
        <f t="shared" si="198"/>
        <v/>
      </c>
      <c r="V1848" s="83" t="str">
        <f t="shared" si="199"/>
        <v/>
      </c>
      <c r="AA1848" s="60">
        <f t="shared" si="200"/>
        <v>0</v>
      </c>
      <c r="AB1848" s="49">
        <f t="shared" si="201"/>
        <v>0</v>
      </c>
      <c r="AC1848" s="60">
        <f t="shared" si="202"/>
        <v>0</v>
      </c>
    </row>
    <row r="1849" spans="1:29">
      <c r="A1849" s="83" t="str">
        <f t="shared" si="196"/>
        <v/>
      </c>
      <c r="B1849" s="83" t="str">
        <f t="shared" si="197"/>
        <v/>
      </c>
      <c r="U1849" s="83" t="str">
        <f t="shared" si="198"/>
        <v/>
      </c>
      <c r="V1849" s="83" t="str">
        <f t="shared" si="199"/>
        <v/>
      </c>
      <c r="AA1849" s="60">
        <f t="shared" si="200"/>
        <v>0</v>
      </c>
      <c r="AB1849" s="49">
        <f t="shared" si="201"/>
        <v>0</v>
      </c>
      <c r="AC1849" s="60">
        <f t="shared" si="202"/>
        <v>0</v>
      </c>
    </row>
    <row r="1850" spans="1:29">
      <c r="A1850" s="83" t="str">
        <f t="shared" si="196"/>
        <v/>
      </c>
      <c r="B1850" s="83" t="str">
        <f t="shared" si="197"/>
        <v/>
      </c>
      <c r="U1850" s="83" t="str">
        <f t="shared" si="198"/>
        <v/>
      </c>
      <c r="V1850" s="83" t="str">
        <f t="shared" si="199"/>
        <v/>
      </c>
      <c r="AA1850" s="60">
        <f t="shared" si="200"/>
        <v>0</v>
      </c>
      <c r="AB1850" s="49">
        <f t="shared" si="201"/>
        <v>0</v>
      </c>
      <c r="AC1850" s="60">
        <f t="shared" si="202"/>
        <v>0</v>
      </c>
    </row>
    <row r="1851" spans="1:29">
      <c r="A1851" s="83" t="str">
        <f t="shared" si="196"/>
        <v/>
      </c>
      <c r="B1851" s="83" t="str">
        <f t="shared" si="197"/>
        <v/>
      </c>
      <c r="U1851" s="83" t="str">
        <f t="shared" si="198"/>
        <v/>
      </c>
      <c r="V1851" s="83" t="str">
        <f t="shared" si="199"/>
        <v/>
      </c>
      <c r="AA1851" s="60">
        <f t="shared" si="200"/>
        <v>0</v>
      </c>
      <c r="AB1851" s="49">
        <f t="shared" si="201"/>
        <v>0</v>
      </c>
      <c r="AC1851" s="60">
        <f t="shared" si="202"/>
        <v>0</v>
      </c>
    </row>
    <row r="1852" spans="1:29">
      <c r="A1852" s="83" t="str">
        <f t="shared" si="196"/>
        <v/>
      </c>
      <c r="B1852" s="83" t="str">
        <f t="shared" si="197"/>
        <v/>
      </c>
      <c r="U1852" s="83" t="str">
        <f t="shared" si="198"/>
        <v/>
      </c>
      <c r="V1852" s="83" t="str">
        <f t="shared" si="199"/>
        <v/>
      </c>
      <c r="AA1852" s="60">
        <f t="shared" si="200"/>
        <v>0</v>
      </c>
      <c r="AB1852" s="49">
        <f t="shared" si="201"/>
        <v>0</v>
      </c>
      <c r="AC1852" s="60">
        <f t="shared" si="202"/>
        <v>0</v>
      </c>
    </row>
    <row r="1853" spans="1:29">
      <c r="A1853" s="83" t="str">
        <f t="shared" si="196"/>
        <v/>
      </c>
      <c r="B1853" s="83" t="str">
        <f t="shared" si="197"/>
        <v/>
      </c>
      <c r="U1853" s="83" t="str">
        <f t="shared" si="198"/>
        <v/>
      </c>
      <c r="V1853" s="83" t="str">
        <f t="shared" si="199"/>
        <v/>
      </c>
      <c r="AA1853" s="60">
        <f t="shared" si="200"/>
        <v>0</v>
      </c>
      <c r="AB1853" s="49">
        <f t="shared" si="201"/>
        <v>0</v>
      </c>
      <c r="AC1853" s="60">
        <f t="shared" si="202"/>
        <v>0</v>
      </c>
    </row>
    <row r="1854" spans="1:29">
      <c r="A1854" s="83" t="str">
        <f t="shared" si="196"/>
        <v/>
      </c>
      <c r="B1854" s="83" t="str">
        <f t="shared" si="197"/>
        <v/>
      </c>
      <c r="U1854" s="83" t="str">
        <f t="shared" si="198"/>
        <v/>
      </c>
      <c r="V1854" s="83" t="str">
        <f t="shared" si="199"/>
        <v/>
      </c>
      <c r="AA1854" s="60">
        <f t="shared" si="200"/>
        <v>0</v>
      </c>
      <c r="AB1854" s="49">
        <f t="shared" si="201"/>
        <v>0</v>
      </c>
      <c r="AC1854" s="60">
        <f t="shared" si="202"/>
        <v>0</v>
      </c>
    </row>
    <row r="1855" spans="1:29">
      <c r="A1855" s="83" t="str">
        <f t="shared" si="196"/>
        <v/>
      </c>
      <c r="B1855" s="83" t="str">
        <f t="shared" si="197"/>
        <v/>
      </c>
      <c r="U1855" s="83" t="str">
        <f t="shared" si="198"/>
        <v/>
      </c>
      <c r="V1855" s="83" t="str">
        <f t="shared" si="199"/>
        <v/>
      </c>
      <c r="AA1855" s="60">
        <f t="shared" si="200"/>
        <v>0</v>
      </c>
      <c r="AB1855" s="49">
        <f t="shared" si="201"/>
        <v>0</v>
      </c>
      <c r="AC1855" s="60">
        <f t="shared" si="202"/>
        <v>0</v>
      </c>
    </row>
    <row r="1856" spans="1:29">
      <c r="A1856" s="83" t="str">
        <f t="shared" si="196"/>
        <v/>
      </c>
      <c r="B1856" s="83" t="str">
        <f t="shared" si="197"/>
        <v/>
      </c>
      <c r="U1856" s="83" t="str">
        <f t="shared" si="198"/>
        <v/>
      </c>
      <c r="V1856" s="83" t="str">
        <f t="shared" si="199"/>
        <v/>
      </c>
      <c r="AA1856" s="60">
        <f t="shared" si="200"/>
        <v>0</v>
      </c>
      <c r="AB1856" s="49">
        <f t="shared" si="201"/>
        <v>0</v>
      </c>
      <c r="AC1856" s="60">
        <f t="shared" si="202"/>
        <v>0</v>
      </c>
    </row>
    <row r="1857" spans="1:29">
      <c r="A1857" s="83" t="str">
        <f t="shared" si="196"/>
        <v/>
      </c>
      <c r="B1857" s="83" t="str">
        <f t="shared" si="197"/>
        <v/>
      </c>
      <c r="U1857" s="83" t="str">
        <f t="shared" si="198"/>
        <v/>
      </c>
      <c r="V1857" s="83" t="str">
        <f t="shared" si="199"/>
        <v/>
      </c>
      <c r="AA1857" s="60">
        <f t="shared" si="200"/>
        <v>0</v>
      </c>
      <c r="AB1857" s="49">
        <f t="shared" si="201"/>
        <v>0</v>
      </c>
      <c r="AC1857" s="60">
        <f t="shared" si="202"/>
        <v>0</v>
      </c>
    </row>
    <row r="1858" spans="1:29">
      <c r="A1858" s="83" t="str">
        <f t="shared" si="196"/>
        <v/>
      </c>
      <c r="B1858" s="83" t="str">
        <f t="shared" si="197"/>
        <v/>
      </c>
      <c r="U1858" s="83" t="str">
        <f t="shared" si="198"/>
        <v/>
      </c>
      <c r="V1858" s="83" t="str">
        <f t="shared" si="199"/>
        <v/>
      </c>
      <c r="AA1858" s="60">
        <f t="shared" si="200"/>
        <v>0</v>
      </c>
      <c r="AB1858" s="49">
        <f t="shared" si="201"/>
        <v>0</v>
      </c>
      <c r="AC1858" s="60">
        <f t="shared" si="202"/>
        <v>0</v>
      </c>
    </row>
    <row r="1859" spans="1:29">
      <c r="A1859" s="83" t="str">
        <f t="shared" ref="A1859:A1922" si="203">IF(G1859&amp;Q1859&lt;&gt;"",U1859&amp;Q1859,"")</f>
        <v/>
      </c>
      <c r="B1859" s="83" t="str">
        <f t="shared" ref="B1859:B1922" si="204">IF(C1859&lt;&gt;"",LEFT(C1859,9),"")</f>
        <v/>
      </c>
      <c r="U1859" s="83" t="str">
        <f t="shared" ref="U1859:U1922" si="205">IF(G1859&lt;&gt;"",IF(StyleSpaceSplit,IFERROR(IF(FIND(" ",G1859)&gt;=1,MID(G1859,1,FIND(" ",G1859)-1),G1859),G1859),G1859),"")</f>
        <v/>
      </c>
      <c r="V1859" s="83" t="str">
        <f t="shared" ref="V1859:V1922" si="206">IF(A1859&lt;&gt;"",IFERROR(IF(FIND(" ",G1859)&gt;=1,MID(G1859,FIND(" ",G1859)+1,LEN(G1859)),""),G1859),"")</f>
        <v/>
      </c>
      <c r="AA1859" s="60">
        <f t="shared" ref="AA1859:AA1922" si="207">IFERROR(VALUE(MID($C1859,1,2)),0)</f>
        <v>0</v>
      </c>
      <c r="AB1859" s="49">
        <f t="shared" ref="AB1859:AB1922" si="208">IFERROR(VALUE(MID($C1859,4,3)),0)</f>
        <v>0</v>
      </c>
      <c r="AC1859" s="60">
        <f t="shared" ref="AC1859:AC1922" si="209">VALUE(RIGHT("00"&amp;AA1859,2)&amp;RIGHT("000"&amp;AB1859,3))</f>
        <v>0</v>
      </c>
    </row>
    <row r="1860" spans="1:29">
      <c r="A1860" s="83" t="str">
        <f t="shared" si="203"/>
        <v/>
      </c>
      <c r="B1860" s="83" t="str">
        <f t="shared" si="204"/>
        <v/>
      </c>
      <c r="U1860" s="83" t="str">
        <f t="shared" si="205"/>
        <v/>
      </c>
      <c r="V1860" s="83" t="str">
        <f t="shared" si="206"/>
        <v/>
      </c>
      <c r="AA1860" s="60">
        <f t="shared" si="207"/>
        <v>0</v>
      </c>
      <c r="AB1860" s="49">
        <f t="shared" si="208"/>
        <v>0</v>
      </c>
      <c r="AC1860" s="60">
        <f t="shared" si="209"/>
        <v>0</v>
      </c>
    </row>
    <row r="1861" spans="1:29">
      <c r="A1861" s="83" t="str">
        <f t="shared" si="203"/>
        <v/>
      </c>
      <c r="B1861" s="83" t="str">
        <f t="shared" si="204"/>
        <v/>
      </c>
      <c r="U1861" s="83" t="str">
        <f t="shared" si="205"/>
        <v/>
      </c>
      <c r="V1861" s="83" t="str">
        <f t="shared" si="206"/>
        <v/>
      </c>
      <c r="AA1861" s="60">
        <f t="shared" si="207"/>
        <v>0</v>
      </c>
      <c r="AB1861" s="49">
        <f t="shared" si="208"/>
        <v>0</v>
      </c>
      <c r="AC1861" s="60">
        <f t="shared" si="209"/>
        <v>0</v>
      </c>
    </row>
    <row r="1862" spans="1:29">
      <c r="A1862" s="83" t="str">
        <f t="shared" si="203"/>
        <v/>
      </c>
      <c r="B1862" s="83" t="str">
        <f t="shared" si="204"/>
        <v/>
      </c>
      <c r="U1862" s="83" t="str">
        <f t="shared" si="205"/>
        <v/>
      </c>
      <c r="V1862" s="83" t="str">
        <f t="shared" si="206"/>
        <v/>
      </c>
      <c r="AA1862" s="60">
        <f t="shared" si="207"/>
        <v>0</v>
      </c>
      <c r="AB1862" s="49">
        <f t="shared" si="208"/>
        <v>0</v>
      </c>
      <c r="AC1862" s="60">
        <f t="shared" si="209"/>
        <v>0</v>
      </c>
    </row>
    <row r="1863" spans="1:29">
      <c r="A1863" s="83" t="str">
        <f t="shared" si="203"/>
        <v/>
      </c>
      <c r="B1863" s="83" t="str">
        <f t="shared" si="204"/>
        <v/>
      </c>
      <c r="U1863" s="83" t="str">
        <f t="shared" si="205"/>
        <v/>
      </c>
      <c r="V1863" s="83" t="str">
        <f t="shared" si="206"/>
        <v/>
      </c>
      <c r="AA1863" s="60">
        <f t="shared" si="207"/>
        <v>0</v>
      </c>
      <c r="AB1863" s="49">
        <f t="shared" si="208"/>
        <v>0</v>
      </c>
      <c r="AC1863" s="60">
        <f t="shared" si="209"/>
        <v>0</v>
      </c>
    </row>
    <row r="1864" spans="1:29">
      <c r="A1864" s="83" t="str">
        <f t="shared" si="203"/>
        <v/>
      </c>
      <c r="B1864" s="83" t="str">
        <f t="shared" si="204"/>
        <v/>
      </c>
      <c r="U1864" s="83" t="str">
        <f t="shared" si="205"/>
        <v/>
      </c>
      <c r="V1864" s="83" t="str">
        <f t="shared" si="206"/>
        <v/>
      </c>
      <c r="AA1864" s="60">
        <f t="shared" si="207"/>
        <v>0</v>
      </c>
      <c r="AB1864" s="49">
        <f t="shared" si="208"/>
        <v>0</v>
      </c>
      <c r="AC1864" s="60">
        <f t="shared" si="209"/>
        <v>0</v>
      </c>
    </row>
    <row r="1865" spans="1:29">
      <c r="A1865" s="83" t="str">
        <f t="shared" si="203"/>
        <v/>
      </c>
      <c r="B1865" s="83" t="str">
        <f t="shared" si="204"/>
        <v/>
      </c>
      <c r="U1865" s="83" t="str">
        <f t="shared" si="205"/>
        <v/>
      </c>
      <c r="V1865" s="83" t="str">
        <f t="shared" si="206"/>
        <v/>
      </c>
      <c r="AA1865" s="60">
        <f t="shared" si="207"/>
        <v>0</v>
      </c>
      <c r="AB1865" s="49">
        <f t="shared" si="208"/>
        <v>0</v>
      </c>
      <c r="AC1865" s="60">
        <f t="shared" si="209"/>
        <v>0</v>
      </c>
    </row>
    <row r="1866" spans="1:29">
      <c r="A1866" s="83" t="str">
        <f t="shared" si="203"/>
        <v/>
      </c>
      <c r="B1866" s="83" t="str">
        <f t="shared" si="204"/>
        <v/>
      </c>
      <c r="U1866" s="83" t="str">
        <f t="shared" si="205"/>
        <v/>
      </c>
      <c r="V1866" s="83" t="str">
        <f t="shared" si="206"/>
        <v/>
      </c>
      <c r="AA1866" s="60">
        <f t="shared" si="207"/>
        <v>0</v>
      </c>
      <c r="AB1866" s="49">
        <f t="shared" si="208"/>
        <v>0</v>
      </c>
      <c r="AC1866" s="60">
        <f t="shared" si="209"/>
        <v>0</v>
      </c>
    </row>
    <row r="1867" spans="1:29">
      <c r="A1867" s="83" t="str">
        <f t="shared" si="203"/>
        <v/>
      </c>
      <c r="B1867" s="83" t="str">
        <f t="shared" si="204"/>
        <v/>
      </c>
      <c r="U1867" s="83" t="str">
        <f t="shared" si="205"/>
        <v/>
      </c>
      <c r="V1867" s="83" t="str">
        <f t="shared" si="206"/>
        <v/>
      </c>
      <c r="AA1867" s="60">
        <f t="shared" si="207"/>
        <v>0</v>
      </c>
      <c r="AB1867" s="49">
        <f t="shared" si="208"/>
        <v>0</v>
      </c>
      <c r="AC1867" s="60">
        <f t="shared" si="209"/>
        <v>0</v>
      </c>
    </row>
    <row r="1868" spans="1:29">
      <c r="A1868" s="83" t="str">
        <f t="shared" si="203"/>
        <v/>
      </c>
      <c r="B1868" s="83" t="str">
        <f t="shared" si="204"/>
        <v/>
      </c>
      <c r="U1868" s="83" t="str">
        <f t="shared" si="205"/>
        <v/>
      </c>
      <c r="V1868" s="83" t="str">
        <f t="shared" si="206"/>
        <v/>
      </c>
      <c r="AA1868" s="60">
        <f t="shared" si="207"/>
        <v>0</v>
      </c>
      <c r="AB1868" s="49">
        <f t="shared" si="208"/>
        <v>0</v>
      </c>
      <c r="AC1868" s="60">
        <f t="shared" si="209"/>
        <v>0</v>
      </c>
    </row>
    <row r="1869" spans="1:29">
      <c r="A1869" s="83" t="str">
        <f t="shared" si="203"/>
        <v/>
      </c>
      <c r="B1869" s="83" t="str">
        <f t="shared" si="204"/>
        <v/>
      </c>
      <c r="U1869" s="83" t="str">
        <f t="shared" si="205"/>
        <v/>
      </c>
      <c r="V1869" s="83" t="str">
        <f t="shared" si="206"/>
        <v/>
      </c>
      <c r="AA1869" s="60">
        <f t="shared" si="207"/>
        <v>0</v>
      </c>
      <c r="AB1869" s="49">
        <f t="shared" si="208"/>
        <v>0</v>
      </c>
      <c r="AC1869" s="60">
        <f t="shared" si="209"/>
        <v>0</v>
      </c>
    </row>
    <row r="1870" spans="1:29">
      <c r="A1870" s="83" t="str">
        <f t="shared" si="203"/>
        <v/>
      </c>
      <c r="B1870" s="83" t="str">
        <f t="shared" si="204"/>
        <v/>
      </c>
      <c r="U1870" s="83" t="str">
        <f t="shared" si="205"/>
        <v/>
      </c>
      <c r="V1870" s="83" t="str">
        <f t="shared" si="206"/>
        <v/>
      </c>
      <c r="AA1870" s="60">
        <f t="shared" si="207"/>
        <v>0</v>
      </c>
      <c r="AB1870" s="49">
        <f t="shared" si="208"/>
        <v>0</v>
      </c>
      <c r="AC1870" s="60">
        <f t="shared" si="209"/>
        <v>0</v>
      </c>
    </row>
    <row r="1871" spans="1:29">
      <c r="A1871" s="83" t="str">
        <f t="shared" si="203"/>
        <v/>
      </c>
      <c r="B1871" s="83" t="str">
        <f t="shared" si="204"/>
        <v/>
      </c>
      <c r="U1871" s="83" t="str">
        <f t="shared" si="205"/>
        <v/>
      </c>
      <c r="V1871" s="83" t="str">
        <f t="shared" si="206"/>
        <v/>
      </c>
      <c r="AA1871" s="60">
        <f t="shared" si="207"/>
        <v>0</v>
      </c>
      <c r="AB1871" s="49">
        <f t="shared" si="208"/>
        <v>0</v>
      </c>
      <c r="AC1871" s="60">
        <f t="shared" si="209"/>
        <v>0</v>
      </c>
    </row>
    <row r="1872" spans="1:29">
      <c r="A1872" s="83" t="str">
        <f t="shared" si="203"/>
        <v/>
      </c>
      <c r="B1872" s="83" t="str">
        <f t="shared" si="204"/>
        <v/>
      </c>
      <c r="U1872" s="83" t="str">
        <f t="shared" si="205"/>
        <v/>
      </c>
      <c r="V1872" s="83" t="str">
        <f t="shared" si="206"/>
        <v/>
      </c>
      <c r="AA1872" s="60">
        <f t="shared" si="207"/>
        <v>0</v>
      </c>
      <c r="AB1872" s="49">
        <f t="shared" si="208"/>
        <v>0</v>
      </c>
      <c r="AC1872" s="60">
        <f t="shared" si="209"/>
        <v>0</v>
      </c>
    </row>
    <row r="1873" spans="1:29">
      <c r="A1873" s="83" t="str">
        <f t="shared" si="203"/>
        <v/>
      </c>
      <c r="B1873" s="83" t="str">
        <f t="shared" si="204"/>
        <v/>
      </c>
      <c r="U1873" s="83" t="str">
        <f t="shared" si="205"/>
        <v/>
      </c>
      <c r="V1873" s="83" t="str">
        <f t="shared" si="206"/>
        <v/>
      </c>
      <c r="AA1873" s="60">
        <f t="shared" si="207"/>
        <v>0</v>
      </c>
      <c r="AB1873" s="49">
        <f t="shared" si="208"/>
        <v>0</v>
      </c>
      <c r="AC1873" s="60">
        <f t="shared" si="209"/>
        <v>0</v>
      </c>
    </row>
    <row r="1874" spans="1:29">
      <c r="A1874" s="83" t="str">
        <f t="shared" si="203"/>
        <v/>
      </c>
      <c r="B1874" s="83" t="str">
        <f t="shared" si="204"/>
        <v/>
      </c>
      <c r="U1874" s="83" t="str">
        <f t="shared" si="205"/>
        <v/>
      </c>
      <c r="V1874" s="83" t="str">
        <f t="shared" si="206"/>
        <v/>
      </c>
      <c r="AA1874" s="60">
        <f t="shared" si="207"/>
        <v>0</v>
      </c>
      <c r="AB1874" s="49">
        <f t="shared" si="208"/>
        <v>0</v>
      </c>
      <c r="AC1874" s="60">
        <f t="shared" si="209"/>
        <v>0</v>
      </c>
    </row>
    <row r="1875" spans="1:29">
      <c r="A1875" s="83" t="str">
        <f t="shared" si="203"/>
        <v/>
      </c>
      <c r="B1875" s="83" t="str">
        <f t="shared" si="204"/>
        <v/>
      </c>
      <c r="U1875" s="83" t="str">
        <f t="shared" si="205"/>
        <v/>
      </c>
      <c r="V1875" s="83" t="str">
        <f t="shared" si="206"/>
        <v/>
      </c>
      <c r="AA1875" s="60">
        <f t="shared" si="207"/>
        <v>0</v>
      </c>
      <c r="AB1875" s="49">
        <f t="shared" si="208"/>
        <v>0</v>
      </c>
      <c r="AC1875" s="60">
        <f t="shared" si="209"/>
        <v>0</v>
      </c>
    </row>
    <row r="1876" spans="1:29">
      <c r="A1876" s="83" t="str">
        <f t="shared" si="203"/>
        <v/>
      </c>
      <c r="B1876" s="83" t="str">
        <f t="shared" si="204"/>
        <v/>
      </c>
      <c r="U1876" s="83" t="str">
        <f t="shared" si="205"/>
        <v/>
      </c>
      <c r="V1876" s="83" t="str">
        <f t="shared" si="206"/>
        <v/>
      </c>
      <c r="AA1876" s="60">
        <f t="shared" si="207"/>
        <v>0</v>
      </c>
      <c r="AB1876" s="49">
        <f t="shared" si="208"/>
        <v>0</v>
      </c>
      <c r="AC1876" s="60">
        <f t="shared" si="209"/>
        <v>0</v>
      </c>
    </row>
    <row r="1877" spans="1:29">
      <c r="A1877" s="83" t="str">
        <f t="shared" si="203"/>
        <v/>
      </c>
      <c r="B1877" s="83" t="str">
        <f t="shared" si="204"/>
        <v/>
      </c>
      <c r="U1877" s="83" t="str">
        <f t="shared" si="205"/>
        <v/>
      </c>
      <c r="V1877" s="83" t="str">
        <f t="shared" si="206"/>
        <v/>
      </c>
      <c r="AA1877" s="60">
        <f t="shared" si="207"/>
        <v>0</v>
      </c>
      <c r="AB1877" s="49">
        <f t="shared" si="208"/>
        <v>0</v>
      </c>
      <c r="AC1877" s="60">
        <f t="shared" si="209"/>
        <v>0</v>
      </c>
    </row>
    <row r="1878" spans="1:29">
      <c r="A1878" s="83" t="str">
        <f t="shared" si="203"/>
        <v/>
      </c>
      <c r="B1878" s="83" t="str">
        <f t="shared" si="204"/>
        <v/>
      </c>
      <c r="U1878" s="83" t="str">
        <f t="shared" si="205"/>
        <v/>
      </c>
      <c r="V1878" s="83" t="str">
        <f t="shared" si="206"/>
        <v/>
      </c>
      <c r="AA1878" s="60">
        <f t="shared" si="207"/>
        <v>0</v>
      </c>
      <c r="AB1878" s="49">
        <f t="shared" si="208"/>
        <v>0</v>
      </c>
      <c r="AC1878" s="60">
        <f t="shared" si="209"/>
        <v>0</v>
      </c>
    </row>
    <row r="1879" spans="1:29">
      <c r="A1879" s="83" t="str">
        <f t="shared" si="203"/>
        <v/>
      </c>
      <c r="B1879" s="83" t="str">
        <f t="shared" si="204"/>
        <v/>
      </c>
      <c r="U1879" s="83" t="str">
        <f t="shared" si="205"/>
        <v/>
      </c>
      <c r="V1879" s="83" t="str">
        <f t="shared" si="206"/>
        <v/>
      </c>
      <c r="AA1879" s="60">
        <f t="shared" si="207"/>
        <v>0</v>
      </c>
      <c r="AB1879" s="49">
        <f t="shared" si="208"/>
        <v>0</v>
      </c>
      <c r="AC1879" s="60">
        <f t="shared" si="209"/>
        <v>0</v>
      </c>
    </row>
    <row r="1880" spans="1:29">
      <c r="A1880" s="83" t="str">
        <f t="shared" si="203"/>
        <v/>
      </c>
      <c r="B1880" s="83" t="str">
        <f t="shared" si="204"/>
        <v/>
      </c>
      <c r="U1880" s="83" t="str">
        <f t="shared" si="205"/>
        <v/>
      </c>
      <c r="V1880" s="83" t="str">
        <f t="shared" si="206"/>
        <v/>
      </c>
      <c r="AA1880" s="60">
        <f t="shared" si="207"/>
        <v>0</v>
      </c>
      <c r="AB1880" s="49">
        <f t="shared" si="208"/>
        <v>0</v>
      </c>
      <c r="AC1880" s="60">
        <f t="shared" si="209"/>
        <v>0</v>
      </c>
    </row>
    <row r="1881" spans="1:29">
      <c r="A1881" s="83" t="str">
        <f t="shared" si="203"/>
        <v/>
      </c>
      <c r="B1881" s="83" t="str">
        <f t="shared" si="204"/>
        <v/>
      </c>
      <c r="U1881" s="83" t="str">
        <f t="shared" si="205"/>
        <v/>
      </c>
      <c r="V1881" s="83" t="str">
        <f t="shared" si="206"/>
        <v/>
      </c>
      <c r="AA1881" s="60">
        <f t="shared" si="207"/>
        <v>0</v>
      </c>
      <c r="AB1881" s="49">
        <f t="shared" si="208"/>
        <v>0</v>
      </c>
      <c r="AC1881" s="60">
        <f t="shared" si="209"/>
        <v>0</v>
      </c>
    </row>
    <row r="1882" spans="1:29">
      <c r="A1882" s="83" t="str">
        <f t="shared" si="203"/>
        <v/>
      </c>
      <c r="B1882" s="83" t="str">
        <f t="shared" si="204"/>
        <v/>
      </c>
      <c r="U1882" s="83" t="str">
        <f t="shared" si="205"/>
        <v/>
      </c>
      <c r="V1882" s="83" t="str">
        <f t="shared" si="206"/>
        <v/>
      </c>
      <c r="AA1882" s="60">
        <f t="shared" si="207"/>
        <v>0</v>
      </c>
      <c r="AB1882" s="49">
        <f t="shared" si="208"/>
        <v>0</v>
      </c>
      <c r="AC1882" s="60">
        <f t="shared" si="209"/>
        <v>0</v>
      </c>
    </row>
    <row r="1883" spans="1:29">
      <c r="A1883" s="83" t="str">
        <f t="shared" si="203"/>
        <v/>
      </c>
      <c r="B1883" s="83" t="str">
        <f t="shared" si="204"/>
        <v/>
      </c>
      <c r="U1883" s="83" t="str">
        <f t="shared" si="205"/>
        <v/>
      </c>
      <c r="V1883" s="83" t="str">
        <f t="shared" si="206"/>
        <v/>
      </c>
      <c r="AA1883" s="60">
        <f t="shared" si="207"/>
        <v>0</v>
      </c>
      <c r="AB1883" s="49">
        <f t="shared" si="208"/>
        <v>0</v>
      </c>
      <c r="AC1883" s="60">
        <f t="shared" si="209"/>
        <v>0</v>
      </c>
    </row>
    <row r="1884" spans="1:29">
      <c r="A1884" s="83" t="str">
        <f t="shared" si="203"/>
        <v/>
      </c>
      <c r="B1884" s="83" t="str">
        <f t="shared" si="204"/>
        <v/>
      </c>
      <c r="U1884" s="83" t="str">
        <f t="shared" si="205"/>
        <v/>
      </c>
      <c r="V1884" s="83" t="str">
        <f t="shared" si="206"/>
        <v/>
      </c>
      <c r="AA1884" s="60">
        <f t="shared" si="207"/>
        <v>0</v>
      </c>
      <c r="AB1884" s="49">
        <f t="shared" si="208"/>
        <v>0</v>
      </c>
      <c r="AC1884" s="60">
        <f t="shared" si="209"/>
        <v>0</v>
      </c>
    </row>
    <row r="1885" spans="1:29">
      <c r="A1885" s="83" t="str">
        <f t="shared" si="203"/>
        <v/>
      </c>
      <c r="B1885" s="83" t="str">
        <f t="shared" si="204"/>
        <v/>
      </c>
      <c r="U1885" s="83" t="str">
        <f t="shared" si="205"/>
        <v/>
      </c>
      <c r="V1885" s="83" t="str">
        <f t="shared" si="206"/>
        <v/>
      </c>
      <c r="AA1885" s="60">
        <f t="shared" si="207"/>
        <v>0</v>
      </c>
      <c r="AB1885" s="49">
        <f t="shared" si="208"/>
        <v>0</v>
      </c>
      <c r="AC1885" s="60">
        <f t="shared" si="209"/>
        <v>0</v>
      </c>
    </row>
    <row r="1886" spans="1:29">
      <c r="A1886" s="83" t="str">
        <f t="shared" si="203"/>
        <v/>
      </c>
      <c r="B1886" s="83" t="str">
        <f t="shared" si="204"/>
        <v/>
      </c>
      <c r="U1886" s="83" t="str">
        <f t="shared" si="205"/>
        <v/>
      </c>
      <c r="V1886" s="83" t="str">
        <f t="shared" si="206"/>
        <v/>
      </c>
      <c r="AA1886" s="60">
        <f t="shared" si="207"/>
        <v>0</v>
      </c>
      <c r="AB1886" s="49">
        <f t="shared" si="208"/>
        <v>0</v>
      </c>
      <c r="AC1886" s="60">
        <f t="shared" si="209"/>
        <v>0</v>
      </c>
    </row>
    <row r="1887" spans="1:29">
      <c r="A1887" s="83" t="str">
        <f t="shared" si="203"/>
        <v/>
      </c>
      <c r="B1887" s="83" t="str">
        <f t="shared" si="204"/>
        <v/>
      </c>
      <c r="U1887" s="83" t="str">
        <f t="shared" si="205"/>
        <v/>
      </c>
      <c r="V1887" s="83" t="str">
        <f t="shared" si="206"/>
        <v/>
      </c>
      <c r="AA1887" s="60">
        <f t="shared" si="207"/>
        <v>0</v>
      </c>
      <c r="AB1887" s="49">
        <f t="shared" si="208"/>
        <v>0</v>
      </c>
      <c r="AC1887" s="60">
        <f t="shared" si="209"/>
        <v>0</v>
      </c>
    </row>
    <row r="1888" spans="1:29">
      <c r="A1888" s="83" t="str">
        <f t="shared" si="203"/>
        <v/>
      </c>
      <c r="B1888" s="83" t="str">
        <f t="shared" si="204"/>
        <v/>
      </c>
      <c r="U1888" s="83" t="str">
        <f t="shared" si="205"/>
        <v/>
      </c>
      <c r="V1888" s="83" t="str">
        <f t="shared" si="206"/>
        <v/>
      </c>
      <c r="AA1888" s="60">
        <f t="shared" si="207"/>
        <v>0</v>
      </c>
      <c r="AB1888" s="49">
        <f t="shared" si="208"/>
        <v>0</v>
      </c>
      <c r="AC1888" s="60">
        <f t="shared" si="209"/>
        <v>0</v>
      </c>
    </row>
    <row r="1889" spans="1:29">
      <c r="A1889" s="83" t="str">
        <f t="shared" si="203"/>
        <v/>
      </c>
      <c r="B1889" s="83" t="str">
        <f t="shared" si="204"/>
        <v/>
      </c>
      <c r="U1889" s="83" t="str">
        <f t="shared" si="205"/>
        <v/>
      </c>
      <c r="V1889" s="83" t="str">
        <f t="shared" si="206"/>
        <v/>
      </c>
      <c r="AA1889" s="60">
        <f t="shared" si="207"/>
        <v>0</v>
      </c>
      <c r="AB1889" s="49">
        <f t="shared" si="208"/>
        <v>0</v>
      </c>
      <c r="AC1889" s="60">
        <f t="shared" si="209"/>
        <v>0</v>
      </c>
    </row>
    <row r="1890" spans="1:29">
      <c r="A1890" s="83" t="str">
        <f t="shared" si="203"/>
        <v/>
      </c>
      <c r="B1890" s="83" t="str">
        <f t="shared" si="204"/>
        <v/>
      </c>
      <c r="U1890" s="83" t="str">
        <f t="shared" si="205"/>
        <v/>
      </c>
      <c r="V1890" s="83" t="str">
        <f t="shared" si="206"/>
        <v/>
      </c>
      <c r="AA1890" s="60">
        <f t="shared" si="207"/>
        <v>0</v>
      </c>
      <c r="AB1890" s="49">
        <f t="shared" si="208"/>
        <v>0</v>
      </c>
      <c r="AC1890" s="60">
        <f t="shared" si="209"/>
        <v>0</v>
      </c>
    </row>
    <row r="1891" spans="1:29">
      <c r="A1891" s="83" t="str">
        <f t="shared" si="203"/>
        <v/>
      </c>
      <c r="B1891" s="83" t="str">
        <f t="shared" si="204"/>
        <v/>
      </c>
      <c r="U1891" s="83" t="str">
        <f t="shared" si="205"/>
        <v/>
      </c>
      <c r="V1891" s="83" t="str">
        <f t="shared" si="206"/>
        <v/>
      </c>
      <c r="AA1891" s="60">
        <f t="shared" si="207"/>
        <v>0</v>
      </c>
      <c r="AB1891" s="49">
        <f t="shared" si="208"/>
        <v>0</v>
      </c>
      <c r="AC1891" s="60">
        <f t="shared" si="209"/>
        <v>0</v>
      </c>
    </row>
    <row r="1892" spans="1:29">
      <c r="A1892" s="83" t="str">
        <f t="shared" si="203"/>
        <v/>
      </c>
      <c r="B1892" s="83" t="str">
        <f t="shared" si="204"/>
        <v/>
      </c>
      <c r="U1892" s="83" t="str">
        <f t="shared" si="205"/>
        <v/>
      </c>
      <c r="V1892" s="83" t="str">
        <f t="shared" si="206"/>
        <v/>
      </c>
      <c r="AA1892" s="60">
        <f t="shared" si="207"/>
        <v>0</v>
      </c>
      <c r="AB1892" s="49">
        <f t="shared" si="208"/>
        <v>0</v>
      </c>
      <c r="AC1892" s="60">
        <f t="shared" si="209"/>
        <v>0</v>
      </c>
    </row>
    <row r="1893" spans="1:29">
      <c r="A1893" s="83" t="str">
        <f t="shared" si="203"/>
        <v/>
      </c>
      <c r="B1893" s="83" t="str">
        <f t="shared" si="204"/>
        <v/>
      </c>
      <c r="U1893" s="83" t="str">
        <f t="shared" si="205"/>
        <v/>
      </c>
      <c r="V1893" s="83" t="str">
        <f t="shared" si="206"/>
        <v/>
      </c>
      <c r="AA1893" s="60">
        <f t="shared" si="207"/>
        <v>0</v>
      </c>
      <c r="AB1893" s="49">
        <f t="shared" si="208"/>
        <v>0</v>
      </c>
      <c r="AC1893" s="60">
        <f t="shared" si="209"/>
        <v>0</v>
      </c>
    </row>
    <row r="1894" spans="1:29">
      <c r="A1894" s="83" t="str">
        <f t="shared" si="203"/>
        <v/>
      </c>
      <c r="B1894" s="83" t="str">
        <f t="shared" si="204"/>
        <v/>
      </c>
      <c r="U1894" s="83" t="str">
        <f t="shared" si="205"/>
        <v/>
      </c>
      <c r="V1894" s="83" t="str">
        <f t="shared" si="206"/>
        <v/>
      </c>
      <c r="AA1894" s="60">
        <f t="shared" si="207"/>
        <v>0</v>
      </c>
      <c r="AB1894" s="49">
        <f t="shared" si="208"/>
        <v>0</v>
      </c>
      <c r="AC1894" s="60">
        <f t="shared" si="209"/>
        <v>0</v>
      </c>
    </row>
    <row r="1895" spans="1:29">
      <c r="A1895" s="83" t="str">
        <f t="shared" si="203"/>
        <v/>
      </c>
      <c r="B1895" s="83" t="str">
        <f t="shared" si="204"/>
        <v/>
      </c>
      <c r="U1895" s="83" t="str">
        <f t="shared" si="205"/>
        <v/>
      </c>
      <c r="V1895" s="83" t="str">
        <f t="shared" si="206"/>
        <v/>
      </c>
      <c r="AA1895" s="60">
        <f t="shared" si="207"/>
        <v>0</v>
      </c>
      <c r="AB1895" s="49">
        <f t="shared" si="208"/>
        <v>0</v>
      </c>
      <c r="AC1895" s="60">
        <f t="shared" si="209"/>
        <v>0</v>
      </c>
    </row>
    <row r="1896" spans="1:29">
      <c r="A1896" s="83" t="str">
        <f t="shared" si="203"/>
        <v/>
      </c>
      <c r="B1896" s="83" t="str">
        <f t="shared" si="204"/>
        <v/>
      </c>
      <c r="U1896" s="83" t="str">
        <f t="shared" si="205"/>
        <v/>
      </c>
      <c r="V1896" s="83" t="str">
        <f t="shared" si="206"/>
        <v/>
      </c>
      <c r="AA1896" s="60">
        <f t="shared" si="207"/>
        <v>0</v>
      </c>
      <c r="AB1896" s="49">
        <f t="shared" si="208"/>
        <v>0</v>
      </c>
      <c r="AC1896" s="60">
        <f t="shared" si="209"/>
        <v>0</v>
      </c>
    </row>
    <row r="1897" spans="1:29">
      <c r="A1897" s="83" t="str">
        <f t="shared" si="203"/>
        <v/>
      </c>
      <c r="B1897" s="83" t="str">
        <f t="shared" si="204"/>
        <v/>
      </c>
      <c r="U1897" s="83" t="str">
        <f t="shared" si="205"/>
        <v/>
      </c>
      <c r="V1897" s="83" t="str">
        <f t="shared" si="206"/>
        <v/>
      </c>
      <c r="AA1897" s="60">
        <f t="shared" si="207"/>
        <v>0</v>
      </c>
      <c r="AB1897" s="49">
        <f t="shared" si="208"/>
        <v>0</v>
      </c>
      <c r="AC1897" s="60">
        <f t="shared" si="209"/>
        <v>0</v>
      </c>
    </row>
    <row r="1898" spans="1:29">
      <c r="A1898" s="83" t="str">
        <f t="shared" si="203"/>
        <v/>
      </c>
      <c r="B1898" s="83" t="str">
        <f t="shared" si="204"/>
        <v/>
      </c>
      <c r="U1898" s="83" t="str">
        <f t="shared" si="205"/>
        <v/>
      </c>
      <c r="V1898" s="83" t="str">
        <f t="shared" si="206"/>
        <v/>
      </c>
      <c r="AA1898" s="60">
        <f t="shared" si="207"/>
        <v>0</v>
      </c>
      <c r="AB1898" s="49">
        <f t="shared" si="208"/>
        <v>0</v>
      </c>
      <c r="AC1898" s="60">
        <f t="shared" si="209"/>
        <v>0</v>
      </c>
    </row>
    <row r="1899" spans="1:29">
      <c r="A1899" s="83" t="str">
        <f t="shared" si="203"/>
        <v/>
      </c>
      <c r="B1899" s="83" t="str">
        <f t="shared" si="204"/>
        <v/>
      </c>
      <c r="U1899" s="83" t="str">
        <f t="shared" si="205"/>
        <v/>
      </c>
      <c r="V1899" s="83" t="str">
        <f t="shared" si="206"/>
        <v/>
      </c>
      <c r="AA1899" s="60">
        <f t="shared" si="207"/>
        <v>0</v>
      </c>
      <c r="AB1899" s="49">
        <f t="shared" si="208"/>
        <v>0</v>
      </c>
      <c r="AC1899" s="60">
        <f t="shared" si="209"/>
        <v>0</v>
      </c>
    </row>
    <row r="1900" spans="1:29">
      <c r="A1900" s="83" t="str">
        <f t="shared" si="203"/>
        <v/>
      </c>
      <c r="B1900" s="83" t="str">
        <f t="shared" si="204"/>
        <v/>
      </c>
      <c r="U1900" s="83" t="str">
        <f t="shared" si="205"/>
        <v/>
      </c>
      <c r="V1900" s="83" t="str">
        <f t="shared" si="206"/>
        <v/>
      </c>
      <c r="AA1900" s="60">
        <f t="shared" si="207"/>
        <v>0</v>
      </c>
      <c r="AB1900" s="49">
        <f t="shared" si="208"/>
        <v>0</v>
      </c>
      <c r="AC1900" s="60">
        <f t="shared" si="209"/>
        <v>0</v>
      </c>
    </row>
    <row r="1901" spans="1:29">
      <c r="A1901" s="83" t="str">
        <f t="shared" si="203"/>
        <v/>
      </c>
      <c r="B1901" s="83" t="str">
        <f t="shared" si="204"/>
        <v/>
      </c>
      <c r="U1901" s="83" t="str">
        <f t="shared" si="205"/>
        <v/>
      </c>
      <c r="V1901" s="83" t="str">
        <f t="shared" si="206"/>
        <v/>
      </c>
      <c r="AA1901" s="60">
        <f t="shared" si="207"/>
        <v>0</v>
      </c>
      <c r="AB1901" s="49">
        <f t="shared" si="208"/>
        <v>0</v>
      </c>
      <c r="AC1901" s="60">
        <f t="shared" si="209"/>
        <v>0</v>
      </c>
    </row>
    <row r="1902" spans="1:29">
      <c r="A1902" s="83" t="str">
        <f t="shared" si="203"/>
        <v/>
      </c>
      <c r="B1902" s="83" t="str">
        <f t="shared" si="204"/>
        <v/>
      </c>
      <c r="U1902" s="83" t="str">
        <f t="shared" si="205"/>
        <v/>
      </c>
      <c r="V1902" s="83" t="str">
        <f t="shared" si="206"/>
        <v/>
      </c>
      <c r="AA1902" s="60">
        <f t="shared" si="207"/>
        <v>0</v>
      </c>
      <c r="AB1902" s="49">
        <f t="shared" si="208"/>
        <v>0</v>
      </c>
      <c r="AC1902" s="60">
        <f t="shared" si="209"/>
        <v>0</v>
      </c>
    </row>
    <row r="1903" spans="1:29">
      <c r="A1903" s="83" t="str">
        <f t="shared" si="203"/>
        <v/>
      </c>
      <c r="B1903" s="83" t="str">
        <f t="shared" si="204"/>
        <v/>
      </c>
      <c r="U1903" s="83" t="str">
        <f t="shared" si="205"/>
        <v/>
      </c>
      <c r="V1903" s="83" t="str">
        <f t="shared" si="206"/>
        <v/>
      </c>
      <c r="AA1903" s="60">
        <f t="shared" si="207"/>
        <v>0</v>
      </c>
      <c r="AB1903" s="49">
        <f t="shared" si="208"/>
        <v>0</v>
      </c>
      <c r="AC1903" s="60">
        <f t="shared" si="209"/>
        <v>0</v>
      </c>
    </row>
    <row r="1904" spans="1:29">
      <c r="A1904" s="83" t="str">
        <f t="shared" si="203"/>
        <v/>
      </c>
      <c r="B1904" s="83" t="str">
        <f t="shared" si="204"/>
        <v/>
      </c>
      <c r="U1904" s="83" t="str">
        <f t="shared" si="205"/>
        <v/>
      </c>
      <c r="V1904" s="83" t="str">
        <f t="shared" si="206"/>
        <v/>
      </c>
      <c r="AA1904" s="60">
        <f t="shared" si="207"/>
        <v>0</v>
      </c>
      <c r="AB1904" s="49">
        <f t="shared" si="208"/>
        <v>0</v>
      </c>
      <c r="AC1904" s="60">
        <f t="shared" si="209"/>
        <v>0</v>
      </c>
    </row>
    <row r="1905" spans="1:29">
      <c r="A1905" s="83" t="str">
        <f t="shared" si="203"/>
        <v/>
      </c>
      <c r="B1905" s="83" t="str">
        <f t="shared" si="204"/>
        <v/>
      </c>
      <c r="U1905" s="83" t="str">
        <f t="shared" si="205"/>
        <v/>
      </c>
      <c r="V1905" s="83" t="str">
        <f t="shared" si="206"/>
        <v/>
      </c>
      <c r="AA1905" s="60">
        <f t="shared" si="207"/>
        <v>0</v>
      </c>
      <c r="AB1905" s="49">
        <f t="shared" si="208"/>
        <v>0</v>
      </c>
      <c r="AC1905" s="60">
        <f t="shared" si="209"/>
        <v>0</v>
      </c>
    </row>
    <row r="1906" spans="1:29">
      <c r="A1906" s="83" t="str">
        <f t="shared" si="203"/>
        <v/>
      </c>
      <c r="B1906" s="83" t="str">
        <f t="shared" si="204"/>
        <v/>
      </c>
      <c r="U1906" s="83" t="str">
        <f t="shared" si="205"/>
        <v/>
      </c>
      <c r="V1906" s="83" t="str">
        <f t="shared" si="206"/>
        <v/>
      </c>
      <c r="AA1906" s="60">
        <f t="shared" si="207"/>
        <v>0</v>
      </c>
      <c r="AB1906" s="49">
        <f t="shared" si="208"/>
        <v>0</v>
      </c>
      <c r="AC1906" s="60">
        <f t="shared" si="209"/>
        <v>0</v>
      </c>
    </row>
    <row r="1907" spans="1:29">
      <c r="A1907" s="83" t="str">
        <f t="shared" si="203"/>
        <v/>
      </c>
      <c r="B1907" s="83" t="str">
        <f t="shared" si="204"/>
        <v/>
      </c>
      <c r="U1907" s="83" t="str">
        <f t="shared" si="205"/>
        <v/>
      </c>
      <c r="V1907" s="83" t="str">
        <f t="shared" si="206"/>
        <v/>
      </c>
      <c r="AA1907" s="60">
        <f t="shared" si="207"/>
        <v>0</v>
      </c>
      <c r="AB1907" s="49">
        <f t="shared" si="208"/>
        <v>0</v>
      </c>
      <c r="AC1907" s="60">
        <f t="shared" si="209"/>
        <v>0</v>
      </c>
    </row>
    <row r="1908" spans="1:29">
      <c r="A1908" s="83" t="str">
        <f t="shared" si="203"/>
        <v/>
      </c>
      <c r="B1908" s="83" t="str">
        <f t="shared" si="204"/>
        <v/>
      </c>
      <c r="U1908" s="83" t="str">
        <f t="shared" si="205"/>
        <v/>
      </c>
      <c r="V1908" s="83" t="str">
        <f t="shared" si="206"/>
        <v/>
      </c>
      <c r="AA1908" s="60">
        <f t="shared" si="207"/>
        <v>0</v>
      </c>
      <c r="AB1908" s="49">
        <f t="shared" si="208"/>
        <v>0</v>
      </c>
      <c r="AC1908" s="60">
        <f t="shared" si="209"/>
        <v>0</v>
      </c>
    </row>
    <row r="1909" spans="1:29">
      <c r="A1909" s="83" t="str">
        <f t="shared" si="203"/>
        <v/>
      </c>
      <c r="B1909" s="83" t="str">
        <f t="shared" si="204"/>
        <v/>
      </c>
      <c r="U1909" s="83" t="str">
        <f t="shared" si="205"/>
        <v/>
      </c>
      <c r="V1909" s="83" t="str">
        <f t="shared" si="206"/>
        <v/>
      </c>
      <c r="AA1909" s="60">
        <f t="shared" si="207"/>
        <v>0</v>
      </c>
      <c r="AB1909" s="49">
        <f t="shared" si="208"/>
        <v>0</v>
      </c>
      <c r="AC1909" s="60">
        <f t="shared" si="209"/>
        <v>0</v>
      </c>
    </row>
    <row r="1910" spans="1:29">
      <c r="A1910" s="83" t="str">
        <f t="shared" si="203"/>
        <v/>
      </c>
      <c r="B1910" s="83" t="str">
        <f t="shared" si="204"/>
        <v/>
      </c>
      <c r="U1910" s="83" t="str">
        <f t="shared" si="205"/>
        <v/>
      </c>
      <c r="V1910" s="83" t="str">
        <f t="shared" si="206"/>
        <v/>
      </c>
      <c r="AA1910" s="60">
        <f t="shared" si="207"/>
        <v>0</v>
      </c>
      <c r="AB1910" s="49">
        <f t="shared" si="208"/>
        <v>0</v>
      </c>
      <c r="AC1910" s="60">
        <f t="shared" si="209"/>
        <v>0</v>
      </c>
    </row>
    <row r="1911" spans="1:29">
      <c r="A1911" s="83" t="str">
        <f t="shared" si="203"/>
        <v/>
      </c>
      <c r="B1911" s="83" t="str">
        <f t="shared" si="204"/>
        <v/>
      </c>
      <c r="U1911" s="83" t="str">
        <f t="shared" si="205"/>
        <v/>
      </c>
      <c r="V1911" s="83" t="str">
        <f t="shared" si="206"/>
        <v/>
      </c>
      <c r="AA1911" s="60">
        <f t="shared" si="207"/>
        <v>0</v>
      </c>
      <c r="AB1911" s="49">
        <f t="shared" si="208"/>
        <v>0</v>
      </c>
      <c r="AC1911" s="60">
        <f t="shared" si="209"/>
        <v>0</v>
      </c>
    </row>
    <row r="1912" spans="1:29">
      <c r="A1912" s="83" t="str">
        <f t="shared" si="203"/>
        <v/>
      </c>
      <c r="B1912" s="83" t="str">
        <f t="shared" si="204"/>
        <v/>
      </c>
      <c r="U1912" s="83" t="str">
        <f t="shared" si="205"/>
        <v/>
      </c>
      <c r="V1912" s="83" t="str">
        <f t="shared" si="206"/>
        <v/>
      </c>
      <c r="AA1912" s="60">
        <f t="shared" si="207"/>
        <v>0</v>
      </c>
      <c r="AB1912" s="49">
        <f t="shared" si="208"/>
        <v>0</v>
      </c>
      <c r="AC1912" s="60">
        <f t="shared" si="209"/>
        <v>0</v>
      </c>
    </row>
    <row r="1913" spans="1:29">
      <c r="A1913" s="83" t="str">
        <f t="shared" si="203"/>
        <v/>
      </c>
      <c r="B1913" s="83" t="str">
        <f t="shared" si="204"/>
        <v/>
      </c>
      <c r="U1913" s="83" t="str">
        <f t="shared" si="205"/>
        <v/>
      </c>
      <c r="V1913" s="83" t="str">
        <f t="shared" si="206"/>
        <v/>
      </c>
      <c r="AA1913" s="60">
        <f t="shared" si="207"/>
        <v>0</v>
      </c>
      <c r="AB1913" s="49">
        <f t="shared" si="208"/>
        <v>0</v>
      </c>
      <c r="AC1913" s="60">
        <f t="shared" si="209"/>
        <v>0</v>
      </c>
    </row>
    <row r="1914" spans="1:29">
      <c r="A1914" s="83" t="str">
        <f t="shared" si="203"/>
        <v/>
      </c>
      <c r="B1914" s="83" t="str">
        <f t="shared" si="204"/>
        <v/>
      </c>
      <c r="U1914" s="83" t="str">
        <f t="shared" si="205"/>
        <v/>
      </c>
      <c r="V1914" s="83" t="str">
        <f t="shared" si="206"/>
        <v/>
      </c>
      <c r="AA1914" s="60">
        <f t="shared" si="207"/>
        <v>0</v>
      </c>
      <c r="AB1914" s="49">
        <f t="shared" si="208"/>
        <v>0</v>
      </c>
      <c r="AC1914" s="60">
        <f t="shared" si="209"/>
        <v>0</v>
      </c>
    </row>
    <row r="1915" spans="1:29">
      <c r="A1915" s="83" t="str">
        <f t="shared" si="203"/>
        <v/>
      </c>
      <c r="B1915" s="83" t="str">
        <f t="shared" si="204"/>
        <v/>
      </c>
      <c r="U1915" s="83" t="str">
        <f t="shared" si="205"/>
        <v/>
      </c>
      <c r="V1915" s="83" t="str">
        <f t="shared" si="206"/>
        <v/>
      </c>
      <c r="AA1915" s="60">
        <f t="shared" si="207"/>
        <v>0</v>
      </c>
      <c r="AB1915" s="49">
        <f t="shared" si="208"/>
        <v>0</v>
      </c>
      <c r="AC1915" s="60">
        <f t="shared" si="209"/>
        <v>0</v>
      </c>
    </row>
    <row r="1916" spans="1:29">
      <c r="A1916" s="83" t="str">
        <f t="shared" si="203"/>
        <v/>
      </c>
      <c r="B1916" s="83" t="str">
        <f t="shared" si="204"/>
        <v/>
      </c>
      <c r="U1916" s="83" t="str">
        <f t="shared" si="205"/>
        <v/>
      </c>
      <c r="V1916" s="83" t="str">
        <f t="shared" si="206"/>
        <v/>
      </c>
      <c r="AA1916" s="60">
        <f t="shared" si="207"/>
        <v>0</v>
      </c>
      <c r="AB1916" s="49">
        <f t="shared" si="208"/>
        <v>0</v>
      </c>
      <c r="AC1916" s="60">
        <f t="shared" si="209"/>
        <v>0</v>
      </c>
    </row>
    <row r="1917" spans="1:29">
      <c r="A1917" s="83" t="str">
        <f t="shared" si="203"/>
        <v/>
      </c>
      <c r="B1917" s="83" t="str">
        <f t="shared" si="204"/>
        <v/>
      </c>
      <c r="U1917" s="83" t="str">
        <f t="shared" si="205"/>
        <v/>
      </c>
      <c r="V1917" s="83" t="str">
        <f t="shared" si="206"/>
        <v/>
      </c>
      <c r="AA1917" s="60">
        <f t="shared" si="207"/>
        <v>0</v>
      </c>
      <c r="AB1917" s="49">
        <f t="shared" si="208"/>
        <v>0</v>
      </c>
      <c r="AC1917" s="60">
        <f t="shared" si="209"/>
        <v>0</v>
      </c>
    </row>
    <row r="1918" spans="1:29">
      <c r="A1918" s="83" t="str">
        <f t="shared" si="203"/>
        <v/>
      </c>
      <c r="B1918" s="83" t="str">
        <f t="shared" si="204"/>
        <v/>
      </c>
      <c r="U1918" s="83" t="str">
        <f t="shared" si="205"/>
        <v/>
      </c>
      <c r="V1918" s="83" t="str">
        <f t="shared" si="206"/>
        <v/>
      </c>
      <c r="AA1918" s="60">
        <f t="shared" si="207"/>
        <v>0</v>
      </c>
      <c r="AB1918" s="49">
        <f t="shared" si="208"/>
        <v>0</v>
      </c>
      <c r="AC1918" s="60">
        <f t="shared" si="209"/>
        <v>0</v>
      </c>
    </row>
    <row r="1919" spans="1:29">
      <c r="A1919" s="83" t="str">
        <f t="shared" si="203"/>
        <v/>
      </c>
      <c r="B1919" s="83" t="str">
        <f t="shared" si="204"/>
        <v/>
      </c>
      <c r="U1919" s="83" t="str">
        <f t="shared" si="205"/>
        <v/>
      </c>
      <c r="V1919" s="83" t="str">
        <f t="shared" si="206"/>
        <v/>
      </c>
      <c r="AA1919" s="60">
        <f t="shared" si="207"/>
        <v>0</v>
      </c>
      <c r="AB1919" s="49">
        <f t="shared" si="208"/>
        <v>0</v>
      </c>
      <c r="AC1919" s="60">
        <f t="shared" si="209"/>
        <v>0</v>
      </c>
    </row>
    <row r="1920" spans="1:29">
      <c r="A1920" s="83" t="str">
        <f t="shared" si="203"/>
        <v/>
      </c>
      <c r="B1920" s="83" t="str">
        <f t="shared" si="204"/>
        <v/>
      </c>
      <c r="U1920" s="83" t="str">
        <f t="shared" si="205"/>
        <v/>
      </c>
      <c r="V1920" s="83" t="str">
        <f t="shared" si="206"/>
        <v/>
      </c>
      <c r="AA1920" s="60">
        <f t="shared" si="207"/>
        <v>0</v>
      </c>
      <c r="AB1920" s="49">
        <f t="shared" si="208"/>
        <v>0</v>
      </c>
      <c r="AC1920" s="60">
        <f t="shared" si="209"/>
        <v>0</v>
      </c>
    </row>
    <row r="1921" spans="1:29">
      <c r="A1921" s="83" t="str">
        <f t="shared" si="203"/>
        <v/>
      </c>
      <c r="B1921" s="83" t="str">
        <f t="shared" si="204"/>
        <v/>
      </c>
      <c r="U1921" s="83" t="str">
        <f t="shared" si="205"/>
        <v/>
      </c>
      <c r="V1921" s="83" t="str">
        <f t="shared" si="206"/>
        <v/>
      </c>
      <c r="AA1921" s="60">
        <f t="shared" si="207"/>
        <v>0</v>
      </c>
      <c r="AB1921" s="49">
        <f t="shared" si="208"/>
        <v>0</v>
      </c>
      <c r="AC1921" s="60">
        <f t="shared" si="209"/>
        <v>0</v>
      </c>
    </row>
    <row r="1922" spans="1:29">
      <c r="A1922" s="83" t="str">
        <f t="shared" si="203"/>
        <v/>
      </c>
      <c r="B1922" s="83" t="str">
        <f t="shared" si="204"/>
        <v/>
      </c>
      <c r="U1922" s="83" t="str">
        <f t="shared" si="205"/>
        <v/>
      </c>
      <c r="V1922" s="83" t="str">
        <f t="shared" si="206"/>
        <v/>
      </c>
      <c r="AA1922" s="60">
        <f t="shared" si="207"/>
        <v>0</v>
      </c>
      <c r="AB1922" s="49">
        <f t="shared" si="208"/>
        <v>0</v>
      </c>
      <c r="AC1922" s="60">
        <f t="shared" si="209"/>
        <v>0</v>
      </c>
    </row>
    <row r="1923" spans="1:29">
      <c r="A1923" s="83" t="str">
        <f t="shared" ref="A1923:A1986" si="210">IF(G1923&amp;Q1923&lt;&gt;"",U1923&amp;Q1923,"")</f>
        <v/>
      </c>
      <c r="B1923" s="83" t="str">
        <f t="shared" ref="B1923:B1986" si="211">IF(C1923&lt;&gt;"",LEFT(C1923,9),"")</f>
        <v/>
      </c>
      <c r="U1923" s="83" t="str">
        <f t="shared" ref="U1923:U1986" si="212">IF(G1923&lt;&gt;"",IF(StyleSpaceSplit,IFERROR(IF(FIND(" ",G1923)&gt;=1,MID(G1923,1,FIND(" ",G1923)-1),G1923),G1923),G1923),"")</f>
        <v/>
      </c>
      <c r="V1923" s="83" t="str">
        <f t="shared" ref="V1923:V1986" si="213">IF(A1923&lt;&gt;"",IFERROR(IF(FIND(" ",G1923)&gt;=1,MID(G1923,FIND(" ",G1923)+1,LEN(G1923)),""),G1923),"")</f>
        <v/>
      </c>
      <c r="AA1923" s="60">
        <f t="shared" ref="AA1923:AA1986" si="214">IFERROR(VALUE(MID($C1923,1,2)),0)</f>
        <v>0</v>
      </c>
      <c r="AB1923" s="49">
        <f t="shared" ref="AB1923:AB1986" si="215">IFERROR(VALUE(MID($C1923,4,3)),0)</f>
        <v>0</v>
      </c>
      <c r="AC1923" s="60">
        <f t="shared" ref="AC1923:AC1986" si="216">VALUE(RIGHT("00"&amp;AA1923,2)&amp;RIGHT("000"&amp;AB1923,3))</f>
        <v>0</v>
      </c>
    </row>
    <row r="1924" spans="1:29">
      <c r="A1924" s="83" t="str">
        <f t="shared" si="210"/>
        <v/>
      </c>
      <c r="B1924" s="83" t="str">
        <f t="shared" si="211"/>
        <v/>
      </c>
      <c r="U1924" s="83" t="str">
        <f t="shared" si="212"/>
        <v/>
      </c>
      <c r="V1924" s="83" t="str">
        <f t="shared" si="213"/>
        <v/>
      </c>
      <c r="AA1924" s="60">
        <f t="shared" si="214"/>
        <v>0</v>
      </c>
      <c r="AB1924" s="49">
        <f t="shared" si="215"/>
        <v>0</v>
      </c>
      <c r="AC1924" s="60">
        <f t="shared" si="216"/>
        <v>0</v>
      </c>
    </row>
    <row r="1925" spans="1:29">
      <c r="A1925" s="83" t="str">
        <f t="shared" si="210"/>
        <v/>
      </c>
      <c r="B1925" s="83" t="str">
        <f t="shared" si="211"/>
        <v/>
      </c>
      <c r="U1925" s="83" t="str">
        <f t="shared" si="212"/>
        <v/>
      </c>
      <c r="V1925" s="83" t="str">
        <f t="shared" si="213"/>
        <v/>
      </c>
      <c r="AA1925" s="60">
        <f t="shared" si="214"/>
        <v>0</v>
      </c>
      <c r="AB1925" s="49">
        <f t="shared" si="215"/>
        <v>0</v>
      </c>
      <c r="AC1925" s="60">
        <f t="shared" si="216"/>
        <v>0</v>
      </c>
    </row>
    <row r="1926" spans="1:29">
      <c r="A1926" s="83" t="str">
        <f t="shared" si="210"/>
        <v/>
      </c>
      <c r="B1926" s="83" t="str">
        <f t="shared" si="211"/>
        <v/>
      </c>
      <c r="U1926" s="83" t="str">
        <f t="shared" si="212"/>
        <v/>
      </c>
      <c r="V1926" s="83" t="str">
        <f t="shared" si="213"/>
        <v/>
      </c>
      <c r="AA1926" s="60">
        <f t="shared" si="214"/>
        <v>0</v>
      </c>
      <c r="AB1926" s="49">
        <f t="shared" si="215"/>
        <v>0</v>
      </c>
      <c r="AC1926" s="60">
        <f t="shared" si="216"/>
        <v>0</v>
      </c>
    </row>
    <row r="1927" spans="1:29">
      <c r="A1927" s="83" t="str">
        <f t="shared" si="210"/>
        <v/>
      </c>
      <c r="B1927" s="83" t="str">
        <f t="shared" si="211"/>
        <v/>
      </c>
      <c r="U1927" s="83" t="str">
        <f t="shared" si="212"/>
        <v/>
      </c>
      <c r="V1927" s="83" t="str">
        <f t="shared" si="213"/>
        <v/>
      </c>
      <c r="AA1927" s="60">
        <f t="shared" si="214"/>
        <v>0</v>
      </c>
      <c r="AB1927" s="49">
        <f t="shared" si="215"/>
        <v>0</v>
      </c>
      <c r="AC1927" s="60">
        <f t="shared" si="216"/>
        <v>0</v>
      </c>
    </row>
    <row r="1928" spans="1:29">
      <c r="A1928" s="83" t="str">
        <f t="shared" si="210"/>
        <v/>
      </c>
      <c r="B1928" s="83" t="str">
        <f t="shared" si="211"/>
        <v/>
      </c>
      <c r="U1928" s="83" t="str">
        <f t="shared" si="212"/>
        <v/>
      </c>
      <c r="V1928" s="83" t="str">
        <f t="shared" si="213"/>
        <v/>
      </c>
      <c r="AA1928" s="60">
        <f t="shared" si="214"/>
        <v>0</v>
      </c>
      <c r="AB1928" s="49">
        <f t="shared" si="215"/>
        <v>0</v>
      </c>
      <c r="AC1928" s="60">
        <f t="shared" si="216"/>
        <v>0</v>
      </c>
    </row>
    <row r="1929" spans="1:29">
      <c r="A1929" s="83" t="str">
        <f t="shared" si="210"/>
        <v/>
      </c>
      <c r="B1929" s="83" t="str">
        <f t="shared" si="211"/>
        <v/>
      </c>
      <c r="U1929" s="83" t="str">
        <f t="shared" si="212"/>
        <v/>
      </c>
      <c r="V1929" s="83" t="str">
        <f t="shared" si="213"/>
        <v/>
      </c>
      <c r="AA1929" s="60">
        <f t="shared" si="214"/>
        <v>0</v>
      </c>
      <c r="AB1929" s="49">
        <f t="shared" si="215"/>
        <v>0</v>
      </c>
      <c r="AC1929" s="60">
        <f t="shared" si="216"/>
        <v>0</v>
      </c>
    </row>
    <row r="1930" spans="1:29">
      <c r="A1930" s="83" t="str">
        <f t="shared" si="210"/>
        <v/>
      </c>
      <c r="B1930" s="83" t="str">
        <f t="shared" si="211"/>
        <v/>
      </c>
      <c r="U1930" s="83" t="str">
        <f t="shared" si="212"/>
        <v/>
      </c>
      <c r="V1930" s="83" t="str">
        <f t="shared" si="213"/>
        <v/>
      </c>
      <c r="AA1930" s="60">
        <f t="shared" si="214"/>
        <v>0</v>
      </c>
      <c r="AB1930" s="49">
        <f t="shared" si="215"/>
        <v>0</v>
      </c>
      <c r="AC1930" s="60">
        <f t="shared" si="216"/>
        <v>0</v>
      </c>
    </row>
    <row r="1931" spans="1:29">
      <c r="A1931" s="83" t="str">
        <f t="shared" si="210"/>
        <v/>
      </c>
      <c r="B1931" s="83" t="str">
        <f t="shared" si="211"/>
        <v/>
      </c>
      <c r="U1931" s="83" t="str">
        <f t="shared" si="212"/>
        <v/>
      </c>
      <c r="V1931" s="83" t="str">
        <f t="shared" si="213"/>
        <v/>
      </c>
      <c r="AA1931" s="60">
        <f t="shared" si="214"/>
        <v>0</v>
      </c>
      <c r="AB1931" s="49">
        <f t="shared" si="215"/>
        <v>0</v>
      </c>
      <c r="AC1931" s="60">
        <f t="shared" si="216"/>
        <v>0</v>
      </c>
    </row>
    <row r="1932" spans="1:29">
      <c r="A1932" s="83" t="str">
        <f t="shared" si="210"/>
        <v/>
      </c>
      <c r="B1932" s="83" t="str">
        <f t="shared" si="211"/>
        <v/>
      </c>
      <c r="U1932" s="83" t="str">
        <f t="shared" si="212"/>
        <v/>
      </c>
      <c r="V1932" s="83" t="str">
        <f t="shared" si="213"/>
        <v/>
      </c>
      <c r="AA1932" s="60">
        <f t="shared" si="214"/>
        <v>0</v>
      </c>
      <c r="AB1932" s="49">
        <f t="shared" si="215"/>
        <v>0</v>
      </c>
      <c r="AC1932" s="60">
        <f t="shared" si="216"/>
        <v>0</v>
      </c>
    </row>
    <row r="1933" spans="1:29">
      <c r="A1933" s="83" t="str">
        <f t="shared" si="210"/>
        <v/>
      </c>
      <c r="B1933" s="83" t="str">
        <f t="shared" si="211"/>
        <v/>
      </c>
      <c r="U1933" s="83" t="str">
        <f t="shared" si="212"/>
        <v/>
      </c>
      <c r="V1933" s="83" t="str">
        <f t="shared" si="213"/>
        <v/>
      </c>
      <c r="AA1933" s="60">
        <f t="shared" si="214"/>
        <v>0</v>
      </c>
      <c r="AB1933" s="49">
        <f t="shared" si="215"/>
        <v>0</v>
      </c>
      <c r="AC1933" s="60">
        <f t="shared" si="216"/>
        <v>0</v>
      </c>
    </row>
    <row r="1934" spans="1:29">
      <c r="A1934" s="83" t="str">
        <f t="shared" si="210"/>
        <v/>
      </c>
      <c r="B1934" s="83" t="str">
        <f t="shared" si="211"/>
        <v/>
      </c>
      <c r="U1934" s="83" t="str">
        <f t="shared" si="212"/>
        <v/>
      </c>
      <c r="V1934" s="83" t="str">
        <f t="shared" si="213"/>
        <v/>
      </c>
      <c r="AA1934" s="60">
        <f t="shared" si="214"/>
        <v>0</v>
      </c>
      <c r="AB1934" s="49">
        <f t="shared" si="215"/>
        <v>0</v>
      </c>
      <c r="AC1934" s="60">
        <f t="shared" si="216"/>
        <v>0</v>
      </c>
    </row>
    <row r="1935" spans="1:29">
      <c r="A1935" s="83" t="str">
        <f t="shared" si="210"/>
        <v/>
      </c>
      <c r="B1935" s="83" t="str">
        <f t="shared" si="211"/>
        <v/>
      </c>
      <c r="U1935" s="83" t="str">
        <f t="shared" si="212"/>
        <v/>
      </c>
      <c r="V1935" s="83" t="str">
        <f t="shared" si="213"/>
        <v/>
      </c>
      <c r="AA1935" s="60">
        <f t="shared" si="214"/>
        <v>0</v>
      </c>
      <c r="AB1935" s="49">
        <f t="shared" si="215"/>
        <v>0</v>
      </c>
      <c r="AC1935" s="60">
        <f t="shared" si="216"/>
        <v>0</v>
      </c>
    </row>
    <row r="1936" spans="1:29">
      <c r="A1936" s="83" t="str">
        <f t="shared" si="210"/>
        <v/>
      </c>
      <c r="B1936" s="83" t="str">
        <f t="shared" si="211"/>
        <v/>
      </c>
      <c r="U1936" s="83" t="str">
        <f t="shared" si="212"/>
        <v/>
      </c>
      <c r="V1936" s="83" t="str">
        <f t="shared" si="213"/>
        <v/>
      </c>
      <c r="AA1936" s="60">
        <f t="shared" si="214"/>
        <v>0</v>
      </c>
      <c r="AB1936" s="49">
        <f t="shared" si="215"/>
        <v>0</v>
      </c>
      <c r="AC1936" s="60">
        <f t="shared" si="216"/>
        <v>0</v>
      </c>
    </row>
    <row r="1937" spans="1:29">
      <c r="A1937" s="83" t="str">
        <f t="shared" si="210"/>
        <v/>
      </c>
      <c r="B1937" s="83" t="str">
        <f t="shared" si="211"/>
        <v/>
      </c>
      <c r="U1937" s="83" t="str">
        <f t="shared" si="212"/>
        <v/>
      </c>
      <c r="V1937" s="83" t="str">
        <f t="shared" si="213"/>
        <v/>
      </c>
      <c r="AA1937" s="60">
        <f t="shared" si="214"/>
        <v>0</v>
      </c>
      <c r="AB1937" s="49">
        <f t="shared" si="215"/>
        <v>0</v>
      </c>
      <c r="AC1937" s="60">
        <f t="shared" si="216"/>
        <v>0</v>
      </c>
    </row>
    <row r="1938" spans="1:29">
      <c r="A1938" s="83" t="str">
        <f t="shared" si="210"/>
        <v/>
      </c>
      <c r="B1938" s="83" t="str">
        <f t="shared" si="211"/>
        <v/>
      </c>
      <c r="U1938" s="83" t="str">
        <f t="shared" si="212"/>
        <v/>
      </c>
      <c r="V1938" s="83" t="str">
        <f t="shared" si="213"/>
        <v/>
      </c>
      <c r="AA1938" s="60">
        <f t="shared" si="214"/>
        <v>0</v>
      </c>
      <c r="AB1938" s="49">
        <f t="shared" si="215"/>
        <v>0</v>
      </c>
      <c r="AC1938" s="60">
        <f t="shared" si="216"/>
        <v>0</v>
      </c>
    </row>
    <row r="1939" spans="1:29">
      <c r="A1939" s="83" t="str">
        <f t="shared" si="210"/>
        <v/>
      </c>
      <c r="B1939" s="83" t="str">
        <f t="shared" si="211"/>
        <v/>
      </c>
      <c r="U1939" s="83" t="str">
        <f t="shared" si="212"/>
        <v/>
      </c>
      <c r="V1939" s="83" t="str">
        <f t="shared" si="213"/>
        <v/>
      </c>
      <c r="AA1939" s="60">
        <f t="shared" si="214"/>
        <v>0</v>
      </c>
      <c r="AB1939" s="49">
        <f t="shared" si="215"/>
        <v>0</v>
      </c>
      <c r="AC1939" s="60">
        <f t="shared" si="216"/>
        <v>0</v>
      </c>
    </row>
    <row r="1940" spans="1:29">
      <c r="A1940" s="83" t="str">
        <f t="shared" si="210"/>
        <v/>
      </c>
      <c r="B1940" s="83" t="str">
        <f t="shared" si="211"/>
        <v/>
      </c>
      <c r="U1940" s="83" t="str">
        <f t="shared" si="212"/>
        <v/>
      </c>
      <c r="V1940" s="83" t="str">
        <f t="shared" si="213"/>
        <v/>
      </c>
      <c r="AA1940" s="60">
        <f t="shared" si="214"/>
        <v>0</v>
      </c>
      <c r="AB1940" s="49">
        <f t="shared" si="215"/>
        <v>0</v>
      </c>
      <c r="AC1940" s="60">
        <f t="shared" si="216"/>
        <v>0</v>
      </c>
    </row>
    <row r="1941" spans="1:29">
      <c r="A1941" s="83" t="str">
        <f t="shared" si="210"/>
        <v/>
      </c>
      <c r="B1941" s="83" t="str">
        <f t="shared" si="211"/>
        <v/>
      </c>
      <c r="U1941" s="83" t="str">
        <f t="shared" si="212"/>
        <v/>
      </c>
      <c r="V1941" s="83" t="str">
        <f t="shared" si="213"/>
        <v/>
      </c>
      <c r="AA1941" s="60">
        <f t="shared" si="214"/>
        <v>0</v>
      </c>
      <c r="AB1941" s="49">
        <f t="shared" si="215"/>
        <v>0</v>
      </c>
      <c r="AC1941" s="60">
        <f t="shared" si="216"/>
        <v>0</v>
      </c>
    </row>
    <row r="1942" spans="1:29">
      <c r="A1942" s="83" t="str">
        <f t="shared" si="210"/>
        <v/>
      </c>
      <c r="B1942" s="83" t="str">
        <f t="shared" si="211"/>
        <v/>
      </c>
      <c r="U1942" s="83" t="str">
        <f t="shared" si="212"/>
        <v/>
      </c>
      <c r="V1942" s="83" t="str">
        <f t="shared" si="213"/>
        <v/>
      </c>
      <c r="AA1942" s="60">
        <f t="shared" si="214"/>
        <v>0</v>
      </c>
      <c r="AB1942" s="49">
        <f t="shared" si="215"/>
        <v>0</v>
      </c>
      <c r="AC1942" s="60">
        <f t="shared" si="216"/>
        <v>0</v>
      </c>
    </row>
    <row r="1943" spans="1:29">
      <c r="A1943" s="83" t="str">
        <f t="shared" si="210"/>
        <v/>
      </c>
      <c r="B1943" s="83" t="str">
        <f t="shared" si="211"/>
        <v/>
      </c>
      <c r="U1943" s="83" t="str">
        <f t="shared" si="212"/>
        <v/>
      </c>
      <c r="V1943" s="83" t="str">
        <f t="shared" si="213"/>
        <v/>
      </c>
      <c r="AA1943" s="60">
        <f t="shared" si="214"/>
        <v>0</v>
      </c>
      <c r="AB1943" s="49">
        <f t="shared" si="215"/>
        <v>0</v>
      </c>
      <c r="AC1943" s="60">
        <f t="shared" si="216"/>
        <v>0</v>
      </c>
    </row>
    <row r="1944" spans="1:29">
      <c r="A1944" s="83" t="str">
        <f t="shared" si="210"/>
        <v/>
      </c>
      <c r="B1944" s="83" t="str">
        <f t="shared" si="211"/>
        <v/>
      </c>
      <c r="U1944" s="83" t="str">
        <f t="shared" si="212"/>
        <v/>
      </c>
      <c r="V1944" s="83" t="str">
        <f t="shared" si="213"/>
        <v/>
      </c>
      <c r="AA1944" s="60">
        <f t="shared" si="214"/>
        <v>0</v>
      </c>
      <c r="AB1944" s="49">
        <f t="shared" si="215"/>
        <v>0</v>
      </c>
      <c r="AC1944" s="60">
        <f t="shared" si="216"/>
        <v>0</v>
      </c>
    </row>
    <row r="1945" spans="1:29">
      <c r="A1945" s="83" t="str">
        <f t="shared" si="210"/>
        <v/>
      </c>
      <c r="B1945" s="83" t="str">
        <f t="shared" si="211"/>
        <v/>
      </c>
      <c r="U1945" s="83" t="str">
        <f t="shared" si="212"/>
        <v/>
      </c>
      <c r="V1945" s="83" t="str">
        <f t="shared" si="213"/>
        <v/>
      </c>
      <c r="AA1945" s="60">
        <f t="shared" si="214"/>
        <v>0</v>
      </c>
      <c r="AB1945" s="49">
        <f t="shared" si="215"/>
        <v>0</v>
      </c>
      <c r="AC1945" s="60">
        <f t="shared" si="216"/>
        <v>0</v>
      </c>
    </row>
    <row r="1946" spans="1:29">
      <c r="A1946" s="83" t="str">
        <f t="shared" si="210"/>
        <v/>
      </c>
      <c r="B1946" s="83" t="str">
        <f t="shared" si="211"/>
        <v/>
      </c>
      <c r="U1946" s="83" t="str">
        <f t="shared" si="212"/>
        <v/>
      </c>
      <c r="V1946" s="83" t="str">
        <f t="shared" si="213"/>
        <v/>
      </c>
      <c r="AA1946" s="60">
        <f t="shared" si="214"/>
        <v>0</v>
      </c>
      <c r="AB1946" s="49">
        <f t="shared" si="215"/>
        <v>0</v>
      </c>
      <c r="AC1946" s="60">
        <f t="shared" si="216"/>
        <v>0</v>
      </c>
    </row>
    <row r="1947" spans="1:29">
      <c r="A1947" s="83" t="str">
        <f t="shared" si="210"/>
        <v/>
      </c>
      <c r="B1947" s="83" t="str">
        <f t="shared" si="211"/>
        <v/>
      </c>
      <c r="U1947" s="83" t="str">
        <f t="shared" si="212"/>
        <v/>
      </c>
      <c r="V1947" s="83" t="str">
        <f t="shared" si="213"/>
        <v/>
      </c>
      <c r="AA1947" s="60">
        <f t="shared" si="214"/>
        <v>0</v>
      </c>
      <c r="AB1947" s="49">
        <f t="shared" si="215"/>
        <v>0</v>
      </c>
      <c r="AC1947" s="60">
        <f t="shared" si="216"/>
        <v>0</v>
      </c>
    </row>
    <row r="1948" spans="1:29">
      <c r="A1948" s="83" t="str">
        <f t="shared" si="210"/>
        <v/>
      </c>
      <c r="B1948" s="83" t="str">
        <f t="shared" si="211"/>
        <v/>
      </c>
      <c r="U1948" s="83" t="str">
        <f t="shared" si="212"/>
        <v/>
      </c>
      <c r="V1948" s="83" t="str">
        <f t="shared" si="213"/>
        <v/>
      </c>
      <c r="AA1948" s="60">
        <f t="shared" si="214"/>
        <v>0</v>
      </c>
      <c r="AB1948" s="49">
        <f t="shared" si="215"/>
        <v>0</v>
      </c>
      <c r="AC1948" s="60">
        <f t="shared" si="216"/>
        <v>0</v>
      </c>
    </row>
    <row r="1949" spans="1:29">
      <c r="A1949" s="83" t="str">
        <f t="shared" si="210"/>
        <v/>
      </c>
      <c r="B1949" s="83" t="str">
        <f t="shared" si="211"/>
        <v/>
      </c>
      <c r="U1949" s="83" t="str">
        <f t="shared" si="212"/>
        <v/>
      </c>
      <c r="V1949" s="83" t="str">
        <f t="shared" si="213"/>
        <v/>
      </c>
      <c r="AA1949" s="60">
        <f t="shared" si="214"/>
        <v>0</v>
      </c>
      <c r="AB1949" s="49">
        <f t="shared" si="215"/>
        <v>0</v>
      </c>
      <c r="AC1949" s="60">
        <f t="shared" si="216"/>
        <v>0</v>
      </c>
    </row>
    <row r="1950" spans="1:29">
      <c r="A1950" s="83" t="str">
        <f t="shared" si="210"/>
        <v/>
      </c>
      <c r="B1950" s="83" t="str">
        <f t="shared" si="211"/>
        <v/>
      </c>
      <c r="U1950" s="83" t="str">
        <f t="shared" si="212"/>
        <v/>
      </c>
      <c r="V1950" s="83" t="str">
        <f t="shared" si="213"/>
        <v/>
      </c>
      <c r="AA1950" s="60">
        <f t="shared" si="214"/>
        <v>0</v>
      </c>
      <c r="AB1950" s="49">
        <f t="shared" si="215"/>
        <v>0</v>
      </c>
      <c r="AC1950" s="60">
        <f t="shared" si="216"/>
        <v>0</v>
      </c>
    </row>
    <row r="1951" spans="1:29">
      <c r="A1951" s="83" t="str">
        <f t="shared" si="210"/>
        <v/>
      </c>
      <c r="B1951" s="83" t="str">
        <f t="shared" si="211"/>
        <v/>
      </c>
      <c r="U1951" s="83" t="str">
        <f t="shared" si="212"/>
        <v/>
      </c>
      <c r="V1951" s="83" t="str">
        <f t="shared" si="213"/>
        <v/>
      </c>
      <c r="AA1951" s="60">
        <f t="shared" si="214"/>
        <v>0</v>
      </c>
      <c r="AB1951" s="49">
        <f t="shared" si="215"/>
        <v>0</v>
      </c>
      <c r="AC1951" s="60">
        <f t="shared" si="216"/>
        <v>0</v>
      </c>
    </row>
    <row r="1952" spans="1:29">
      <c r="A1952" s="83" t="str">
        <f t="shared" si="210"/>
        <v/>
      </c>
      <c r="B1952" s="83" t="str">
        <f t="shared" si="211"/>
        <v/>
      </c>
      <c r="U1952" s="83" t="str">
        <f t="shared" si="212"/>
        <v/>
      </c>
      <c r="V1952" s="83" t="str">
        <f t="shared" si="213"/>
        <v/>
      </c>
      <c r="AA1952" s="60">
        <f t="shared" si="214"/>
        <v>0</v>
      </c>
      <c r="AB1952" s="49">
        <f t="shared" si="215"/>
        <v>0</v>
      </c>
      <c r="AC1952" s="60">
        <f t="shared" si="216"/>
        <v>0</v>
      </c>
    </row>
    <row r="1953" spans="1:29">
      <c r="A1953" s="83" t="str">
        <f t="shared" si="210"/>
        <v/>
      </c>
      <c r="B1953" s="83" t="str">
        <f t="shared" si="211"/>
        <v/>
      </c>
      <c r="U1953" s="83" t="str">
        <f t="shared" si="212"/>
        <v/>
      </c>
      <c r="V1953" s="83" t="str">
        <f t="shared" si="213"/>
        <v/>
      </c>
      <c r="AA1953" s="60">
        <f t="shared" si="214"/>
        <v>0</v>
      </c>
      <c r="AB1953" s="49">
        <f t="shared" si="215"/>
        <v>0</v>
      </c>
      <c r="AC1953" s="60">
        <f t="shared" si="216"/>
        <v>0</v>
      </c>
    </row>
    <row r="1954" spans="1:29">
      <c r="A1954" s="83" t="str">
        <f t="shared" si="210"/>
        <v/>
      </c>
      <c r="B1954" s="83" t="str">
        <f t="shared" si="211"/>
        <v/>
      </c>
      <c r="U1954" s="83" t="str">
        <f t="shared" si="212"/>
        <v/>
      </c>
      <c r="V1954" s="83" t="str">
        <f t="shared" si="213"/>
        <v/>
      </c>
      <c r="AA1954" s="60">
        <f t="shared" si="214"/>
        <v>0</v>
      </c>
      <c r="AB1954" s="49">
        <f t="shared" si="215"/>
        <v>0</v>
      </c>
      <c r="AC1954" s="60">
        <f t="shared" si="216"/>
        <v>0</v>
      </c>
    </row>
    <row r="1955" spans="1:29">
      <c r="A1955" s="83" t="str">
        <f t="shared" si="210"/>
        <v/>
      </c>
      <c r="B1955" s="83" t="str">
        <f t="shared" si="211"/>
        <v/>
      </c>
      <c r="U1955" s="83" t="str">
        <f t="shared" si="212"/>
        <v/>
      </c>
      <c r="V1955" s="83" t="str">
        <f t="shared" si="213"/>
        <v/>
      </c>
      <c r="AA1955" s="60">
        <f t="shared" si="214"/>
        <v>0</v>
      </c>
      <c r="AB1955" s="49">
        <f t="shared" si="215"/>
        <v>0</v>
      </c>
      <c r="AC1955" s="60">
        <f t="shared" si="216"/>
        <v>0</v>
      </c>
    </row>
    <row r="1956" spans="1:29">
      <c r="A1956" s="83" t="str">
        <f t="shared" si="210"/>
        <v/>
      </c>
      <c r="B1956" s="83" t="str">
        <f t="shared" si="211"/>
        <v/>
      </c>
      <c r="U1956" s="83" t="str">
        <f t="shared" si="212"/>
        <v/>
      </c>
      <c r="V1956" s="83" t="str">
        <f t="shared" si="213"/>
        <v/>
      </c>
      <c r="AA1956" s="60">
        <f t="shared" si="214"/>
        <v>0</v>
      </c>
      <c r="AB1956" s="49">
        <f t="shared" si="215"/>
        <v>0</v>
      </c>
      <c r="AC1956" s="60">
        <f t="shared" si="216"/>
        <v>0</v>
      </c>
    </row>
    <row r="1957" spans="1:29">
      <c r="A1957" s="83" t="str">
        <f t="shared" si="210"/>
        <v/>
      </c>
      <c r="B1957" s="83" t="str">
        <f t="shared" si="211"/>
        <v/>
      </c>
      <c r="U1957" s="83" t="str">
        <f t="shared" si="212"/>
        <v/>
      </c>
      <c r="V1957" s="83" t="str">
        <f t="shared" si="213"/>
        <v/>
      </c>
      <c r="AA1957" s="60">
        <f t="shared" si="214"/>
        <v>0</v>
      </c>
      <c r="AB1957" s="49">
        <f t="shared" si="215"/>
        <v>0</v>
      </c>
      <c r="AC1957" s="60">
        <f t="shared" si="216"/>
        <v>0</v>
      </c>
    </row>
    <row r="1958" spans="1:29">
      <c r="A1958" s="83" t="str">
        <f t="shared" si="210"/>
        <v/>
      </c>
      <c r="B1958" s="83" t="str">
        <f t="shared" si="211"/>
        <v/>
      </c>
      <c r="U1958" s="83" t="str">
        <f t="shared" si="212"/>
        <v/>
      </c>
      <c r="V1958" s="83" t="str">
        <f t="shared" si="213"/>
        <v/>
      </c>
      <c r="AA1958" s="60">
        <f t="shared" si="214"/>
        <v>0</v>
      </c>
      <c r="AB1958" s="49">
        <f t="shared" si="215"/>
        <v>0</v>
      </c>
      <c r="AC1958" s="60">
        <f t="shared" si="216"/>
        <v>0</v>
      </c>
    </row>
    <row r="1959" spans="1:29">
      <c r="A1959" s="83" t="str">
        <f t="shared" si="210"/>
        <v/>
      </c>
      <c r="B1959" s="83" t="str">
        <f t="shared" si="211"/>
        <v/>
      </c>
      <c r="U1959" s="83" t="str">
        <f t="shared" si="212"/>
        <v/>
      </c>
      <c r="V1959" s="83" t="str">
        <f t="shared" si="213"/>
        <v/>
      </c>
      <c r="AA1959" s="60">
        <f t="shared" si="214"/>
        <v>0</v>
      </c>
      <c r="AB1959" s="49">
        <f t="shared" si="215"/>
        <v>0</v>
      </c>
      <c r="AC1959" s="60">
        <f t="shared" si="216"/>
        <v>0</v>
      </c>
    </row>
    <row r="1960" spans="1:29">
      <c r="A1960" s="83" t="str">
        <f t="shared" si="210"/>
        <v/>
      </c>
      <c r="B1960" s="83" t="str">
        <f t="shared" si="211"/>
        <v/>
      </c>
      <c r="U1960" s="83" t="str">
        <f t="shared" si="212"/>
        <v/>
      </c>
      <c r="V1960" s="83" t="str">
        <f t="shared" si="213"/>
        <v/>
      </c>
      <c r="AA1960" s="60">
        <f t="shared" si="214"/>
        <v>0</v>
      </c>
      <c r="AB1960" s="49">
        <f t="shared" si="215"/>
        <v>0</v>
      </c>
      <c r="AC1960" s="60">
        <f t="shared" si="216"/>
        <v>0</v>
      </c>
    </row>
    <row r="1961" spans="1:29">
      <c r="A1961" s="83" t="str">
        <f t="shared" si="210"/>
        <v/>
      </c>
      <c r="B1961" s="83" t="str">
        <f t="shared" si="211"/>
        <v/>
      </c>
      <c r="U1961" s="83" t="str">
        <f t="shared" si="212"/>
        <v/>
      </c>
      <c r="V1961" s="83" t="str">
        <f t="shared" si="213"/>
        <v/>
      </c>
      <c r="AA1961" s="60">
        <f t="shared" si="214"/>
        <v>0</v>
      </c>
      <c r="AB1961" s="49">
        <f t="shared" si="215"/>
        <v>0</v>
      </c>
      <c r="AC1961" s="60">
        <f t="shared" si="216"/>
        <v>0</v>
      </c>
    </row>
    <row r="1962" spans="1:29">
      <c r="A1962" s="83" t="str">
        <f t="shared" si="210"/>
        <v/>
      </c>
      <c r="B1962" s="83" t="str">
        <f t="shared" si="211"/>
        <v/>
      </c>
      <c r="U1962" s="83" t="str">
        <f t="shared" si="212"/>
        <v/>
      </c>
      <c r="V1962" s="83" t="str">
        <f t="shared" si="213"/>
        <v/>
      </c>
      <c r="AA1962" s="60">
        <f t="shared" si="214"/>
        <v>0</v>
      </c>
      <c r="AB1962" s="49">
        <f t="shared" si="215"/>
        <v>0</v>
      </c>
      <c r="AC1962" s="60">
        <f t="shared" si="216"/>
        <v>0</v>
      </c>
    </row>
    <row r="1963" spans="1:29">
      <c r="A1963" s="83" t="str">
        <f t="shared" si="210"/>
        <v/>
      </c>
      <c r="B1963" s="83" t="str">
        <f t="shared" si="211"/>
        <v/>
      </c>
      <c r="U1963" s="83" t="str">
        <f t="shared" si="212"/>
        <v/>
      </c>
      <c r="V1963" s="83" t="str">
        <f t="shared" si="213"/>
        <v/>
      </c>
      <c r="AA1963" s="60">
        <f t="shared" si="214"/>
        <v>0</v>
      </c>
      <c r="AB1963" s="49">
        <f t="shared" si="215"/>
        <v>0</v>
      </c>
      <c r="AC1963" s="60">
        <f t="shared" si="216"/>
        <v>0</v>
      </c>
    </row>
    <row r="1964" spans="1:29">
      <c r="A1964" s="83" t="str">
        <f t="shared" si="210"/>
        <v/>
      </c>
      <c r="B1964" s="83" t="str">
        <f t="shared" si="211"/>
        <v/>
      </c>
      <c r="U1964" s="83" t="str">
        <f t="shared" si="212"/>
        <v/>
      </c>
      <c r="V1964" s="83" t="str">
        <f t="shared" si="213"/>
        <v/>
      </c>
      <c r="AA1964" s="60">
        <f t="shared" si="214"/>
        <v>0</v>
      </c>
      <c r="AB1964" s="49">
        <f t="shared" si="215"/>
        <v>0</v>
      </c>
      <c r="AC1964" s="60">
        <f t="shared" si="216"/>
        <v>0</v>
      </c>
    </row>
    <row r="1965" spans="1:29">
      <c r="A1965" s="83" t="str">
        <f t="shared" si="210"/>
        <v/>
      </c>
      <c r="B1965" s="83" t="str">
        <f t="shared" si="211"/>
        <v/>
      </c>
      <c r="U1965" s="83" t="str">
        <f t="shared" si="212"/>
        <v/>
      </c>
      <c r="V1965" s="83" t="str">
        <f t="shared" si="213"/>
        <v/>
      </c>
      <c r="AA1965" s="60">
        <f t="shared" si="214"/>
        <v>0</v>
      </c>
      <c r="AB1965" s="49">
        <f t="shared" si="215"/>
        <v>0</v>
      </c>
      <c r="AC1965" s="60">
        <f t="shared" si="216"/>
        <v>0</v>
      </c>
    </row>
    <row r="1966" spans="1:29">
      <c r="A1966" s="83" t="str">
        <f t="shared" si="210"/>
        <v/>
      </c>
      <c r="B1966" s="83" t="str">
        <f t="shared" si="211"/>
        <v/>
      </c>
      <c r="U1966" s="83" t="str">
        <f t="shared" si="212"/>
        <v/>
      </c>
      <c r="V1966" s="83" t="str">
        <f t="shared" si="213"/>
        <v/>
      </c>
      <c r="AA1966" s="60">
        <f t="shared" si="214"/>
        <v>0</v>
      </c>
      <c r="AB1966" s="49">
        <f t="shared" si="215"/>
        <v>0</v>
      </c>
      <c r="AC1966" s="60">
        <f t="shared" si="216"/>
        <v>0</v>
      </c>
    </row>
    <row r="1967" spans="1:29">
      <c r="A1967" s="83" t="str">
        <f t="shared" si="210"/>
        <v/>
      </c>
      <c r="B1967" s="83" t="str">
        <f t="shared" si="211"/>
        <v/>
      </c>
      <c r="U1967" s="83" t="str">
        <f t="shared" si="212"/>
        <v/>
      </c>
      <c r="V1967" s="83" t="str">
        <f t="shared" si="213"/>
        <v/>
      </c>
      <c r="AA1967" s="60">
        <f t="shared" si="214"/>
        <v>0</v>
      </c>
      <c r="AB1967" s="49">
        <f t="shared" si="215"/>
        <v>0</v>
      </c>
      <c r="AC1967" s="60">
        <f t="shared" si="216"/>
        <v>0</v>
      </c>
    </row>
    <row r="1968" spans="1:29">
      <c r="A1968" s="83" t="str">
        <f t="shared" si="210"/>
        <v/>
      </c>
      <c r="B1968" s="83" t="str">
        <f t="shared" si="211"/>
        <v/>
      </c>
      <c r="U1968" s="83" t="str">
        <f t="shared" si="212"/>
        <v/>
      </c>
      <c r="V1968" s="83" t="str">
        <f t="shared" si="213"/>
        <v/>
      </c>
      <c r="AA1968" s="60">
        <f t="shared" si="214"/>
        <v>0</v>
      </c>
      <c r="AB1968" s="49">
        <f t="shared" si="215"/>
        <v>0</v>
      </c>
      <c r="AC1968" s="60">
        <f t="shared" si="216"/>
        <v>0</v>
      </c>
    </row>
    <row r="1969" spans="1:29">
      <c r="A1969" s="83" t="str">
        <f t="shared" si="210"/>
        <v/>
      </c>
      <c r="B1969" s="83" t="str">
        <f t="shared" si="211"/>
        <v/>
      </c>
      <c r="U1969" s="83" t="str">
        <f t="shared" si="212"/>
        <v/>
      </c>
      <c r="V1969" s="83" t="str">
        <f t="shared" si="213"/>
        <v/>
      </c>
      <c r="AA1969" s="60">
        <f t="shared" si="214"/>
        <v>0</v>
      </c>
      <c r="AB1969" s="49">
        <f t="shared" si="215"/>
        <v>0</v>
      </c>
      <c r="AC1969" s="60">
        <f t="shared" si="216"/>
        <v>0</v>
      </c>
    </row>
    <row r="1970" spans="1:29">
      <c r="A1970" s="83" t="str">
        <f t="shared" si="210"/>
        <v/>
      </c>
      <c r="B1970" s="83" t="str">
        <f t="shared" si="211"/>
        <v/>
      </c>
      <c r="U1970" s="83" t="str">
        <f t="shared" si="212"/>
        <v/>
      </c>
      <c r="V1970" s="83" t="str">
        <f t="shared" si="213"/>
        <v/>
      </c>
      <c r="AA1970" s="60">
        <f t="shared" si="214"/>
        <v>0</v>
      </c>
      <c r="AB1970" s="49">
        <f t="shared" si="215"/>
        <v>0</v>
      </c>
      <c r="AC1970" s="60">
        <f t="shared" si="216"/>
        <v>0</v>
      </c>
    </row>
    <row r="1971" spans="1:29">
      <c r="A1971" s="83" t="str">
        <f t="shared" si="210"/>
        <v/>
      </c>
      <c r="B1971" s="83" t="str">
        <f t="shared" si="211"/>
        <v/>
      </c>
      <c r="U1971" s="83" t="str">
        <f t="shared" si="212"/>
        <v/>
      </c>
      <c r="V1971" s="83" t="str">
        <f t="shared" si="213"/>
        <v/>
      </c>
      <c r="AA1971" s="60">
        <f t="shared" si="214"/>
        <v>0</v>
      </c>
      <c r="AB1971" s="49">
        <f t="shared" si="215"/>
        <v>0</v>
      </c>
      <c r="AC1971" s="60">
        <f t="shared" si="216"/>
        <v>0</v>
      </c>
    </row>
    <row r="1972" spans="1:29">
      <c r="A1972" s="83" t="str">
        <f t="shared" si="210"/>
        <v/>
      </c>
      <c r="B1972" s="83" t="str">
        <f t="shared" si="211"/>
        <v/>
      </c>
      <c r="U1972" s="83" t="str">
        <f t="shared" si="212"/>
        <v/>
      </c>
      <c r="V1972" s="83" t="str">
        <f t="shared" si="213"/>
        <v/>
      </c>
      <c r="AA1972" s="60">
        <f t="shared" si="214"/>
        <v>0</v>
      </c>
      <c r="AB1972" s="49">
        <f t="shared" si="215"/>
        <v>0</v>
      </c>
      <c r="AC1972" s="60">
        <f t="shared" si="216"/>
        <v>0</v>
      </c>
    </row>
    <row r="1973" spans="1:29">
      <c r="A1973" s="83" t="str">
        <f t="shared" si="210"/>
        <v/>
      </c>
      <c r="B1973" s="83" t="str">
        <f t="shared" si="211"/>
        <v/>
      </c>
      <c r="U1973" s="83" t="str">
        <f t="shared" si="212"/>
        <v/>
      </c>
      <c r="V1973" s="83" t="str">
        <f t="shared" si="213"/>
        <v/>
      </c>
      <c r="AA1973" s="60">
        <f t="shared" si="214"/>
        <v>0</v>
      </c>
      <c r="AB1973" s="49">
        <f t="shared" si="215"/>
        <v>0</v>
      </c>
      <c r="AC1973" s="60">
        <f t="shared" si="216"/>
        <v>0</v>
      </c>
    </row>
    <row r="1974" spans="1:29">
      <c r="A1974" s="83" t="str">
        <f t="shared" si="210"/>
        <v/>
      </c>
      <c r="B1974" s="83" t="str">
        <f t="shared" si="211"/>
        <v/>
      </c>
      <c r="U1974" s="83" t="str">
        <f t="shared" si="212"/>
        <v/>
      </c>
      <c r="V1974" s="83" t="str">
        <f t="shared" si="213"/>
        <v/>
      </c>
      <c r="AA1974" s="60">
        <f t="shared" si="214"/>
        <v>0</v>
      </c>
      <c r="AB1974" s="49">
        <f t="shared" si="215"/>
        <v>0</v>
      </c>
      <c r="AC1974" s="60">
        <f t="shared" si="216"/>
        <v>0</v>
      </c>
    </row>
    <row r="1975" spans="1:29">
      <c r="A1975" s="83" t="str">
        <f t="shared" si="210"/>
        <v/>
      </c>
      <c r="B1975" s="83" t="str">
        <f t="shared" si="211"/>
        <v/>
      </c>
      <c r="U1975" s="83" t="str">
        <f t="shared" si="212"/>
        <v/>
      </c>
      <c r="V1975" s="83" t="str">
        <f t="shared" si="213"/>
        <v/>
      </c>
      <c r="AA1975" s="60">
        <f t="shared" si="214"/>
        <v>0</v>
      </c>
      <c r="AB1975" s="49">
        <f t="shared" si="215"/>
        <v>0</v>
      </c>
      <c r="AC1975" s="60">
        <f t="shared" si="216"/>
        <v>0</v>
      </c>
    </row>
    <row r="1976" spans="1:29">
      <c r="A1976" s="83" t="str">
        <f t="shared" si="210"/>
        <v/>
      </c>
      <c r="B1976" s="83" t="str">
        <f t="shared" si="211"/>
        <v/>
      </c>
      <c r="U1976" s="83" t="str">
        <f t="shared" si="212"/>
        <v/>
      </c>
      <c r="V1976" s="83" t="str">
        <f t="shared" si="213"/>
        <v/>
      </c>
      <c r="AA1976" s="60">
        <f t="shared" si="214"/>
        <v>0</v>
      </c>
      <c r="AB1976" s="49">
        <f t="shared" si="215"/>
        <v>0</v>
      </c>
      <c r="AC1976" s="60">
        <f t="shared" si="216"/>
        <v>0</v>
      </c>
    </row>
    <row r="1977" spans="1:29">
      <c r="A1977" s="83" t="str">
        <f t="shared" si="210"/>
        <v/>
      </c>
      <c r="B1977" s="83" t="str">
        <f t="shared" si="211"/>
        <v/>
      </c>
      <c r="U1977" s="83" t="str">
        <f t="shared" si="212"/>
        <v/>
      </c>
      <c r="V1977" s="83" t="str">
        <f t="shared" si="213"/>
        <v/>
      </c>
      <c r="AA1977" s="60">
        <f t="shared" si="214"/>
        <v>0</v>
      </c>
      <c r="AB1977" s="49">
        <f t="shared" si="215"/>
        <v>0</v>
      </c>
      <c r="AC1977" s="60">
        <f t="shared" si="216"/>
        <v>0</v>
      </c>
    </row>
    <row r="1978" spans="1:29">
      <c r="A1978" s="83" t="str">
        <f t="shared" si="210"/>
        <v/>
      </c>
      <c r="B1978" s="83" t="str">
        <f t="shared" si="211"/>
        <v/>
      </c>
      <c r="U1978" s="83" t="str">
        <f t="shared" si="212"/>
        <v/>
      </c>
      <c r="V1978" s="83" t="str">
        <f t="shared" si="213"/>
        <v/>
      </c>
      <c r="AA1978" s="60">
        <f t="shared" si="214"/>
        <v>0</v>
      </c>
      <c r="AB1978" s="49">
        <f t="shared" si="215"/>
        <v>0</v>
      </c>
      <c r="AC1978" s="60">
        <f t="shared" si="216"/>
        <v>0</v>
      </c>
    </row>
    <row r="1979" spans="1:29">
      <c r="A1979" s="83" t="str">
        <f t="shared" si="210"/>
        <v/>
      </c>
      <c r="B1979" s="83" t="str">
        <f t="shared" si="211"/>
        <v/>
      </c>
      <c r="U1979" s="83" t="str">
        <f t="shared" si="212"/>
        <v/>
      </c>
      <c r="V1979" s="83" t="str">
        <f t="shared" si="213"/>
        <v/>
      </c>
      <c r="AA1979" s="60">
        <f t="shared" si="214"/>
        <v>0</v>
      </c>
      <c r="AB1979" s="49">
        <f t="shared" si="215"/>
        <v>0</v>
      </c>
      <c r="AC1979" s="60">
        <f t="shared" si="216"/>
        <v>0</v>
      </c>
    </row>
    <row r="1980" spans="1:29">
      <c r="A1980" s="83" t="str">
        <f t="shared" si="210"/>
        <v/>
      </c>
      <c r="B1980" s="83" t="str">
        <f t="shared" si="211"/>
        <v/>
      </c>
      <c r="U1980" s="83" t="str">
        <f t="shared" si="212"/>
        <v/>
      </c>
      <c r="V1980" s="83" t="str">
        <f t="shared" si="213"/>
        <v/>
      </c>
      <c r="AA1980" s="60">
        <f t="shared" si="214"/>
        <v>0</v>
      </c>
      <c r="AB1980" s="49">
        <f t="shared" si="215"/>
        <v>0</v>
      </c>
      <c r="AC1980" s="60">
        <f t="shared" si="216"/>
        <v>0</v>
      </c>
    </row>
    <row r="1981" spans="1:29">
      <c r="A1981" s="83" t="str">
        <f t="shared" si="210"/>
        <v/>
      </c>
      <c r="B1981" s="83" t="str">
        <f t="shared" si="211"/>
        <v/>
      </c>
      <c r="U1981" s="83" t="str">
        <f t="shared" si="212"/>
        <v/>
      </c>
      <c r="V1981" s="83" t="str">
        <f t="shared" si="213"/>
        <v/>
      </c>
      <c r="AA1981" s="60">
        <f t="shared" si="214"/>
        <v>0</v>
      </c>
      <c r="AB1981" s="49">
        <f t="shared" si="215"/>
        <v>0</v>
      </c>
      <c r="AC1981" s="60">
        <f t="shared" si="216"/>
        <v>0</v>
      </c>
    </row>
    <row r="1982" spans="1:29">
      <c r="A1982" s="83" t="str">
        <f t="shared" si="210"/>
        <v/>
      </c>
      <c r="B1982" s="83" t="str">
        <f t="shared" si="211"/>
        <v/>
      </c>
      <c r="U1982" s="83" t="str">
        <f t="shared" si="212"/>
        <v/>
      </c>
      <c r="V1982" s="83" t="str">
        <f t="shared" si="213"/>
        <v/>
      </c>
      <c r="AA1982" s="60">
        <f t="shared" si="214"/>
        <v>0</v>
      </c>
      <c r="AB1982" s="49">
        <f t="shared" si="215"/>
        <v>0</v>
      </c>
      <c r="AC1982" s="60">
        <f t="shared" si="216"/>
        <v>0</v>
      </c>
    </row>
    <row r="1983" spans="1:29">
      <c r="A1983" s="83" t="str">
        <f t="shared" si="210"/>
        <v/>
      </c>
      <c r="B1983" s="83" t="str">
        <f t="shared" si="211"/>
        <v/>
      </c>
      <c r="U1983" s="83" t="str">
        <f t="shared" si="212"/>
        <v/>
      </c>
      <c r="V1983" s="83" t="str">
        <f t="shared" si="213"/>
        <v/>
      </c>
      <c r="AA1983" s="60">
        <f t="shared" si="214"/>
        <v>0</v>
      </c>
      <c r="AB1983" s="49">
        <f t="shared" si="215"/>
        <v>0</v>
      </c>
      <c r="AC1983" s="60">
        <f t="shared" si="216"/>
        <v>0</v>
      </c>
    </row>
    <row r="1984" spans="1:29">
      <c r="A1984" s="83" t="str">
        <f t="shared" si="210"/>
        <v/>
      </c>
      <c r="B1984" s="83" t="str">
        <f t="shared" si="211"/>
        <v/>
      </c>
      <c r="U1984" s="83" t="str">
        <f t="shared" si="212"/>
        <v/>
      </c>
      <c r="V1984" s="83" t="str">
        <f t="shared" si="213"/>
        <v/>
      </c>
      <c r="AA1984" s="60">
        <f t="shared" si="214"/>
        <v>0</v>
      </c>
      <c r="AB1984" s="49">
        <f t="shared" si="215"/>
        <v>0</v>
      </c>
      <c r="AC1984" s="60">
        <f t="shared" si="216"/>
        <v>0</v>
      </c>
    </row>
    <row r="1985" spans="1:29">
      <c r="A1985" s="83" t="str">
        <f t="shared" si="210"/>
        <v/>
      </c>
      <c r="B1985" s="83" t="str">
        <f t="shared" si="211"/>
        <v/>
      </c>
      <c r="U1985" s="83" t="str">
        <f t="shared" si="212"/>
        <v/>
      </c>
      <c r="V1985" s="83" t="str">
        <f t="shared" si="213"/>
        <v/>
      </c>
      <c r="AA1985" s="60">
        <f t="shared" si="214"/>
        <v>0</v>
      </c>
      <c r="AB1985" s="49">
        <f t="shared" si="215"/>
        <v>0</v>
      </c>
      <c r="AC1985" s="60">
        <f t="shared" si="216"/>
        <v>0</v>
      </c>
    </row>
    <row r="1986" spans="1:29">
      <c r="A1986" s="83" t="str">
        <f t="shared" si="210"/>
        <v/>
      </c>
      <c r="B1986" s="83" t="str">
        <f t="shared" si="211"/>
        <v/>
      </c>
      <c r="U1986" s="83" t="str">
        <f t="shared" si="212"/>
        <v/>
      </c>
      <c r="V1986" s="83" t="str">
        <f t="shared" si="213"/>
        <v/>
      </c>
      <c r="AA1986" s="60">
        <f t="shared" si="214"/>
        <v>0</v>
      </c>
      <c r="AB1986" s="49">
        <f t="shared" si="215"/>
        <v>0</v>
      </c>
      <c r="AC1986" s="60">
        <f t="shared" si="216"/>
        <v>0</v>
      </c>
    </row>
    <row r="1987" spans="1:29">
      <c r="A1987" s="83" t="str">
        <f t="shared" ref="A1987:A2050" si="217">IF(G1987&amp;Q1987&lt;&gt;"",U1987&amp;Q1987,"")</f>
        <v/>
      </c>
      <c r="B1987" s="83" t="str">
        <f t="shared" ref="B1987:B2050" si="218">IF(C1987&lt;&gt;"",LEFT(C1987,9),"")</f>
        <v/>
      </c>
      <c r="U1987" s="83" t="str">
        <f t="shared" ref="U1987:U2050" si="219">IF(G1987&lt;&gt;"",IF(StyleSpaceSplit,IFERROR(IF(FIND(" ",G1987)&gt;=1,MID(G1987,1,FIND(" ",G1987)-1),G1987),G1987),G1987),"")</f>
        <v/>
      </c>
      <c r="V1987" s="83" t="str">
        <f t="shared" ref="V1987:V2050" si="220">IF(A1987&lt;&gt;"",IFERROR(IF(FIND(" ",G1987)&gt;=1,MID(G1987,FIND(" ",G1987)+1,LEN(G1987)),""),G1987),"")</f>
        <v/>
      </c>
      <c r="AA1987" s="60">
        <f t="shared" ref="AA1987:AA2050" si="221">IFERROR(VALUE(MID($C1987,1,2)),0)</f>
        <v>0</v>
      </c>
      <c r="AB1987" s="49">
        <f t="shared" ref="AB1987:AB2050" si="222">IFERROR(VALUE(MID($C1987,4,3)),0)</f>
        <v>0</v>
      </c>
      <c r="AC1987" s="60">
        <f t="shared" ref="AC1987:AC2050" si="223">VALUE(RIGHT("00"&amp;AA1987,2)&amp;RIGHT("000"&amp;AB1987,3))</f>
        <v>0</v>
      </c>
    </row>
    <row r="1988" spans="1:29">
      <c r="A1988" s="83" t="str">
        <f t="shared" si="217"/>
        <v/>
      </c>
      <c r="B1988" s="83" t="str">
        <f t="shared" si="218"/>
        <v/>
      </c>
      <c r="U1988" s="83" t="str">
        <f t="shared" si="219"/>
        <v/>
      </c>
      <c r="V1988" s="83" t="str">
        <f t="shared" si="220"/>
        <v/>
      </c>
      <c r="AA1988" s="60">
        <f t="shared" si="221"/>
        <v>0</v>
      </c>
      <c r="AB1988" s="49">
        <f t="shared" si="222"/>
        <v>0</v>
      </c>
      <c r="AC1988" s="60">
        <f t="shared" si="223"/>
        <v>0</v>
      </c>
    </row>
    <row r="1989" spans="1:29">
      <c r="A1989" s="83" t="str">
        <f t="shared" si="217"/>
        <v/>
      </c>
      <c r="B1989" s="83" t="str">
        <f t="shared" si="218"/>
        <v/>
      </c>
      <c r="U1989" s="83" t="str">
        <f t="shared" si="219"/>
        <v/>
      </c>
      <c r="V1989" s="83" t="str">
        <f t="shared" si="220"/>
        <v/>
      </c>
      <c r="AA1989" s="60">
        <f t="shared" si="221"/>
        <v>0</v>
      </c>
      <c r="AB1989" s="49">
        <f t="shared" si="222"/>
        <v>0</v>
      </c>
      <c r="AC1989" s="60">
        <f t="shared" si="223"/>
        <v>0</v>
      </c>
    </row>
    <row r="1990" spans="1:29">
      <c r="A1990" s="83" t="str">
        <f t="shared" si="217"/>
        <v/>
      </c>
      <c r="B1990" s="83" t="str">
        <f t="shared" si="218"/>
        <v/>
      </c>
      <c r="U1990" s="83" t="str">
        <f t="shared" si="219"/>
        <v/>
      </c>
      <c r="V1990" s="83" t="str">
        <f t="shared" si="220"/>
        <v/>
      </c>
      <c r="AA1990" s="60">
        <f t="shared" si="221"/>
        <v>0</v>
      </c>
      <c r="AB1990" s="49">
        <f t="shared" si="222"/>
        <v>0</v>
      </c>
      <c r="AC1990" s="60">
        <f t="shared" si="223"/>
        <v>0</v>
      </c>
    </row>
    <row r="1991" spans="1:29">
      <c r="A1991" s="83" t="str">
        <f t="shared" si="217"/>
        <v/>
      </c>
      <c r="B1991" s="83" t="str">
        <f t="shared" si="218"/>
        <v/>
      </c>
      <c r="U1991" s="83" t="str">
        <f t="shared" si="219"/>
        <v/>
      </c>
      <c r="V1991" s="83" t="str">
        <f t="shared" si="220"/>
        <v/>
      </c>
      <c r="AA1991" s="60">
        <f t="shared" si="221"/>
        <v>0</v>
      </c>
      <c r="AB1991" s="49">
        <f t="shared" si="222"/>
        <v>0</v>
      </c>
      <c r="AC1991" s="60">
        <f t="shared" si="223"/>
        <v>0</v>
      </c>
    </row>
    <row r="1992" spans="1:29">
      <c r="A1992" s="83" t="str">
        <f t="shared" si="217"/>
        <v/>
      </c>
      <c r="B1992" s="83" t="str">
        <f t="shared" si="218"/>
        <v/>
      </c>
      <c r="U1992" s="83" t="str">
        <f t="shared" si="219"/>
        <v/>
      </c>
      <c r="V1992" s="83" t="str">
        <f t="shared" si="220"/>
        <v/>
      </c>
      <c r="AA1992" s="60">
        <f t="shared" si="221"/>
        <v>0</v>
      </c>
      <c r="AB1992" s="49">
        <f t="shared" si="222"/>
        <v>0</v>
      </c>
      <c r="AC1992" s="60">
        <f t="shared" si="223"/>
        <v>0</v>
      </c>
    </row>
    <row r="1993" spans="1:29">
      <c r="A1993" s="83" t="str">
        <f t="shared" si="217"/>
        <v/>
      </c>
      <c r="B1993" s="83" t="str">
        <f t="shared" si="218"/>
        <v/>
      </c>
      <c r="U1993" s="83" t="str">
        <f t="shared" si="219"/>
        <v/>
      </c>
      <c r="V1993" s="83" t="str">
        <f t="shared" si="220"/>
        <v/>
      </c>
      <c r="AA1993" s="60">
        <f t="shared" si="221"/>
        <v>0</v>
      </c>
      <c r="AB1993" s="49">
        <f t="shared" si="222"/>
        <v>0</v>
      </c>
      <c r="AC1993" s="60">
        <f t="shared" si="223"/>
        <v>0</v>
      </c>
    </row>
    <row r="1994" spans="1:29">
      <c r="A1994" s="83" t="str">
        <f t="shared" si="217"/>
        <v/>
      </c>
      <c r="B1994" s="83" t="str">
        <f t="shared" si="218"/>
        <v/>
      </c>
      <c r="U1994" s="83" t="str">
        <f t="shared" si="219"/>
        <v/>
      </c>
      <c r="V1994" s="83" t="str">
        <f t="shared" si="220"/>
        <v/>
      </c>
      <c r="AA1994" s="60">
        <f t="shared" si="221"/>
        <v>0</v>
      </c>
      <c r="AB1994" s="49">
        <f t="shared" si="222"/>
        <v>0</v>
      </c>
      <c r="AC1994" s="60">
        <f t="shared" si="223"/>
        <v>0</v>
      </c>
    </row>
    <row r="1995" spans="1:29">
      <c r="A1995" s="83" t="str">
        <f t="shared" si="217"/>
        <v/>
      </c>
      <c r="B1995" s="83" t="str">
        <f t="shared" si="218"/>
        <v/>
      </c>
      <c r="U1995" s="83" t="str">
        <f t="shared" si="219"/>
        <v/>
      </c>
      <c r="V1995" s="83" t="str">
        <f t="shared" si="220"/>
        <v/>
      </c>
      <c r="AA1995" s="60">
        <f t="shared" si="221"/>
        <v>0</v>
      </c>
      <c r="AB1995" s="49">
        <f t="shared" si="222"/>
        <v>0</v>
      </c>
      <c r="AC1995" s="60">
        <f t="shared" si="223"/>
        <v>0</v>
      </c>
    </row>
    <row r="1996" spans="1:29">
      <c r="A1996" s="83" t="str">
        <f t="shared" si="217"/>
        <v/>
      </c>
      <c r="B1996" s="83" t="str">
        <f t="shared" si="218"/>
        <v/>
      </c>
      <c r="U1996" s="83" t="str">
        <f t="shared" si="219"/>
        <v/>
      </c>
      <c r="V1996" s="83" t="str">
        <f t="shared" si="220"/>
        <v/>
      </c>
      <c r="AA1996" s="60">
        <f t="shared" si="221"/>
        <v>0</v>
      </c>
      <c r="AB1996" s="49">
        <f t="shared" si="222"/>
        <v>0</v>
      </c>
      <c r="AC1996" s="60">
        <f t="shared" si="223"/>
        <v>0</v>
      </c>
    </row>
    <row r="1997" spans="1:29">
      <c r="A1997" s="83" t="str">
        <f t="shared" si="217"/>
        <v/>
      </c>
      <c r="B1997" s="83" t="str">
        <f t="shared" si="218"/>
        <v/>
      </c>
      <c r="U1997" s="83" t="str">
        <f t="shared" si="219"/>
        <v/>
      </c>
      <c r="V1997" s="83" t="str">
        <f t="shared" si="220"/>
        <v/>
      </c>
      <c r="AA1997" s="60">
        <f t="shared" si="221"/>
        <v>0</v>
      </c>
      <c r="AB1997" s="49">
        <f t="shared" si="222"/>
        <v>0</v>
      </c>
      <c r="AC1997" s="60">
        <f t="shared" si="223"/>
        <v>0</v>
      </c>
    </row>
    <row r="1998" spans="1:29">
      <c r="A1998" s="83" t="str">
        <f t="shared" si="217"/>
        <v/>
      </c>
      <c r="B1998" s="83" t="str">
        <f t="shared" si="218"/>
        <v/>
      </c>
      <c r="U1998" s="83" t="str">
        <f t="shared" si="219"/>
        <v/>
      </c>
      <c r="V1998" s="83" t="str">
        <f t="shared" si="220"/>
        <v/>
      </c>
      <c r="AA1998" s="60">
        <f t="shared" si="221"/>
        <v>0</v>
      </c>
      <c r="AB1998" s="49">
        <f t="shared" si="222"/>
        <v>0</v>
      </c>
      <c r="AC1998" s="60">
        <f t="shared" si="223"/>
        <v>0</v>
      </c>
    </row>
    <row r="1999" spans="1:29">
      <c r="A1999" s="83" t="str">
        <f t="shared" si="217"/>
        <v/>
      </c>
      <c r="B1999" s="83" t="str">
        <f t="shared" si="218"/>
        <v/>
      </c>
      <c r="U1999" s="83" t="str">
        <f t="shared" si="219"/>
        <v/>
      </c>
      <c r="V1999" s="83" t="str">
        <f t="shared" si="220"/>
        <v/>
      </c>
      <c r="AA1999" s="60">
        <f t="shared" si="221"/>
        <v>0</v>
      </c>
      <c r="AB1999" s="49">
        <f t="shared" si="222"/>
        <v>0</v>
      </c>
      <c r="AC1999" s="60">
        <f t="shared" si="223"/>
        <v>0</v>
      </c>
    </row>
    <row r="2000" spans="1:29">
      <c r="A2000" s="83" t="str">
        <f t="shared" si="217"/>
        <v/>
      </c>
      <c r="B2000" s="83" t="str">
        <f t="shared" si="218"/>
        <v/>
      </c>
      <c r="U2000" s="83" t="str">
        <f t="shared" si="219"/>
        <v/>
      </c>
      <c r="V2000" s="83" t="str">
        <f t="shared" si="220"/>
        <v/>
      </c>
      <c r="AA2000" s="60">
        <f t="shared" si="221"/>
        <v>0</v>
      </c>
      <c r="AB2000" s="49">
        <f t="shared" si="222"/>
        <v>0</v>
      </c>
      <c r="AC2000" s="60">
        <f t="shared" si="223"/>
        <v>0</v>
      </c>
    </row>
    <row r="2001" spans="1:29">
      <c r="A2001" s="83" t="str">
        <f t="shared" si="217"/>
        <v/>
      </c>
      <c r="B2001" s="83" t="str">
        <f t="shared" si="218"/>
        <v/>
      </c>
      <c r="U2001" s="83" t="str">
        <f t="shared" si="219"/>
        <v/>
      </c>
      <c r="V2001" s="83" t="str">
        <f t="shared" si="220"/>
        <v/>
      </c>
      <c r="AA2001" s="60">
        <f t="shared" si="221"/>
        <v>0</v>
      </c>
      <c r="AB2001" s="49">
        <f t="shared" si="222"/>
        <v>0</v>
      </c>
      <c r="AC2001" s="60">
        <f t="shared" si="223"/>
        <v>0</v>
      </c>
    </row>
    <row r="2002" spans="1:29">
      <c r="A2002" s="83" t="str">
        <f t="shared" si="217"/>
        <v/>
      </c>
      <c r="B2002" s="83" t="str">
        <f t="shared" si="218"/>
        <v/>
      </c>
      <c r="U2002" s="83" t="str">
        <f t="shared" si="219"/>
        <v/>
      </c>
      <c r="V2002" s="83" t="str">
        <f t="shared" si="220"/>
        <v/>
      </c>
      <c r="AA2002" s="60">
        <f t="shared" si="221"/>
        <v>0</v>
      </c>
      <c r="AB2002" s="49">
        <f t="shared" si="222"/>
        <v>0</v>
      </c>
      <c r="AC2002" s="60">
        <f t="shared" si="223"/>
        <v>0</v>
      </c>
    </row>
    <row r="2003" spans="1:29">
      <c r="A2003" s="83" t="str">
        <f t="shared" si="217"/>
        <v/>
      </c>
      <c r="B2003" s="83" t="str">
        <f t="shared" si="218"/>
        <v/>
      </c>
      <c r="U2003" s="83" t="str">
        <f t="shared" si="219"/>
        <v/>
      </c>
      <c r="V2003" s="83" t="str">
        <f t="shared" si="220"/>
        <v/>
      </c>
      <c r="AA2003" s="60">
        <f t="shared" si="221"/>
        <v>0</v>
      </c>
      <c r="AB2003" s="49">
        <f t="shared" si="222"/>
        <v>0</v>
      </c>
      <c r="AC2003" s="60">
        <f t="shared" si="223"/>
        <v>0</v>
      </c>
    </row>
    <row r="2004" spans="1:29">
      <c r="A2004" s="83" t="str">
        <f t="shared" si="217"/>
        <v/>
      </c>
      <c r="B2004" s="83" t="str">
        <f t="shared" si="218"/>
        <v/>
      </c>
      <c r="U2004" s="83" t="str">
        <f t="shared" si="219"/>
        <v/>
      </c>
      <c r="V2004" s="83" t="str">
        <f t="shared" si="220"/>
        <v/>
      </c>
      <c r="AA2004" s="60">
        <f t="shared" si="221"/>
        <v>0</v>
      </c>
      <c r="AB2004" s="49">
        <f t="shared" si="222"/>
        <v>0</v>
      </c>
      <c r="AC2004" s="60">
        <f t="shared" si="223"/>
        <v>0</v>
      </c>
    </row>
    <row r="2005" spans="1:29">
      <c r="A2005" s="83" t="str">
        <f t="shared" si="217"/>
        <v/>
      </c>
      <c r="B2005" s="83" t="str">
        <f t="shared" si="218"/>
        <v/>
      </c>
      <c r="U2005" s="83" t="str">
        <f t="shared" si="219"/>
        <v/>
      </c>
      <c r="V2005" s="83" t="str">
        <f t="shared" si="220"/>
        <v/>
      </c>
      <c r="AA2005" s="60">
        <f t="shared" si="221"/>
        <v>0</v>
      </c>
      <c r="AB2005" s="49">
        <f t="shared" si="222"/>
        <v>0</v>
      </c>
      <c r="AC2005" s="60">
        <f t="shared" si="223"/>
        <v>0</v>
      </c>
    </row>
    <row r="2006" spans="1:29">
      <c r="A2006" s="83" t="str">
        <f t="shared" si="217"/>
        <v/>
      </c>
      <c r="B2006" s="83" t="str">
        <f t="shared" si="218"/>
        <v/>
      </c>
      <c r="U2006" s="83" t="str">
        <f t="shared" si="219"/>
        <v/>
      </c>
      <c r="V2006" s="83" t="str">
        <f t="shared" si="220"/>
        <v/>
      </c>
      <c r="AA2006" s="60">
        <f t="shared" si="221"/>
        <v>0</v>
      </c>
      <c r="AB2006" s="49">
        <f t="shared" si="222"/>
        <v>0</v>
      </c>
      <c r="AC2006" s="60">
        <f t="shared" si="223"/>
        <v>0</v>
      </c>
    </row>
    <row r="2007" spans="1:29">
      <c r="A2007" s="83" t="str">
        <f t="shared" si="217"/>
        <v/>
      </c>
      <c r="B2007" s="83" t="str">
        <f t="shared" si="218"/>
        <v/>
      </c>
      <c r="U2007" s="83" t="str">
        <f t="shared" si="219"/>
        <v/>
      </c>
      <c r="V2007" s="83" t="str">
        <f t="shared" si="220"/>
        <v/>
      </c>
      <c r="AA2007" s="60">
        <f t="shared" si="221"/>
        <v>0</v>
      </c>
      <c r="AB2007" s="49">
        <f t="shared" si="222"/>
        <v>0</v>
      </c>
      <c r="AC2007" s="60">
        <f t="shared" si="223"/>
        <v>0</v>
      </c>
    </row>
    <row r="2008" spans="1:29">
      <c r="A2008" s="83" t="str">
        <f t="shared" si="217"/>
        <v/>
      </c>
      <c r="B2008" s="83" t="str">
        <f t="shared" si="218"/>
        <v/>
      </c>
      <c r="U2008" s="83" t="str">
        <f t="shared" si="219"/>
        <v/>
      </c>
      <c r="V2008" s="83" t="str">
        <f t="shared" si="220"/>
        <v/>
      </c>
      <c r="AA2008" s="60">
        <f t="shared" si="221"/>
        <v>0</v>
      </c>
      <c r="AB2008" s="49">
        <f t="shared" si="222"/>
        <v>0</v>
      </c>
      <c r="AC2008" s="60">
        <f t="shared" si="223"/>
        <v>0</v>
      </c>
    </row>
    <row r="2009" spans="1:29">
      <c r="A2009" s="83" t="str">
        <f t="shared" si="217"/>
        <v/>
      </c>
      <c r="B2009" s="83" t="str">
        <f t="shared" si="218"/>
        <v/>
      </c>
      <c r="U2009" s="83" t="str">
        <f t="shared" si="219"/>
        <v/>
      </c>
      <c r="V2009" s="83" t="str">
        <f t="shared" si="220"/>
        <v/>
      </c>
      <c r="AA2009" s="60">
        <f t="shared" si="221"/>
        <v>0</v>
      </c>
      <c r="AB2009" s="49">
        <f t="shared" si="222"/>
        <v>0</v>
      </c>
      <c r="AC2009" s="60">
        <f t="shared" si="223"/>
        <v>0</v>
      </c>
    </row>
    <row r="2010" spans="1:29">
      <c r="A2010" s="83" t="str">
        <f t="shared" si="217"/>
        <v/>
      </c>
      <c r="B2010" s="83" t="str">
        <f t="shared" si="218"/>
        <v/>
      </c>
      <c r="U2010" s="83" t="str">
        <f t="shared" si="219"/>
        <v/>
      </c>
      <c r="V2010" s="83" t="str">
        <f t="shared" si="220"/>
        <v/>
      </c>
      <c r="AA2010" s="60">
        <f t="shared" si="221"/>
        <v>0</v>
      </c>
      <c r="AB2010" s="49">
        <f t="shared" si="222"/>
        <v>0</v>
      </c>
      <c r="AC2010" s="60">
        <f t="shared" si="223"/>
        <v>0</v>
      </c>
    </row>
    <row r="2011" spans="1:29">
      <c r="A2011" s="83" t="str">
        <f t="shared" si="217"/>
        <v/>
      </c>
      <c r="B2011" s="83" t="str">
        <f t="shared" si="218"/>
        <v/>
      </c>
      <c r="U2011" s="83" t="str">
        <f t="shared" si="219"/>
        <v/>
      </c>
      <c r="V2011" s="83" t="str">
        <f t="shared" si="220"/>
        <v/>
      </c>
      <c r="AA2011" s="60">
        <f t="shared" si="221"/>
        <v>0</v>
      </c>
      <c r="AB2011" s="49">
        <f t="shared" si="222"/>
        <v>0</v>
      </c>
      <c r="AC2011" s="60">
        <f t="shared" si="223"/>
        <v>0</v>
      </c>
    </row>
    <row r="2012" spans="1:29">
      <c r="A2012" s="83" t="str">
        <f t="shared" si="217"/>
        <v/>
      </c>
      <c r="B2012" s="83" t="str">
        <f t="shared" si="218"/>
        <v/>
      </c>
      <c r="U2012" s="83" t="str">
        <f t="shared" si="219"/>
        <v/>
      </c>
      <c r="V2012" s="83" t="str">
        <f t="shared" si="220"/>
        <v/>
      </c>
      <c r="AA2012" s="60">
        <f t="shared" si="221"/>
        <v>0</v>
      </c>
      <c r="AB2012" s="49">
        <f t="shared" si="222"/>
        <v>0</v>
      </c>
      <c r="AC2012" s="60">
        <f t="shared" si="223"/>
        <v>0</v>
      </c>
    </row>
    <row r="2013" spans="1:29">
      <c r="A2013" s="83" t="str">
        <f t="shared" si="217"/>
        <v/>
      </c>
      <c r="B2013" s="83" t="str">
        <f t="shared" si="218"/>
        <v/>
      </c>
      <c r="U2013" s="83" t="str">
        <f t="shared" si="219"/>
        <v/>
      </c>
      <c r="V2013" s="83" t="str">
        <f t="shared" si="220"/>
        <v/>
      </c>
      <c r="AA2013" s="60">
        <f t="shared" si="221"/>
        <v>0</v>
      </c>
      <c r="AB2013" s="49">
        <f t="shared" si="222"/>
        <v>0</v>
      </c>
      <c r="AC2013" s="60">
        <f t="shared" si="223"/>
        <v>0</v>
      </c>
    </row>
    <row r="2014" spans="1:29">
      <c r="A2014" s="83" t="str">
        <f t="shared" si="217"/>
        <v/>
      </c>
      <c r="B2014" s="83" t="str">
        <f t="shared" si="218"/>
        <v/>
      </c>
      <c r="U2014" s="83" t="str">
        <f t="shared" si="219"/>
        <v/>
      </c>
      <c r="V2014" s="83" t="str">
        <f t="shared" si="220"/>
        <v/>
      </c>
      <c r="AA2014" s="60">
        <f t="shared" si="221"/>
        <v>0</v>
      </c>
      <c r="AB2014" s="49">
        <f t="shared" si="222"/>
        <v>0</v>
      </c>
      <c r="AC2014" s="60">
        <f t="shared" si="223"/>
        <v>0</v>
      </c>
    </row>
    <row r="2015" spans="1:29">
      <c r="A2015" s="83" t="str">
        <f t="shared" si="217"/>
        <v/>
      </c>
      <c r="B2015" s="83" t="str">
        <f t="shared" si="218"/>
        <v/>
      </c>
      <c r="U2015" s="83" t="str">
        <f t="shared" si="219"/>
        <v/>
      </c>
      <c r="V2015" s="83" t="str">
        <f t="shared" si="220"/>
        <v/>
      </c>
      <c r="AA2015" s="60">
        <f t="shared" si="221"/>
        <v>0</v>
      </c>
      <c r="AB2015" s="49">
        <f t="shared" si="222"/>
        <v>0</v>
      </c>
      <c r="AC2015" s="60">
        <f t="shared" si="223"/>
        <v>0</v>
      </c>
    </row>
    <row r="2016" spans="1:29">
      <c r="A2016" s="83" t="str">
        <f t="shared" si="217"/>
        <v/>
      </c>
      <c r="B2016" s="83" t="str">
        <f t="shared" si="218"/>
        <v/>
      </c>
      <c r="U2016" s="83" t="str">
        <f t="shared" si="219"/>
        <v/>
      </c>
      <c r="V2016" s="83" t="str">
        <f t="shared" si="220"/>
        <v/>
      </c>
      <c r="AA2016" s="60">
        <f t="shared" si="221"/>
        <v>0</v>
      </c>
      <c r="AB2016" s="49">
        <f t="shared" si="222"/>
        <v>0</v>
      </c>
      <c r="AC2016" s="60">
        <f t="shared" si="223"/>
        <v>0</v>
      </c>
    </row>
    <row r="2017" spans="1:29">
      <c r="A2017" s="83" t="str">
        <f t="shared" si="217"/>
        <v/>
      </c>
      <c r="B2017" s="83" t="str">
        <f t="shared" si="218"/>
        <v/>
      </c>
      <c r="U2017" s="83" t="str">
        <f t="shared" si="219"/>
        <v/>
      </c>
      <c r="V2017" s="83" t="str">
        <f t="shared" si="220"/>
        <v/>
      </c>
      <c r="AA2017" s="60">
        <f t="shared" si="221"/>
        <v>0</v>
      </c>
      <c r="AB2017" s="49">
        <f t="shared" si="222"/>
        <v>0</v>
      </c>
      <c r="AC2017" s="60">
        <f t="shared" si="223"/>
        <v>0</v>
      </c>
    </row>
    <row r="2018" spans="1:29">
      <c r="A2018" s="83" t="str">
        <f t="shared" si="217"/>
        <v/>
      </c>
      <c r="B2018" s="83" t="str">
        <f t="shared" si="218"/>
        <v/>
      </c>
      <c r="U2018" s="83" t="str">
        <f t="shared" si="219"/>
        <v/>
      </c>
      <c r="V2018" s="83" t="str">
        <f t="shared" si="220"/>
        <v/>
      </c>
      <c r="AA2018" s="60">
        <f t="shared" si="221"/>
        <v>0</v>
      </c>
      <c r="AB2018" s="49">
        <f t="shared" si="222"/>
        <v>0</v>
      </c>
      <c r="AC2018" s="60">
        <f t="shared" si="223"/>
        <v>0</v>
      </c>
    </row>
    <row r="2019" spans="1:29">
      <c r="A2019" s="83" t="str">
        <f t="shared" si="217"/>
        <v/>
      </c>
      <c r="B2019" s="83" t="str">
        <f t="shared" si="218"/>
        <v/>
      </c>
      <c r="U2019" s="83" t="str">
        <f t="shared" si="219"/>
        <v/>
      </c>
      <c r="V2019" s="83" t="str">
        <f t="shared" si="220"/>
        <v/>
      </c>
      <c r="AA2019" s="60">
        <f t="shared" si="221"/>
        <v>0</v>
      </c>
      <c r="AB2019" s="49">
        <f t="shared" si="222"/>
        <v>0</v>
      </c>
      <c r="AC2019" s="60">
        <f t="shared" si="223"/>
        <v>0</v>
      </c>
    </row>
    <row r="2020" spans="1:29">
      <c r="A2020" s="83" t="str">
        <f t="shared" si="217"/>
        <v/>
      </c>
      <c r="B2020" s="83" t="str">
        <f t="shared" si="218"/>
        <v/>
      </c>
      <c r="U2020" s="83" t="str">
        <f t="shared" si="219"/>
        <v/>
      </c>
      <c r="V2020" s="83" t="str">
        <f t="shared" si="220"/>
        <v/>
      </c>
      <c r="AA2020" s="60">
        <f t="shared" si="221"/>
        <v>0</v>
      </c>
      <c r="AB2020" s="49">
        <f t="shared" si="222"/>
        <v>0</v>
      </c>
      <c r="AC2020" s="60">
        <f t="shared" si="223"/>
        <v>0</v>
      </c>
    </row>
    <row r="2021" spans="1:29">
      <c r="A2021" s="83" t="str">
        <f t="shared" si="217"/>
        <v/>
      </c>
      <c r="B2021" s="83" t="str">
        <f t="shared" si="218"/>
        <v/>
      </c>
      <c r="U2021" s="83" t="str">
        <f t="shared" si="219"/>
        <v/>
      </c>
      <c r="V2021" s="83" t="str">
        <f t="shared" si="220"/>
        <v/>
      </c>
      <c r="AA2021" s="60">
        <f t="shared" si="221"/>
        <v>0</v>
      </c>
      <c r="AB2021" s="49">
        <f t="shared" si="222"/>
        <v>0</v>
      </c>
      <c r="AC2021" s="60">
        <f t="shared" si="223"/>
        <v>0</v>
      </c>
    </row>
    <row r="2022" spans="1:29">
      <c r="A2022" s="83" t="str">
        <f t="shared" si="217"/>
        <v/>
      </c>
      <c r="B2022" s="83" t="str">
        <f t="shared" si="218"/>
        <v/>
      </c>
      <c r="U2022" s="83" t="str">
        <f t="shared" si="219"/>
        <v/>
      </c>
      <c r="V2022" s="83" t="str">
        <f t="shared" si="220"/>
        <v/>
      </c>
      <c r="AA2022" s="60">
        <f t="shared" si="221"/>
        <v>0</v>
      </c>
      <c r="AB2022" s="49">
        <f t="shared" si="222"/>
        <v>0</v>
      </c>
      <c r="AC2022" s="60">
        <f t="shared" si="223"/>
        <v>0</v>
      </c>
    </row>
    <row r="2023" spans="1:29">
      <c r="A2023" s="83" t="str">
        <f t="shared" si="217"/>
        <v/>
      </c>
      <c r="B2023" s="83" t="str">
        <f t="shared" si="218"/>
        <v/>
      </c>
      <c r="U2023" s="83" t="str">
        <f t="shared" si="219"/>
        <v/>
      </c>
      <c r="V2023" s="83" t="str">
        <f t="shared" si="220"/>
        <v/>
      </c>
      <c r="AA2023" s="60">
        <f t="shared" si="221"/>
        <v>0</v>
      </c>
      <c r="AB2023" s="49">
        <f t="shared" si="222"/>
        <v>0</v>
      </c>
      <c r="AC2023" s="60">
        <f t="shared" si="223"/>
        <v>0</v>
      </c>
    </row>
    <row r="2024" spans="1:29">
      <c r="A2024" s="83" t="str">
        <f t="shared" si="217"/>
        <v/>
      </c>
      <c r="B2024" s="83" t="str">
        <f t="shared" si="218"/>
        <v/>
      </c>
      <c r="U2024" s="83" t="str">
        <f t="shared" si="219"/>
        <v/>
      </c>
      <c r="V2024" s="83" t="str">
        <f t="shared" si="220"/>
        <v/>
      </c>
      <c r="AA2024" s="60">
        <f t="shared" si="221"/>
        <v>0</v>
      </c>
      <c r="AB2024" s="49">
        <f t="shared" si="222"/>
        <v>0</v>
      </c>
      <c r="AC2024" s="60">
        <f t="shared" si="223"/>
        <v>0</v>
      </c>
    </row>
    <row r="2025" spans="1:29">
      <c r="A2025" s="83" t="str">
        <f t="shared" si="217"/>
        <v/>
      </c>
      <c r="B2025" s="83" t="str">
        <f t="shared" si="218"/>
        <v/>
      </c>
      <c r="U2025" s="83" t="str">
        <f t="shared" si="219"/>
        <v/>
      </c>
      <c r="V2025" s="83" t="str">
        <f t="shared" si="220"/>
        <v/>
      </c>
      <c r="AA2025" s="60">
        <f t="shared" si="221"/>
        <v>0</v>
      </c>
      <c r="AB2025" s="49">
        <f t="shared" si="222"/>
        <v>0</v>
      </c>
      <c r="AC2025" s="60">
        <f t="shared" si="223"/>
        <v>0</v>
      </c>
    </row>
    <row r="2026" spans="1:29">
      <c r="A2026" s="83" t="str">
        <f t="shared" si="217"/>
        <v/>
      </c>
      <c r="B2026" s="83" t="str">
        <f t="shared" si="218"/>
        <v/>
      </c>
      <c r="U2026" s="83" t="str">
        <f t="shared" si="219"/>
        <v/>
      </c>
      <c r="V2026" s="83" t="str">
        <f t="shared" si="220"/>
        <v/>
      </c>
      <c r="AA2026" s="60">
        <f t="shared" si="221"/>
        <v>0</v>
      </c>
      <c r="AB2026" s="49">
        <f t="shared" si="222"/>
        <v>0</v>
      </c>
      <c r="AC2026" s="60">
        <f t="shared" si="223"/>
        <v>0</v>
      </c>
    </row>
    <row r="2027" spans="1:29">
      <c r="A2027" s="83" t="str">
        <f t="shared" si="217"/>
        <v/>
      </c>
      <c r="B2027" s="83" t="str">
        <f t="shared" si="218"/>
        <v/>
      </c>
      <c r="U2027" s="83" t="str">
        <f t="shared" si="219"/>
        <v/>
      </c>
      <c r="V2027" s="83" t="str">
        <f t="shared" si="220"/>
        <v/>
      </c>
      <c r="AA2027" s="60">
        <f t="shared" si="221"/>
        <v>0</v>
      </c>
      <c r="AB2027" s="49">
        <f t="shared" si="222"/>
        <v>0</v>
      </c>
      <c r="AC2027" s="60">
        <f t="shared" si="223"/>
        <v>0</v>
      </c>
    </row>
    <row r="2028" spans="1:29">
      <c r="A2028" s="83" t="str">
        <f t="shared" si="217"/>
        <v/>
      </c>
      <c r="B2028" s="83" t="str">
        <f t="shared" si="218"/>
        <v/>
      </c>
      <c r="U2028" s="83" t="str">
        <f t="shared" si="219"/>
        <v/>
      </c>
      <c r="V2028" s="83" t="str">
        <f t="shared" si="220"/>
        <v/>
      </c>
      <c r="AA2028" s="60">
        <f t="shared" si="221"/>
        <v>0</v>
      </c>
      <c r="AB2028" s="49">
        <f t="shared" si="222"/>
        <v>0</v>
      </c>
      <c r="AC2028" s="60">
        <f t="shared" si="223"/>
        <v>0</v>
      </c>
    </row>
    <row r="2029" spans="1:29">
      <c r="A2029" s="83" t="str">
        <f t="shared" si="217"/>
        <v/>
      </c>
      <c r="B2029" s="83" t="str">
        <f t="shared" si="218"/>
        <v/>
      </c>
      <c r="U2029" s="83" t="str">
        <f t="shared" si="219"/>
        <v/>
      </c>
      <c r="V2029" s="83" t="str">
        <f t="shared" si="220"/>
        <v/>
      </c>
      <c r="AA2029" s="60">
        <f t="shared" si="221"/>
        <v>0</v>
      </c>
      <c r="AB2029" s="49">
        <f t="shared" si="222"/>
        <v>0</v>
      </c>
      <c r="AC2029" s="60">
        <f t="shared" si="223"/>
        <v>0</v>
      </c>
    </row>
    <row r="2030" spans="1:29">
      <c r="A2030" s="83" t="str">
        <f t="shared" si="217"/>
        <v/>
      </c>
      <c r="B2030" s="83" t="str">
        <f t="shared" si="218"/>
        <v/>
      </c>
      <c r="U2030" s="83" t="str">
        <f t="shared" si="219"/>
        <v/>
      </c>
      <c r="V2030" s="83" t="str">
        <f t="shared" si="220"/>
        <v/>
      </c>
      <c r="AA2030" s="60">
        <f t="shared" si="221"/>
        <v>0</v>
      </c>
      <c r="AB2030" s="49">
        <f t="shared" si="222"/>
        <v>0</v>
      </c>
      <c r="AC2030" s="60">
        <f t="shared" si="223"/>
        <v>0</v>
      </c>
    </row>
    <row r="2031" spans="1:29">
      <c r="A2031" s="83" t="str">
        <f t="shared" si="217"/>
        <v/>
      </c>
      <c r="B2031" s="83" t="str">
        <f t="shared" si="218"/>
        <v/>
      </c>
      <c r="U2031" s="83" t="str">
        <f t="shared" si="219"/>
        <v/>
      </c>
      <c r="V2031" s="83" t="str">
        <f t="shared" si="220"/>
        <v/>
      </c>
      <c r="AA2031" s="60">
        <f t="shared" si="221"/>
        <v>0</v>
      </c>
      <c r="AB2031" s="49">
        <f t="shared" si="222"/>
        <v>0</v>
      </c>
      <c r="AC2031" s="60">
        <f t="shared" si="223"/>
        <v>0</v>
      </c>
    </row>
    <row r="2032" spans="1:29">
      <c r="A2032" s="83" t="str">
        <f t="shared" si="217"/>
        <v/>
      </c>
      <c r="B2032" s="83" t="str">
        <f t="shared" si="218"/>
        <v/>
      </c>
      <c r="U2032" s="83" t="str">
        <f t="shared" si="219"/>
        <v/>
      </c>
      <c r="V2032" s="83" t="str">
        <f t="shared" si="220"/>
        <v/>
      </c>
      <c r="AA2032" s="60">
        <f t="shared" si="221"/>
        <v>0</v>
      </c>
      <c r="AB2032" s="49">
        <f t="shared" si="222"/>
        <v>0</v>
      </c>
      <c r="AC2032" s="60">
        <f t="shared" si="223"/>
        <v>0</v>
      </c>
    </row>
    <row r="2033" spans="1:29">
      <c r="A2033" s="83" t="str">
        <f t="shared" si="217"/>
        <v/>
      </c>
      <c r="B2033" s="83" t="str">
        <f t="shared" si="218"/>
        <v/>
      </c>
      <c r="U2033" s="83" t="str">
        <f t="shared" si="219"/>
        <v/>
      </c>
      <c r="V2033" s="83" t="str">
        <f t="shared" si="220"/>
        <v/>
      </c>
      <c r="AA2033" s="60">
        <f t="shared" si="221"/>
        <v>0</v>
      </c>
      <c r="AB2033" s="49">
        <f t="shared" si="222"/>
        <v>0</v>
      </c>
      <c r="AC2033" s="60">
        <f t="shared" si="223"/>
        <v>0</v>
      </c>
    </row>
    <row r="2034" spans="1:29">
      <c r="A2034" s="83" t="str">
        <f t="shared" si="217"/>
        <v/>
      </c>
      <c r="B2034" s="83" t="str">
        <f t="shared" si="218"/>
        <v/>
      </c>
      <c r="U2034" s="83" t="str">
        <f t="shared" si="219"/>
        <v/>
      </c>
      <c r="V2034" s="83" t="str">
        <f t="shared" si="220"/>
        <v/>
      </c>
      <c r="AA2034" s="60">
        <f t="shared" si="221"/>
        <v>0</v>
      </c>
      <c r="AB2034" s="49">
        <f t="shared" si="222"/>
        <v>0</v>
      </c>
      <c r="AC2034" s="60">
        <f t="shared" si="223"/>
        <v>0</v>
      </c>
    </row>
    <row r="2035" spans="1:29">
      <c r="A2035" s="83" t="str">
        <f t="shared" si="217"/>
        <v/>
      </c>
      <c r="B2035" s="83" t="str">
        <f t="shared" si="218"/>
        <v/>
      </c>
      <c r="U2035" s="83" t="str">
        <f t="shared" si="219"/>
        <v/>
      </c>
      <c r="V2035" s="83" t="str">
        <f t="shared" si="220"/>
        <v/>
      </c>
      <c r="AA2035" s="60">
        <f t="shared" si="221"/>
        <v>0</v>
      </c>
      <c r="AB2035" s="49">
        <f t="shared" si="222"/>
        <v>0</v>
      </c>
      <c r="AC2035" s="60">
        <f t="shared" si="223"/>
        <v>0</v>
      </c>
    </row>
    <row r="2036" spans="1:29">
      <c r="A2036" s="83" t="str">
        <f t="shared" si="217"/>
        <v/>
      </c>
      <c r="B2036" s="83" t="str">
        <f t="shared" si="218"/>
        <v/>
      </c>
      <c r="U2036" s="83" t="str">
        <f t="shared" si="219"/>
        <v/>
      </c>
      <c r="V2036" s="83" t="str">
        <f t="shared" si="220"/>
        <v/>
      </c>
      <c r="AA2036" s="60">
        <f t="shared" si="221"/>
        <v>0</v>
      </c>
      <c r="AB2036" s="49">
        <f t="shared" si="222"/>
        <v>0</v>
      </c>
      <c r="AC2036" s="60">
        <f t="shared" si="223"/>
        <v>0</v>
      </c>
    </row>
    <row r="2037" spans="1:29">
      <c r="A2037" s="83" t="str">
        <f t="shared" si="217"/>
        <v/>
      </c>
      <c r="B2037" s="83" t="str">
        <f t="shared" si="218"/>
        <v/>
      </c>
      <c r="U2037" s="83" t="str">
        <f t="shared" si="219"/>
        <v/>
      </c>
      <c r="V2037" s="83" t="str">
        <f t="shared" si="220"/>
        <v/>
      </c>
      <c r="AA2037" s="60">
        <f t="shared" si="221"/>
        <v>0</v>
      </c>
      <c r="AB2037" s="49">
        <f t="shared" si="222"/>
        <v>0</v>
      </c>
      <c r="AC2037" s="60">
        <f t="shared" si="223"/>
        <v>0</v>
      </c>
    </row>
    <row r="2038" spans="1:29">
      <c r="A2038" s="83" t="str">
        <f t="shared" si="217"/>
        <v/>
      </c>
      <c r="B2038" s="83" t="str">
        <f t="shared" si="218"/>
        <v/>
      </c>
      <c r="U2038" s="83" t="str">
        <f t="shared" si="219"/>
        <v/>
      </c>
      <c r="V2038" s="83" t="str">
        <f t="shared" si="220"/>
        <v/>
      </c>
      <c r="AA2038" s="60">
        <f t="shared" si="221"/>
        <v>0</v>
      </c>
      <c r="AB2038" s="49">
        <f t="shared" si="222"/>
        <v>0</v>
      </c>
      <c r="AC2038" s="60">
        <f t="shared" si="223"/>
        <v>0</v>
      </c>
    </row>
    <row r="2039" spans="1:29">
      <c r="A2039" s="83" t="str">
        <f t="shared" si="217"/>
        <v/>
      </c>
      <c r="B2039" s="83" t="str">
        <f t="shared" si="218"/>
        <v/>
      </c>
      <c r="U2039" s="83" t="str">
        <f t="shared" si="219"/>
        <v/>
      </c>
      <c r="V2039" s="83" t="str">
        <f t="shared" si="220"/>
        <v/>
      </c>
      <c r="AA2039" s="60">
        <f t="shared" si="221"/>
        <v>0</v>
      </c>
      <c r="AB2039" s="49">
        <f t="shared" si="222"/>
        <v>0</v>
      </c>
      <c r="AC2039" s="60">
        <f t="shared" si="223"/>
        <v>0</v>
      </c>
    </row>
    <row r="2040" spans="1:29">
      <c r="A2040" s="83" t="str">
        <f t="shared" si="217"/>
        <v/>
      </c>
      <c r="B2040" s="83" t="str">
        <f t="shared" si="218"/>
        <v/>
      </c>
      <c r="U2040" s="83" t="str">
        <f t="shared" si="219"/>
        <v/>
      </c>
      <c r="V2040" s="83" t="str">
        <f t="shared" si="220"/>
        <v/>
      </c>
      <c r="AA2040" s="60">
        <f t="shared" si="221"/>
        <v>0</v>
      </c>
      <c r="AB2040" s="49">
        <f t="shared" si="222"/>
        <v>0</v>
      </c>
      <c r="AC2040" s="60">
        <f t="shared" si="223"/>
        <v>0</v>
      </c>
    </row>
    <row r="2041" spans="1:29">
      <c r="A2041" s="83" t="str">
        <f t="shared" si="217"/>
        <v/>
      </c>
      <c r="B2041" s="83" t="str">
        <f t="shared" si="218"/>
        <v/>
      </c>
      <c r="U2041" s="83" t="str">
        <f t="shared" si="219"/>
        <v/>
      </c>
      <c r="V2041" s="83" t="str">
        <f t="shared" si="220"/>
        <v/>
      </c>
      <c r="AA2041" s="60">
        <f t="shared" si="221"/>
        <v>0</v>
      </c>
      <c r="AB2041" s="49">
        <f t="shared" si="222"/>
        <v>0</v>
      </c>
      <c r="AC2041" s="60">
        <f t="shared" si="223"/>
        <v>0</v>
      </c>
    </row>
    <row r="2042" spans="1:29">
      <c r="A2042" s="83" t="str">
        <f t="shared" si="217"/>
        <v/>
      </c>
      <c r="B2042" s="83" t="str">
        <f t="shared" si="218"/>
        <v/>
      </c>
      <c r="U2042" s="83" t="str">
        <f t="shared" si="219"/>
        <v/>
      </c>
      <c r="V2042" s="83" t="str">
        <f t="shared" si="220"/>
        <v/>
      </c>
      <c r="AA2042" s="60">
        <f t="shared" si="221"/>
        <v>0</v>
      </c>
      <c r="AB2042" s="49">
        <f t="shared" si="222"/>
        <v>0</v>
      </c>
      <c r="AC2042" s="60">
        <f t="shared" si="223"/>
        <v>0</v>
      </c>
    </row>
    <row r="2043" spans="1:29">
      <c r="A2043" s="83" t="str">
        <f t="shared" si="217"/>
        <v/>
      </c>
      <c r="B2043" s="83" t="str">
        <f t="shared" si="218"/>
        <v/>
      </c>
      <c r="U2043" s="83" t="str">
        <f t="shared" si="219"/>
        <v/>
      </c>
      <c r="V2043" s="83" t="str">
        <f t="shared" si="220"/>
        <v/>
      </c>
      <c r="AA2043" s="60">
        <f t="shared" si="221"/>
        <v>0</v>
      </c>
      <c r="AB2043" s="49">
        <f t="shared" si="222"/>
        <v>0</v>
      </c>
      <c r="AC2043" s="60">
        <f t="shared" si="223"/>
        <v>0</v>
      </c>
    </row>
    <row r="2044" spans="1:29">
      <c r="A2044" s="83" t="str">
        <f t="shared" si="217"/>
        <v/>
      </c>
      <c r="B2044" s="83" t="str">
        <f t="shared" si="218"/>
        <v/>
      </c>
      <c r="U2044" s="83" t="str">
        <f t="shared" si="219"/>
        <v/>
      </c>
      <c r="V2044" s="83" t="str">
        <f t="shared" si="220"/>
        <v/>
      </c>
      <c r="AA2044" s="60">
        <f t="shared" si="221"/>
        <v>0</v>
      </c>
      <c r="AB2044" s="49">
        <f t="shared" si="222"/>
        <v>0</v>
      </c>
      <c r="AC2044" s="60">
        <f t="shared" si="223"/>
        <v>0</v>
      </c>
    </row>
    <row r="2045" spans="1:29">
      <c r="A2045" s="83" t="str">
        <f t="shared" si="217"/>
        <v/>
      </c>
      <c r="B2045" s="83" t="str">
        <f t="shared" si="218"/>
        <v/>
      </c>
      <c r="U2045" s="83" t="str">
        <f t="shared" si="219"/>
        <v/>
      </c>
      <c r="V2045" s="83" t="str">
        <f t="shared" si="220"/>
        <v/>
      </c>
      <c r="AA2045" s="60">
        <f t="shared" si="221"/>
        <v>0</v>
      </c>
      <c r="AB2045" s="49">
        <f t="shared" si="222"/>
        <v>0</v>
      </c>
      <c r="AC2045" s="60">
        <f t="shared" si="223"/>
        <v>0</v>
      </c>
    </row>
    <row r="2046" spans="1:29">
      <c r="A2046" s="83" t="str">
        <f t="shared" si="217"/>
        <v/>
      </c>
      <c r="B2046" s="83" t="str">
        <f t="shared" si="218"/>
        <v/>
      </c>
      <c r="U2046" s="83" t="str">
        <f t="shared" si="219"/>
        <v/>
      </c>
      <c r="V2046" s="83" t="str">
        <f t="shared" si="220"/>
        <v/>
      </c>
      <c r="AA2046" s="60">
        <f t="shared" si="221"/>
        <v>0</v>
      </c>
      <c r="AB2046" s="49">
        <f t="shared" si="222"/>
        <v>0</v>
      </c>
      <c r="AC2046" s="60">
        <f t="shared" si="223"/>
        <v>0</v>
      </c>
    </row>
    <row r="2047" spans="1:29">
      <c r="A2047" s="83" t="str">
        <f t="shared" si="217"/>
        <v/>
      </c>
      <c r="B2047" s="83" t="str">
        <f t="shared" si="218"/>
        <v/>
      </c>
      <c r="U2047" s="83" t="str">
        <f t="shared" si="219"/>
        <v/>
      </c>
      <c r="V2047" s="83" t="str">
        <f t="shared" si="220"/>
        <v/>
      </c>
      <c r="AA2047" s="60">
        <f t="shared" si="221"/>
        <v>0</v>
      </c>
      <c r="AB2047" s="49">
        <f t="shared" si="222"/>
        <v>0</v>
      </c>
      <c r="AC2047" s="60">
        <f t="shared" si="223"/>
        <v>0</v>
      </c>
    </row>
    <row r="2048" spans="1:29">
      <c r="A2048" s="83" t="str">
        <f t="shared" si="217"/>
        <v/>
      </c>
      <c r="B2048" s="83" t="str">
        <f t="shared" si="218"/>
        <v/>
      </c>
      <c r="U2048" s="83" t="str">
        <f t="shared" si="219"/>
        <v/>
      </c>
      <c r="V2048" s="83" t="str">
        <f t="shared" si="220"/>
        <v/>
      </c>
      <c r="AA2048" s="60">
        <f t="shared" si="221"/>
        <v>0</v>
      </c>
      <c r="AB2048" s="49">
        <f t="shared" si="222"/>
        <v>0</v>
      </c>
      <c r="AC2048" s="60">
        <f t="shared" si="223"/>
        <v>0</v>
      </c>
    </row>
    <row r="2049" spans="1:29">
      <c r="A2049" s="83" t="str">
        <f t="shared" si="217"/>
        <v/>
      </c>
      <c r="B2049" s="83" t="str">
        <f t="shared" si="218"/>
        <v/>
      </c>
      <c r="U2049" s="83" t="str">
        <f t="shared" si="219"/>
        <v/>
      </c>
      <c r="V2049" s="83" t="str">
        <f t="shared" si="220"/>
        <v/>
      </c>
      <c r="AA2049" s="60">
        <f t="shared" si="221"/>
        <v>0</v>
      </c>
      <c r="AB2049" s="49">
        <f t="shared" si="222"/>
        <v>0</v>
      </c>
      <c r="AC2049" s="60">
        <f t="shared" si="223"/>
        <v>0</v>
      </c>
    </row>
    <row r="2050" spans="1:29">
      <c r="A2050" s="83" t="str">
        <f t="shared" si="217"/>
        <v/>
      </c>
      <c r="B2050" s="83" t="str">
        <f t="shared" si="218"/>
        <v/>
      </c>
      <c r="U2050" s="83" t="str">
        <f t="shared" si="219"/>
        <v/>
      </c>
      <c r="V2050" s="83" t="str">
        <f t="shared" si="220"/>
        <v/>
      </c>
      <c r="AA2050" s="60">
        <f t="shared" si="221"/>
        <v>0</v>
      </c>
      <c r="AB2050" s="49">
        <f t="shared" si="222"/>
        <v>0</v>
      </c>
      <c r="AC2050" s="60">
        <f t="shared" si="223"/>
        <v>0</v>
      </c>
    </row>
    <row r="2051" spans="1:29">
      <c r="A2051" s="83" t="str">
        <f t="shared" ref="A2051:A2114" si="224">IF(G2051&amp;Q2051&lt;&gt;"",U2051&amp;Q2051,"")</f>
        <v/>
      </c>
      <c r="B2051" s="83" t="str">
        <f t="shared" ref="B2051:B2114" si="225">IF(C2051&lt;&gt;"",LEFT(C2051,9),"")</f>
        <v/>
      </c>
      <c r="U2051" s="83" t="str">
        <f t="shared" ref="U2051:U2114" si="226">IF(G2051&lt;&gt;"",IF(StyleSpaceSplit,IFERROR(IF(FIND(" ",G2051)&gt;=1,MID(G2051,1,FIND(" ",G2051)-1),G2051),G2051),G2051),"")</f>
        <v/>
      </c>
      <c r="V2051" s="83" t="str">
        <f t="shared" ref="V2051:V2114" si="227">IF(A2051&lt;&gt;"",IFERROR(IF(FIND(" ",G2051)&gt;=1,MID(G2051,FIND(" ",G2051)+1,LEN(G2051)),""),G2051),"")</f>
        <v/>
      </c>
      <c r="AA2051" s="60">
        <f t="shared" ref="AA2051:AA2114" si="228">IFERROR(VALUE(MID($C2051,1,2)),0)</f>
        <v>0</v>
      </c>
      <c r="AB2051" s="49">
        <f t="shared" ref="AB2051:AB2114" si="229">IFERROR(VALUE(MID($C2051,4,3)),0)</f>
        <v>0</v>
      </c>
      <c r="AC2051" s="60">
        <f t="shared" ref="AC2051:AC2114" si="230">VALUE(RIGHT("00"&amp;AA2051,2)&amp;RIGHT("000"&amp;AB2051,3))</f>
        <v>0</v>
      </c>
    </row>
    <row r="2052" spans="1:29">
      <c r="A2052" s="83" t="str">
        <f t="shared" si="224"/>
        <v/>
      </c>
      <c r="B2052" s="83" t="str">
        <f t="shared" si="225"/>
        <v/>
      </c>
      <c r="U2052" s="83" t="str">
        <f t="shared" si="226"/>
        <v/>
      </c>
      <c r="V2052" s="83" t="str">
        <f t="shared" si="227"/>
        <v/>
      </c>
      <c r="AA2052" s="60">
        <f t="shared" si="228"/>
        <v>0</v>
      </c>
      <c r="AB2052" s="49">
        <f t="shared" si="229"/>
        <v>0</v>
      </c>
      <c r="AC2052" s="60">
        <f t="shared" si="230"/>
        <v>0</v>
      </c>
    </row>
    <row r="2053" spans="1:29">
      <c r="A2053" s="83" t="str">
        <f t="shared" si="224"/>
        <v/>
      </c>
      <c r="B2053" s="83" t="str">
        <f t="shared" si="225"/>
        <v/>
      </c>
      <c r="U2053" s="83" t="str">
        <f t="shared" si="226"/>
        <v/>
      </c>
      <c r="V2053" s="83" t="str">
        <f t="shared" si="227"/>
        <v/>
      </c>
      <c r="AA2053" s="60">
        <f t="shared" si="228"/>
        <v>0</v>
      </c>
      <c r="AB2053" s="49">
        <f t="shared" si="229"/>
        <v>0</v>
      </c>
      <c r="AC2053" s="60">
        <f t="shared" si="230"/>
        <v>0</v>
      </c>
    </row>
    <row r="2054" spans="1:29">
      <c r="A2054" s="83" t="str">
        <f t="shared" si="224"/>
        <v/>
      </c>
      <c r="B2054" s="83" t="str">
        <f t="shared" si="225"/>
        <v/>
      </c>
      <c r="U2054" s="83" t="str">
        <f t="shared" si="226"/>
        <v/>
      </c>
      <c r="V2054" s="83" t="str">
        <f t="shared" si="227"/>
        <v/>
      </c>
      <c r="AA2054" s="60">
        <f t="shared" si="228"/>
        <v>0</v>
      </c>
      <c r="AB2054" s="49">
        <f t="shared" si="229"/>
        <v>0</v>
      </c>
      <c r="AC2054" s="60">
        <f t="shared" si="230"/>
        <v>0</v>
      </c>
    </row>
    <row r="2055" spans="1:29">
      <c r="A2055" s="83" t="str">
        <f t="shared" si="224"/>
        <v/>
      </c>
      <c r="B2055" s="83" t="str">
        <f t="shared" si="225"/>
        <v/>
      </c>
      <c r="U2055" s="83" t="str">
        <f t="shared" si="226"/>
        <v/>
      </c>
      <c r="V2055" s="83" t="str">
        <f t="shared" si="227"/>
        <v/>
      </c>
      <c r="AA2055" s="60">
        <f t="shared" si="228"/>
        <v>0</v>
      </c>
      <c r="AB2055" s="49">
        <f t="shared" si="229"/>
        <v>0</v>
      </c>
      <c r="AC2055" s="60">
        <f t="shared" si="230"/>
        <v>0</v>
      </c>
    </row>
    <row r="2056" spans="1:29">
      <c r="A2056" s="83" t="str">
        <f t="shared" si="224"/>
        <v/>
      </c>
      <c r="B2056" s="83" t="str">
        <f t="shared" si="225"/>
        <v/>
      </c>
      <c r="U2056" s="83" t="str">
        <f t="shared" si="226"/>
        <v/>
      </c>
      <c r="V2056" s="83" t="str">
        <f t="shared" si="227"/>
        <v/>
      </c>
      <c r="AA2056" s="60">
        <f t="shared" si="228"/>
        <v>0</v>
      </c>
      <c r="AB2056" s="49">
        <f t="shared" si="229"/>
        <v>0</v>
      </c>
      <c r="AC2056" s="60">
        <f t="shared" si="230"/>
        <v>0</v>
      </c>
    </row>
    <row r="2057" spans="1:29">
      <c r="A2057" s="83" t="str">
        <f t="shared" si="224"/>
        <v/>
      </c>
      <c r="B2057" s="83" t="str">
        <f t="shared" si="225"/>
        <v/>
      </c>
      <c r="U2057" s="83" t="str">
        <f t="shared" si="226"/>
        <v/>
      </c>
      <c r="V2057" s="83" t="str">
        <f t="shared" si="227"/>
        <v/>
      </c>
      <c r="AA2057" s="60">
        <f t="shared" si="228"/>
        <v>0</v>
      </c>
      <c r="AB2057" s="49">
        <f t="shared" si="229"/>
        <v>0</v>
      </c>
      <c r="AC2057" s="60">
        <f t="shared" si="230"/>
        <v>0</v>
      </c>
    </row>
    <row r="2058" spans="1:29">
      <c r="A2058" s="83" t="str">
        <f t="shared" si="224"/>
        <v/>
      </c>
      <c r="B2058" s="83" t="str">
        <f t="shared" si="225"/>
        <v/>
      </c>
      <c r="U2058" s="83" t="str">
        <f t="shared" si="226"/>
        <v/>
      </c>
      <c r="V2058" s="83" t="str">
        <f t="shared" si="227"/>
        <v/>
      </c>
      <c r="AA2058" s="60">
        <f t="shared" si="228"/>
        <v>0</v>
      </c>
      <c r="AB2058" s="49">
        <f t="shared" si="229"/>
        <v>0</v>
      </c>
      <c r="AC2058" s="60">
        <f t="shared" si="230"/>
        <v>0</v>
      </c>
    </row>
    <row r="2059" spans="1:29">
      <c r="A2059" s="83" t="str">
        <f t="shared" si="224"/>
        <v/>
      </c>
      <c r="B2059" s="83" t="str">
        <f t="shared" si="225"/>
        <v/>
      </c>
      <c r="U2059" s="83" t="str">
        <f t="shared" si="226"/>
        <v/>
      </c>
      <c r="V2059" s="83" t="str">
        <f t="shared" si="227"/>
        <v/>
      </c>
      <c r="AA2059" s="60">
        <f t="shared" si="228"/>
        <v>0</v>
      </c>
      <c r="AB2059" s="49">
        <f t="shared" si="229"/>
        <v>0</v>
      </c>
      <c r="AC2059" s="60">
        <f t="shared" si="230"/>
        <v>0</v>
      </c>
    </row>
    <row r="2060" spans="1:29">
      <c r="A2060" s="83" t="str">
        <f t="shared" si="224"/>
        <v/>
      </c>
      <c r="B2060" s="83" t="str">
        <f t="shared" si="225"/>
        <v/>
      </c>
      <c r="U2060" s="83" t="str">
        <f t="shared" si="226"/>
        <v/>
      </c>
      <c r="V2060" s="83" t="str">
        <f t="shared" si="227"/>
        <v/>
      </c>
      <c r="AA2060" s="60">
        <f t="shared" si="228"/>
        <v>0</v>
      </c>
      <c r="AB2060" s="49">
        <f t="shared" si="229"/>
        <v>0</v>
      </c>
      <c r="AC2060" s="60">
        <f t="shared" si="230"/>
        <v>0</v>
      </c>
    </row>
    <row r="2061" spans="1:29">
      <c r="A2061" s="83" t="str">
        <f t="shared" si="224"/>
        <v/>
      </c>
      <c r="B2061" s="83" t="str">
        <f t="shared" si="225"/>
        <v/>
      </c>
      <c r="U2061" s="83" t="str">
        <f t="shared" si="226"/>
        <v/>
      </c>
      <c r="V2061" s="83" t="str">
        <f t="shared" si="227"/>
        <v/>
      </c>
      <c r="AA2061" s="60">
        <f t="shared" si="228"/>
        <v>0</v>
      </c>
      <c r="AB2061" s="49">
        <f t="shared" si="229"/>
        <v>0</v>
      </c>
      <c r="AC2061" s="60">
        <f t="shared" si="230"/>
        <v>0</v>
      </c>
    </row>
    <row r="2062" spans="1:29">
      <c r="A2062" s="83" t="str">
        <f t="shared" si="224"/>
        <v/>
      </c>
      <c r="B2062" s="83" t="str">
        <f t="shared" si="225"/>
        <v/>
      </c>
      <c r="U2062" s="83" t="str">
        <f t="shared" si="226"/>
        <v/>
      </c>
      <c r="V2062" s="83" t="str">
        <f t="shared" si="227"/>
        <v/>
      </c>
      <c r="AA2062" s="60">
        <f t="shared" si="228"/>
        <v>0</v>
      </c>
      <c r="AB2062" s="49">
        <f t="shared" si="229"/>
        <v>0</v>
      </c>
      <c r="AC2062" s="60">
        <f t="shared" si="230"/>
        <v>0</v>
      </c>
    </row>
    <row r="2063" spans="1:29">
      <c r="A2063" s="83" t="str">
        <f t="shared" si="224"/>
        <v/>
      </c>
      <c r="B2063" s="83" t="str">
        <f t="shared" si="225"/>
        <v/>
      </c>
      <c r="U2063" s="83" t="str">
        <f t="shared" si="226"/>
        <v/>
      </c>
      <c r="V2063" s="83" t="str">
        <f t="shared" si="227"/>
        <v/>
      </c>
      <c r="AA2063" s="60">
        <f t="shared" si="228"/>
        <v>0</v>
      </c>
      <c r="AB2063" s="49">
        <f t="shared" si="229"/>
        <v>0</v>
      </c>
      <c r="AC2063" s="60">
        <f t="shared" si="230"/>
        <v>0</v>
      </c>
    </row>
    <row r="2064" spans="1:29">
      <c r="A2064" s="83" t="str">
        <f t="shared" si="224"/>
        <v/>
      </c>
      <c r="B2064" s="83" t="str">
        <f t="shared" si="225"/>
        <v/>
      </c>
      <c r="U2064" s="83" t="str">
        <f t="shared" si="226"/>
        <v/>
      </c>
      <c r="V2064" s="83" t="str">
        <f t="shared" si="227"/>
        <v/>
      </c>
      <c r="AA2064" s="60">
        <f t="shared" si="228"/>
        <v>0</v>
      </c>
      <c r="AB2064" s="49">
        <f t="shared" si="229"/>
        <v>0</v>
      </c>
      <c r="AC2064" s="60">
        <f t="shared" si="230"/>
        <v>0</v>
      </c>
    </row>
    <row r="2065" spans="1:29">
      <c r="A2065" s="83" t="str">
        <f t="shared" si="224"/>
        <v/>
      </c>
      <c r="B2065" s="83" t="str">
        <f t="shared" si="225"/>
        <v/>
      </c>
      <c r="U2065" s="83" t="str">
        <f t="shared" si="226"/>
        <v/>
      </c>
      <c r="V2065" s="83" t="str">
        <f t="shared" si="227"/>
        <v/>
      </c>
      <c r="AA2065" s="60">
        <f t="shared" si="228"/>
        <v>0</v>
      </c>
      <c r="AB2065" s="49">
        <f t="shared" si="229"/>
        <v>0</v>
      </c>
      <c r="AC2065" s="60">
        <f t="shared" si="230"/>
        <v>0</v>
      </c>
    </row>
    <row r="2066" spans="1:29">
      <c r="A2066" s="83" t="str">
        <f t="shared" si="224"/>
        <v/>
      </c>
      <c r="B2066" s="83" t="str">
        <f t="shared" si="225"/>
        <v/>
      </c>
      <c r="U2066" s="83" t="str">
        <f t="shared" si="226"/>
        <v/>
      </c>
      <c r="V2066" s="83" t="str">
        <f t="shared" si="227"/>
        <v/>
      </c>
      <c r="AA2066" s="60">
        <f t="shared" si="228"/>
        <v>0</v>
      </c>
      <c r="AB2066" s="49">
        <f t="shared" si="229"/>
        <v>0</v>
      </c>
      <c r="AC2066" s="60">
        <f t="shared" si="230"/>
        <v>0</v>
      </c>
    </row>
    <row r="2067" spans="1:29">
      <c r="A2067" s="83" t="str">
        <f t="shared" si="224"/>
        <v/>
      </c>
      <c r="B2067" s="83" t="str">
        <f t="shared" si="225"/>
        <v/>
      </c>
      <c r="U2067" s="83" t="str">
        <f t="shared" si="226"/>
        <v/>
      </c>
      <c r="V2067" s="83" t="str">
        <f t="shared" si="227"/>
        <v/>
      </c>
      <c r="AA2067" s="60">
        <f t="shared" si="228"/>
        <v>0</v>
      </c>
      <c r="AB2067" s="49">
        <f t="shared" si="229"/>
        <v>0</v>
      </c>
      <c r="AC2067" s="60">
        <f t="shared" si="230"/>
        <v>0</v>
      </c>
    </row>
    <row r="2068" spans="1:29">
      <c r="A2068" s="83" t="str">
        <f t="shared" si="224"/>
        <v/>
      </c>
      <c r="B2068" s="83" t="str">
        <f t="shared" si="225"/>
        <v/>
      </c>
      <c r="U2068" s="83" t="str">
        <f t="shared" si="226"/>
        <v/>
      </c>
      <c r="V2068" s="83" t="str">
        <f t="shared" si="227"/>
        <v/>
      </c>
      <c r="AA2068" s="60">
        <f t="shared" si="228"/>
        <v>0</v>
      </c>
      <c r="AB2068" s="49">
        <f t="shared" si="229"/>
        <v>0</v>
      </c>
      <c r="AC2068" s="60">
        <f t="shared" si="230"/>
        <v>0</v>
      </c>
    </row>
    <row r="2069" spans="1:29">
      <c r="A2069" s="83" t="str">
        <f t="shared" si="224"/>
        <v/>
      </c>
      <c r="B2069" s="83" t="str">
        <f t="shared" si="225"/>
        <v/>
      </c>
      <c r="U2069" s="83" t="str">
        <f t="shared" si="226"/>
        <v/>
      </c>
      <c r="V2069" s="83" t="str">
        <f t="shared" si="227"/>
        <v/>
      </c>
      <c r="AA2069" s="60">
        <f t="shared" si="228"/>
        <v>0</v>
      </c>
      <c r="AB2069" s="49">
        <f t="shared" si="229"/>
        <v>0</v>
      </c>
      <c r="AC2069" s="60">
        <f t="shared" si="230"/>
        <v>0</v>
      </c>
    </row>
    <row r="2070" spans="1:29">
      <c r="A2070" s="83" t="str">
        <f t="shared" si="224"/>
        <v/>
      </c>
      <c r="B2070" s="83" t="str">
        <f t="shared" si="225"/>
        <v/>
      </c>
      <c r="U2070" s="83" t="str">
        <f t="shared" si="226"/>
        <v/>
      </c>
      <c r="V2070" s="83" t="str">
        <f t="shared" si="227"/>
        <v/>
      </c>
      <c r="AA2070" s="60">
        <f t="shared" si="228"/>
        <v>0</v>
      </c>
      <c r="AB2070" s="49">
        <f t="shared" si="229"/>
        <v>0</v>
      </c>
      <c r="AC2070" s="60">
        <f t="shared" si="230"/>
        <v>0</v>
      </c>
    </row>
    <row r="2071" spans="1:29">
      <c r="A2071" s="83" t="str">
        <f t="shared" si="224"/>
        <v/>
      </c>
      <c r="B2071" s="83" t="str">
        <f t="shared" si="225"/>
        <v/>
      </c>
      <c r="U2071" s="83" t="str">
        <f t="shared" si="226"/>
        <v/>
      </c>
      <c r="V2071" s="83" t="str">
        <f t="shared" si="227"/>
        <v/>
      </c>
      <c r="AA2071" s="60">
        <f t="shared" si="228"/>
        <v>0</v>
      </c>
      <c r="AB2071" s="49">
        <f t="shared" si="229"/>
        <v>0</v>
      </c>
      <c r="AC2071" s="60">
        <f t="shared" si="230"/>
        <v>0</v>
      </c>
    </row>
    <row r="2072" spans="1:29">
      <c r="A2072" s="83" t="str">
        <f t="shared" si="224"/>
        <v/>
      </c>
      <c r="B2072" s="83" t="str">
        <f t="shared" si="225"/>
        <v/>
      </c>
      <c r="U2072" s="83" t="str">
        <f t="shared" si="226"/>
        <v/>
      </c>
      <c r="V2072" s="83" t="str">
        <f t="shared" si="227"/>
        <v/>
      </c>
      <c r="AA2072" s="60">
        <f t="shared" si="228"/>
        <v>0</v>
      </c>
      <c r="AB2072" s="49">
        <f t="shared" si="229"/>
        <v>0</v>
      </c>
      <c r="AC2072" s="60">
        <f t="shared" si="230"/>
        <v>0</v>
      </c>
    </row>
    <row r="2073" spans="1:29">
      <c r="A2073" s="83" t="str">
        <f t="shared" si="224"/>
        <v/>
      </c>
      <c r="B2073" s="83" t="str">
        <f t="shared" si="225"/>
        <v/>
      </c>
      <c r="U2073" s="83" t="str">
        <f t="shared" si="226"/>
        <v/>
      </c>
      <c r="V2073" s="83" t="str">
        <f t="shared" si="227"/>
        <v/>
      </c>
      <c r="AA2073" s="60">
        <f t="shared" si="228"/>
        <v>0</v>
      </c>
      <c r="AB2073" s="49">
        <f t="shared" si="229"/>
        <v>0</v>
      </c>
      <c r="AC2073" s="60">
        <f t="shared" si="230"/>
        <v>0</v>
      </c>
    </row>
    <row r="2074" spans="1:29">
      <c r="A2074" s="83" t="str">
        <f t="shared" si="224"/>
        <v/>
      </c>
      <c r="B2074" s="83" t="str">
        <f t="shared" si="225"/>
        <v/>
      </c>
      <c r="U2074" s="83" t="str">
        <f t="shared" si="226"/>
        <v/>
      </c>
      <c r="V2074" s="83" t="str">
        <f t="shared" si="227"/>
        <v/>
      </c>
      <c r="AA2074" s="60">
        <f t="shared" si="228"/>
        <v>0</v>
      </c>
      <c r="AB2074" s="49">
        <f t="shared" si="229"/>
        <v>0</v>
      </c>
      <c r="AC2074" s="60">
        <f t="shared" si="230"/>
        <v>0</v>
      </c>
    </row>
    <row r="2075" spans="1:29">
      <c r="A2075" s="83" t="str">
        <f t="shared" si="224"/>
        <v/>
      </c>
      <c r="B2075" s="83" t="str">
        <f t="shared" si="225"/>
        <v/>
      </c>
      <c r="U2075" s="83" t="str">
        <f t="shared" si="226"/>
        <v/>
      </c>
      <c r="V2075" s="83" t="str">
        <f t="shared" si="227"/>
        <v/>
      </c>
      <c r="AA2075" s="60">
        <f t="shared" si="228"/>
        <v>0</v>
      </c>
      <c r="AB2075" s="49">
        <f t="shared" si="229"/>
        <v>0</v>
      </c>
      <c r="AC2075" s="60">
        <f t="shared" si="230"/>
        <v>0</v>
      </c>
    </row>
    <row r="2076" spans="1:29">
      <c r="A2076" s="83" t="str">
        <f t="shared" si="224"/>
        <v/>
      </c>
      <c r="B2076" s="83" t="str">
        <f t="shared" si="225"/>
        <v/>
      </c>
      <c r="U2076" s="83" t="str">
        <f t="shared" si="226"/>
        <v/>
      </c>
      <c r="V2076" s="83" t="str">
        <f t="shared" si="227"/>
        <v/>
      </c>
      <c r="AA2076" s="60">
        <f t="shared" si="228"/>
        <v>0</v>
      </c>
      <c r="AB2076" s="49">
        <f t="shared" si="229"/>
        <v>0</v>
      </c>
      <c r="AC2076" s="60">
        <f t="shared" si="230"/>
        <v>0</v>
      </c>
    </row>
    <row r="2077" spans="1:29">
      <c r="A2077" s="83" t="str">
        <f t="shared" si="224"/>
        <v/>
      </c>
      <c r="B2077" s="83" t="str">
        <f t="shared" si="225"/>
        <v/>
      </c>
      <c r="U2077" s="83" t="str">
        <f t="shared" si="226"/>
        <v/>
      </c>
      <c r="V2077" s="83" t="str">
        <f t="shared" si="227"/>
        <v/>
      </c>
      <c r="AA2077" s="60">
        <f t="shared" si="228"/>
        <v>0</v>
      </c>
      <c r="AB2077" s="49">
        <f t="shared" si="229"/>
        <v>0</v>
      </c>
      <c r="AC2077" s="60">
        <f t="shared" si="230"/>
        <v>0</v>
      </c>
    </row>
    <row r="2078" spans="1:29">
      <c r="A2078" s="83" t="str">
        <f t="shared" si="224"/>
        <v/>
      </c>
      <c r="B2078" s="83" t="str">
        <f t="shared" si="225"/>
        <v/>
      </c>
      <c r="U2078" s="83" t="str">
        <f t="shared" si="226"/>
        <v/>
      </c>
      <c r="V2078" s="83" t="str">
        <f t="shared" si="227"/>
        <v/>
      </c>
      <c r="AA2078" s="60">
        <f t="shared" si="228"/>
        <v>0</v>
      </c>
      <c r="AB2078" s="49">
        <f t="shared" si="229"/>
        <v>0</v>
      </c>
      <c r="AC2078" s="60">
        <f t="shared" si="230"/>
        <v>0</v>
      </c>
    </row>
    <row r="2079" spans="1:29">
      <c r="A2079" s="83" t="str">
        <f t="shared" si="224"/>
        <v/>
      </c>
      <c r="B2079" s="83" t="str">
        <f t="shared" si="225"/>
        <v/>
      </c>
      <c r="U2079" s="83" t="str">
        <f t="shared" si="226"/>
        <v/>
      </c>
      <c r="V2079" s="83" t="str">
        <f t="shared" si="227"/>
        <v/>
      </c>
      <c r="AA2079" s="60">
        <f t="shared" si="228"/>
        <v>0</v>
      </c>
      <c r="AB2079" s="49">
        <f t="shared" si="229"/>
        <v>0</v>
      </c>
      <c r="AC2079" s="60">
        <f t="shared" si="230"/>
        <v>0</v>
      </c>
    </row>
    <row r="2080" spans="1:29">
      <c r="A2080" s="83" t="str">
        <f t="shared" si="224"/>
        <v/>
      </c>
      <c r="B2080" s="83" t="str">
        <f t="shared" si="225"/>
        <v/>
      </c>
      <c r="U2080" s="83" t="str">
        <f t="shared" si="226"/>
        <v/>
      </c>
      <c r="V2080" s="83" t="str">
        <f t="shared" si="227"/>
        <v/>
      </c>
      <c r="AA2080" s="60">
        <f t="shared" si="228"/>
        <v>0</v>
      </c>
      <c r="AB2080" s="49">
        <f t="shared" si="229"/>
        <v>0</v>
      </c>
      <c r="AC2080" s="60">
        <f t="shared" si="230"/>
        <v>0</v>
      </c>
    </row>
    <row r="2081" spans="1:29">
      <c r="A2081" s="83" t="str">
        <f t="shared" si="224"/>
        <v/>
      </c>
      <c r="B2081" s="83" t="str">
        <f t="shared" si="225"/>
        <v/>
      </c>
      <c r="U2081" s="83" t="str">
        <f t="shared" si="226"/>
        <v/>
      </c>
      <c r="V2081" s="83" t="str">
        <f t="shared" si="227"/>
        <v/>
      </c>
      <c r="AA2081" s="60">
        <f t="shared" si="228"/>
        <v>0</v>
      </c>
      <c r="AB2081" s="49">
        <f t="shared" si="229"/>
        <v>0</v>
      </c>
      <c r="AC2081" s="60">
        <f t="shared" si="230"/>
        <v>0</v>
      </c>
    </row>
    <row r="2082" spans="1:29">
      <c r="A2082" s="83" t="str">
        <f t="shared" si="224"/>
        <v/>
      </c>
      <c r="B2082" s="83" t="str">
        <f t="shared" si="225"/>
        <v/>
      </c>
      <c r="U2082" s="83" t="str">
        <f t="shared" si="226"/>
        <v/>
      </c>
      <c r="V2082" s="83" t="str">
        <f t="shared" si="227"/>
        <v/>
      </c>
      <c r="AA2082" s="60">
        <f t="shared" si="228"/>
        <v>0</v>
      </c>
      <c r="AB2082" s="49">
        <f t="shared" si="229"/>
        <v>0</v>
      </c>
      <c r="AC2082" s="60">
        <f t="shared" si="230"/>
        <v>0</v>
      </c>
    </row>
    <row r="2083" spans="1:29">
      <c r="A2083" s="83" t="str">
        <f t="shared" si="224"/>
        <v/>
      </c>
      <c r="B2083" s="83" t="str">
        <f t="shared" si="225"/>
        <v/>
      </c>
      <c r="U2083" s="83" t="str">
        <f t="shared" si="226"/>
        <v/>
      </c>
      <c r="V2083" s="83" t="str">
        <f t="shared" si="227"/>
        <v/>
      </c>
      <c r="AA2083" s="60">
        <f t="shared" si="228"/>
        <v>0</v>
      </c>
      <c r="AB2083" s="49">
        <f t="shared" si="229"/>
        <v>0</v>
      </c>
      <c r="AC2083" s="60">
        <f t="shared" si="230"/>
        <v>0</v>
      </c>
    </row>
    <row r="2084" spans="1:29">
      <c r="A2084" s="83" t="str">
        <f t="shared" si="224"/>
        <v/>
      </c>
      <c r="B2084" s="83" t="str">
        <f t="shared" si="225"/>
        <v/>
      </c>
      <c r="U2084" s="83" t="str">
        <f t="shared" si="226"/>
        <v/>
      </c>
      <c r="V2084" s="83" t="str">
        <f t="shared" si="227"/>
        <v/>
      </c>
      <c r="AA2084" s="60">
        <f t="shared" si="228"/>
        <v>0</v>
      </c>
      <c r="AB2084" s="49">
        <f t="shared" si="229"/>
        <v>0</v>
      </c>
      <c r="AC2084" s="60">
        <f t="shared" si="230"/>
        <v>0</v>
      </c>
    </row>
    <row r="2085" spans="1:29">
      <c r="A2085" s="83" t="str">
        <f t="shared" si="224"/>
        <v/>
      </c>
      <c r="B2085" s="83" t="str">
        <f t="shared" si="225"/>
        <v/>
      </c>
      <c r="U2085" s="83" t="str">
        <f t="shared" si="226"/>
        <v/>
      </c>
      <c r="V2085" s="83" t="str">
        <f t="shared" si="227"/>
        <v/>
      </c>
      <c r="AA2085" s="60">
        <f t="shared" si="228"/>
        <v>0</v>
      </c>
      <c r="AB2085" s="49">
        <f t="shared" si="229"/>
        <v>0</v>
      </c>
      <c r="AC2085" s="60">
        <f t="shared" si="230"/>
        <v>0</v>
      </c>
    </row>
    <row r="2086" spans="1:29">
      <c r="A2086" s="83" t="str">
        <f t="shared" si="224"/>
        <v/>
      </c>
      <c r="B2086" s="83" t="str">
        <f t="shared" si="225"/>
        <v/>
      </c>
      <c r="U2086" s="83" t="str">
        <f t="shared" si="226"/>
        <v/>
      </c>
      <c r="V2086" s="83" t="str">
        <f t="shared" si="227"/>
        <v/>
      </c>
      <c r="AA2086" s="60">
        <f t="shared" si="228"/>
        <v>0</v>
      </c>
      <c r="AB2086" s="49">
        <f t="shared" si="229"/>
        <v>0</v>
      </c>
      <c r="AC2086" s="60">
        <f t="shared" si="230"/>
        <v>0</v>
      </c>
    </row>
    <row r="2087" spans="1:29">
      <c r="A2087" s="83" t="str">
        <f t="shared" si="224"/>
        <v/>
      </c>
      <c r="B2087" s="83" t="str">
        <f t="shared" si="225"/>
        <v/>
      </c>
      <c r="U2087" s="83" t="str">
        <f t="shared" si="226"/>
        <v/>
      </c>
      <c r="V2087" s="83" t="str">
        <f t="shared" si="227"/>
        <v/>
      </c>
      <c r="AA2087" s="60">
        <f t="shared" si="228"/>
        <v>0</v>
      </c>
      <c r="AB2087" s="49">
        <f t="shared" si="229"/>
        <v>0</v>
      </c>
      <c r="AC2087" s="60">
        <f t="shared" si="230"/>
        <v>0</v>
      </c>
    </row>
    <row r="2088" spans="1:29">
      <c r="A2088" s="83" t="str">
        <f t="shared" si="224"/>
        <v/>
      </c>
      <c r="B2088" s="83" t="str">
        <f t="shared" si="225"/>
        <v/>
      </c>
      <c r="U2088" s="83" t="str">
        <f t="shared" si="226"/>
        <v/>
      </c>
      <c r="V2088" s="83" t="str">
        <f t="shared" si="227"/>
        <v/>
      </c>
      <c r="AA2088" s="60">
        <f t="shared" si="228"/>
        <v>0</v>
      </c>
      <c r="AB2088" s="49">
        <f t="shared" si="229"/>
        <v>0</v>
      </c>
      <c r="AC2088" s="60">
        <f t="shared" si="230"/>
        <v>0</v>
      </c>
    </row>
    <row r="2089" spans="1:29">
      <c r="A2089" s="83" t="str">
        <f t="shared" si="224"/>
        <v/>
      </c>
      <c r="B2089" s="83" t="str">
        <f t="shared" si="225"/>
        <v/>
      </c>
      <c r="U2089" s="83" t="str">
        <f t="shared" si="226"/>
        <v/>
      </c>
      <c r="V2089" s="83" t="str">
        <f t="shared" si="227"/>
        <v/>
      </c>
      <c r="AA2089" s="60">
        <f t="shared" si="228"/>
        <v>0</v>
      </c>
      <c r="AB2089" s="49">
        <f t="shared" si="229"/>
        <v>0</v>
      </c>
      <c r="AC2089" s="60">
        <f t="shared" si="230"/>
        <v>0</v>
      </c>
    </row>
    <row r="2090" spans="1:29">
      <c r="A2090" s="83" t="str">
        <f t="shared" si="224"/>
        <v/>
      </c>
      <c r="B2090" s="83" t="str">
        <f t="shared" si="225"/>
        <v/>
      </c>
      <c r="U2090" s="83" t="str">
        <f t="shared" si="226"/>
        <v/>
      </c>
      <c r="V2090" s="83" t="str">
        <f t="shared" si="227"/>
        <v/>
      </c>
      <c r="AA2090" s="60">
        <f t="shared" si="228"/>
        <v>0</v>
      </c>
      <c r="AB2090" s="49">
        <f t="shared" si="229"/>
        <v>0</v>
      </c>
      <c r="AC2090" s="60">
        <f t="shared" si="230"/>
        <v>0</v>
      </c>
    </row>
    <row r="2091" spans="1:29">
      <c r="A2091" s="83" t="str">
        <f t="shared" si="224"/>
        <v/>
      </c>
      <c r="B2091" s="83" t="str">
        <f t="shared" si="225"/>
        <v/>
      </c>
      <c r="U2091" s="83" t="str">
        <f t="shared" si="226"/>
        <v/>
      </c>
      <c r="V2091" s="83" t="str">
        <f t="shared" si="227"/>
        <v/>
      </c>
      <c r="AA2091" s="60">
        <f t="shared" si="228"/>
        <v>0</v>
      </c>
      <c r="AB2091" s="49">
        <f t="shared" si="229"/>
        <v>0</v>
      </c>
      <c r="AC2091" s="60">
        <f t="shared" si="230"/>
        <v>0</v>
      </c>
    </row>
    <row r="2092" spans="1:29">
      <c r="A2092" s="83" t="str">
        <f t="shared" si="224"/>
        <v/>
      </c>
      <c r="B2092" s="83" t="str">
        <f t="shared" si="225"/>
        <v/>
      </c>
      <c r="U2092" s="83" t="str">
        <f t="shared" si="226"/>
        <v/>
      </c>
      <c r="V2092" s="83" t="str">
        <f t="shared" si="227"/>
        <v/>
      </c>
      <c r="AA2092" s="60">
        <f t="shared" si="228"/>
        <v>0</v>
      </c>
      <c r="AB2092" s="49">
        <f t="shared" si="229"/>
        <v>0</v>
      </c>
      <c r="AC2092" s="60">
        <f t="shared" si="230"/>
        <v>0</v>
      </c>
    </row>
    <row r="2093" spans="1:29">
      <c r="A2093" s="83" t="str">
        <f t="shared" si="224"/>
        <v/>
      </c>
      <c r="B2093" s="83" t="str">
        <f t="shared" si="225"/>
        <v/>
      </c>
      <c r="U2093" s="83" t="str">
        <f t="shared" si="226"/>
        <v/>
      </c>
      <c r="V2093" s="83" t="str">
        <f t="shared" si="227"/>
        <v/>
      </c>
      <c r="AA2093" s="60">
        <f t="shared" si="228"/>
        <v>0</v>
      </c>
      <c r="AB2093" s="49">
        <f t="shared" si="229"/>
        <v>0</v>
      </c>
      <c r="AC2093" s="60">
        <f t="shared" si="230"/>
        <v>0</v>
      </c>
    </row>
    <row r="2094" spans="1:29">
      <c r="A2094" s="83" t="str">
        <f t="shared" si="224"/>
        <v/>
      </c>
      <c r="B2094" s="83" t="str">
        <f t="shared" si="225"/>
        <v/>
      </c>
      <c r="U2094" s="83" t="str">
        <f t="shared" si="226"/>
        <v/>
      </c>
      <c r="V2094" s="83" t="str">
        <f t="shared" si="227"/>
        <v/>
      </c>
      <c r="AA2094" s="60">
        <f t="shared" si="228"/>
        <v>0</v>
      </c>
      <c r="AB2094" s="49">
        <f t="shared" si="229"/>
        <v>0</v>
      </c>
      <c r="AC2094" s="60">
        <f t="shared" si="230"/>
        <v>0</v>
      </c>
    </row>
    <row r="2095" spans="1:29">
      <c r="A2095" s="83" t="str">
        <f t="shared" si="224"/>
        <v/>
      </c>
      <c r="B2095" s="83" t="str">
        <f t="shared" si="225"/>
        <v/>
      </c>
      <c r="U2095" s="83" t="str">
        <f t="shared" si="226"/>
        <v/>
      </c>
      <c r="V2095" s="83" t="str">
        <f t="shared" si="227"/>
        <v/>
      </c>
      <c r="AA2095" s="60">
        <f t="shared" si="228"/>
        <v>0</v>
      </c>
      <c r="AB2095" s="49">
        <f t="shared" si="229"/>
        <v>0</v>
      </c>
      <c r="AC2095" s="60">
        <f t="shared" si="230"/>
        <v>0</v>
      </c>
    </row>
    <row r="2096" spans="1:29">
      <c r="A2096" s="83" t="str">
        <f t="shared" si="224"/>
        <v/>
      </c>
      <c r="B2096" s="83" t="str">
        <f t="shared" si="225"/>
        <v/>
      </c>
      <c r="U2096" s="83" t="str">
        <f t="shared" si="226"/>
        <v/>
      </c>
      <c r="V2096" s="83" t="str">
        <f t="shared" si="227"/>
        <v/>
      </c>
      <c r="AA2096" s="60">
        <f t="shared" si="228"/>
        <v>0</v>
      </c>
      <c r="AB2096" s="49">
        <f t="shared" si="229"/>
        <v>0</v>
      </c>
      <c r="AC2096" s="60">
        <f t="shared" si="230"/>
        <v>0</v>
      </c>
    </row>
    <row r="2097" spans="1:29">
      <c r="A2097" s="83" t="str">
        <f t="shared" si="224"/>
        <v/>
      </c>
      <c r="B2097" s="83" t="str">
        <f t="shared" si="225"/>
        <v/>
      </c>
      <c r="U2097" s="83" t="str">
        <f t="shared" si="226"/>
        <v/>
      </c>
      <c r="V2097" s="83" t="str">
        <f t="shared" si="227"/>
        <v/>
      </c>
      <c r="AA2097" s="60">
        <f t="shared" si="228"/>
        <v>0</v>
      </c>
      <c r="AB2097" s="49">
        <f t="shared" si="229"/>
        <v>0</v>
      </c>
      <c r="AC2097" s="60">
        <f t="shared" si="230"/>
        <v>0</v>
      </c>
    </row>
    <row r="2098" spans="1:29">
      <c r="A2098" s="83" t="str">
        <f t="shared" si="224"/>
        <v/>
      </c>
      <c r="B2098" s="83" t="str">
        <f t="shared" si="225"/>
        <v/>
      </c>
      <c r="U2098" s="83" t="str">
        <f t="shared" si="226"/>
        <v/>
      </c>
      <c r="V2098" s="83" t="str">
        <f t="shared" si="227"/>
        <v/>
      </c>
      <c r="AA2098" s="60">
        <f t="shared" si="228"/>
        <v>0</v>
      </c>
      <c r="AB2098" s="49">
        <f t="shared" si="229"/>
        <v>0</v>
      </c>
      <c r="AC2098" s="60">
        <f t="shared" si="230"/>
        <v>0</v>
      </c>
    </row>
    <row r="2099" spans="1:29">
      <c r="A2099" s="83" t="str">
        <f t="shared" si="224"/>
        <v/>
      </c>
      <c r="B2099" s="83" t="str">
        <f t="shared" si="225"/>
        <v/>
      </c>
      <c r="U2099" s="83" t="str">
        <f t="shared" si="226"/>
        <v/>
      </c>
      <c r="V2099" s="83" t="str">
        <f t="shared" si="227"/>
        <v/>
      </c>
      <c r="AA2099" s="60">
        <f t="shared" si="228"/>
        <v>0</v>
      </c>
      <c r="AB2099" s="49">
        <f t="shared" si="229"/>
        <v>0</v>
      </c>
      <c r="AC2099" s="60">
        <f t="shared" si="230"/>
        <v>0</v>
      </c>
    </row>
    <row r="2100" spans="1:29">
      <c r="A2100" s="83" t="str">
        <f t="shared" si="224"/>
        <v/>
      </c>
      <c r="B2100" s="83" t="str">
        <f t="shared" si="225"/>
        <v/>
      </c>
      <c r="U2100" s="83" t="str">
        <f t="shared" si="226"/>
        <v/>
      </c>
      <c r="V2100" s="83" t="str">
        <f t="shared" si="227"/>
        <v/>
      </c>
      <c r="AA2100" s="60">
        <f t="shared" si="228"/>
        <v>0</v>
      </c>
      <c r="AB2100" s="49">
        <f t="shared" si="229"/>
        <v>0</v>
      </c>
      <c r="AC2100" s="60">
        <f t="shared" si="230"/>
        <v>0</v>
      </c>
    </row>
    <row r="2101" spans="1:29">
      <c r="A2101" s="83" t="str">
        <f t="shared" si="224"/>
        <v/>
      </c>
      <c r="B2101" s="83" t="str">
        <f t="shared" si="225"/>
        <v/>
      </c>
      <c r="U2101" s="83" t="str">
        <f t="shared" si="226"/>
        <v/>
      </c>
      <c r="V2101" s="83" t="str">
        <f t="shared" si="227"/>
        <v/>
      </c>
      <c r="AA2101" s="60">
        <f t="shared" si="228"/>
        <v>0</v>
      </c>
      <c r="AB2101" s="49">
        <f t="shared" si="229"/>
        <v>0</v>
      </c>
      <c r="AC2101" s="60">
        <f t="shared" si="230"/>
        <v>0</v>
      </c>
    </row>
    <row r="2102" spans="1:29">
      <c r="A2102" s="83" t="str">
        <f t="shared" si="224"/>
        <v/>
      </c>
      <c r="B2102" s="83" t="str">
        <f t="shared" si="225"/>
        <v/>
      </c>
      <c r="U2102" s="83" t="str">
        <f t="shared" si="226"/>
        <v/>
      </c>
      <c r="V2102" s="83" t="str">
        <f t="shared" si="227"/>
        <v/>
      </c>
      <c r="AA2102" s="60">
        <f t="shared" si="228"/>
        <v>0</v>
      </c>
      <c r="AB2102" s="49">
        <f t="shared" si="229"/>
        <v>0</v>
      </c>
      <c r="AC2102" s="60">
        <f t="shared" si="230"/>
        <v>0</v>
      </c>
    </row>
    <row r="2103" spans="1:29">
      <c r="A2103" s="83" t="str">
        <f t="shared" si="224"/>
        <v/>
      </c>
      <c r="B2103" s="83" t="str">
        <f t="shared" si="225"/>
        <v/>
      </c>
      <c r="U2103" s="83" t="str">
        <f t="shared" si="226"/>
        <v/>
      </c>
      <c r="V2103" s="83" t="str">
        <f t="shared" si="227"/>
        <v/>
      </c>
      <c r="AA2103" s="60">
        <f t="shared" si="228"/>
        <v>0</v>
      </c>
      <c r="AB2103" s="49">
        <f t="shared" si="229"/>
        <v>0</v>
      </c>
      <c r="AC2103" s="60">
        <f t="shared" si="230"/>
        <v>0</v>
      </c>
    </row>
    <row r="2104" spans="1:29">
      <c r="A2104" s="83" t="str">
        <f t="shared" si="224"/>
        <v/>
      </c>
      <c r="B2104" s="83" t="str">
        <f t="shared" si="225"/>
        <v/>
      </c>
      <c r="U2104" s="83" t="str">
        <f t="shared" si="226"/>
        <v/>
      </c>
      <c r="V2104" s="83" t="str">
        <f t="shared" si="227"/>
        <v/>
      </c>
      <c r="AA2104" s="60">
        <f t="shared" si="228"/>
        <v>0</v>
      </c>
      <c r="AB2104" s="49">
        <f t="shared" si="229"/>
        <v>0</v>
      </c>
      <c r="AC2104" s="60">
        <f t="shared" si="230"/>
        <v>0</v>
      </c>
    </row>
    <row r="2105" spans="1:29">
      <c r="A2105" s="83" t="str">
        <f t="shared" si="224"/>
        <v/>
      </c>
      <c r="B2105" s="83" t="str">
        <f t="shared" si="225"/>
        <v/>
      </c>
      <c r="U2105" s="83" t="str">
        <f t="shared" si="226"/>
        <v/>
      </c>
      <c r="V2105" s="83" t="str">
        <f t="shared" si="227"/>
        <v/>
      </c>
      <c r="AA2105" s="60">
        <f t="shared" si="228"/>
        <v>0</v>
      </c>
      <c r="AB2105" s="49">
        <f t="shared" si="229"/>
        <v>0</v>
      </c>
      <c r="AC2105" s="60">
        <f t="shared" si="230"/>
        <v>0</v>
      </c>
    </row>
    <row r="2106" spans="1:29">
      <c r="A2106" s="83" t="str">
        <f t="shared" si="224"/>
        <v/>
      </c>
      <c r="B2106" s="83" t="str">
        <f t="shared" si="225"/>
        <v/>
      </c>
      <c r="U2106" s="83" t="str">
        <f t="shared" si="226"/>
        <v/>
      </c>
      <c r="V2106" s="83" t="str">
        <f t="shared" si="227"/>
        <v/>
      </c>
      <c r="AA2106" s="60">
        <f t="shared" si="228"/>
        <v>0</v>
      </c>
      <c r="AB2106" s="49">
        <f t="shared" si="229"/>
        <v>0</v>
      </c>
      <c r="AC2106" s="60">
        <f t="shared" si="230"/>
        <v>0</v>
      </c>
    </row>
    <row r="2107" spans="1:29">
      <c r="A2107" s="83" t="str">
        <f t="shared" si="224"/>
        <v/>
      </c>
      <c r="B2107" s="83" t="str">
        <f t="shared" si="225"/>
        <v/>
      </c>
      <c r="U2107" s="83" t="str">
        <f t="shared" si="226"/>
        <v/>
      </c>
      <c r="V2107" s="83" t="str">
        <f t="shared" si="227"/>
        <v/>
      </c>
      <c r="AA2107" s="60">
        <f t="shared" si="228"/>
        <v>0</v>
      </c>
      <c r="AB2107" s="49">
        <f t="shared" si="229"/>
        <v>0</v>
      </c>
      <c r="AC2107" s="60">
        <f t="shared" si="230"/>
        <v>0</v>
      </c>
    </row>
    <row r="2108" spans="1:29">
      <c r="A2108" s="83" t="str">
        <f t="shared" si="224"/>
        <v/>
      </c>
      <c r="B2108" s="83" t="str">
        <f t="shared" si="225"/>
        <v/>
      </c>
      <c r="U2108" s="83" t="str">
        <f t="shared" si="226"/>
        <v/>
      </c>
      <c r="V2108" s="83" t="str">
        <f t="shared" si="227"/>
        <v/>
      </c>
      <c r="AA2108" s="60">
        <f t="shared" si="228"/>
        <v>0</v>
      </c>
      <c r="AB2108" s="49">
        <f t="shared" si="229"/>
        <v>0</v>
      </c>
      <c r="AC2108" s="60">
        <f t="shared" si="230"/>
        <v>0</v>
      </c>
    </row>
    <row r="2109" spans="1:29">
      <c r="A2109" s="83" t="str">
        <f t="shared" si="224"/>
        <v/>
      </c>
      <c r="B2109" s="83" t="str">
        <f t="shared" si="225"/>
        <v/>
      </c>
      <c r="U2109" s="83" t="str">
        <f t="shared" si="226"/>
        <v/>
      </c>
      <c r="V2109" s="83" t="str">
        <f t="shared" si="227"/>
        <v/>
      </c>
      <c r="AA2109" s="60">
        <f t="shared" si="228"/>
        <v>0</v>
      </c>
      <c r="AB2109" s="49">
        <f t="shared" si="229"/>
        <v>0</v>
      </c>
      <c r="AC2109" s="60">
        <f t="shared" si="230"/>
        <v>0</v>
      </c>
    </row>
    <row r="2110" spans="1:29">
      <c r="A2110" s="83" t="str">
        <f t="shared" si="224"/>
        <v/>
      </c>
      <c r="B2110" s="83" t="str">
        <f t="shared" si="225"/>
        <v/>
      </c>
      <c r="U2110" s="83" t="str">
        <f t="shared" si="226"/>
        <v/>
      </c>
      <c r="V2110" s="83" t="str">
        <f t="shared" si="227"/>
        <v/>
      </c>
      <c r="AA2110" s="60">
        <f t="shared" si="228"/>
        <v>0</v>
      </c>
      <c r="AB2110" s="49">
        <f t="shared" si="229"/>
        <v>0</v>
      </c>
      <c r="AC2110" s="60">
        <f t="shared" si="230"/>
        <v>0</v>
      </c>
    </row>
    <row r="2111" spans="1:29">
      <c r="A2111" s="83" t="str">
        <f t="shared" si="224"/>
        <v/>
      </c>
      <c r="B2111" s="83" t="str">
        <f t="shared" si="225"/>
        <v/>
      </c>
      <c r="U2111" s="83" t="str">
        <f t="shared" si="226"/>
        <v/>
      </c>
      <c r="V2111" s="83" t="str">
        <f t="shared" si="227"/>
        <v/>
      </c>
      <c r="AA2111" s="60">
        <f t="shared" si="228"/>
        <v>0</v>
      </c>
      <c r="AB2111" s="49">
        <f t="shared" si="229"/>
        <v>0</v>
      </c>
      <c r="AC2111" s="60">
        <f t="shared" si="230"/>
        <v>0</v>
      </c>
    </row>
    <row r="2112" spans="1:29">
      <c r="A2112" s="83" t="str">
        <f t="shared" si="224"/>
        <v/>
      </c>
      <c r="B2112" s="83" t="str">
        <f t="shared" si="225"/>
        <v/>
      </c>
      <c r="U2112" s="83" t="str">
        <f t="shared" si="226"/>
        <v/>
      </c>
      <c r="V2112" s="83" t="str">
        <f t="shared" si="227"/>
        <v/>
      </c>
      <c r="AA2112" s="60">
        <f t="shared" si="228"/>
        <v>0</v>
      </c>
      <c r="AB2112" s="49">
        <f t="shared" si="229"/>
        <v>0</v>
      </c>
      <c r="AC2112" s="60">
        <f t="shared" si="230"/>
        <v>0</v>
      </c>
    </row>
    <row r="2113" spans="1:29">
      <c r="A2113" s="83" t="str">
        <f t="shared" si="224"/>
        <v/>
      </c>
      <c r="B2113" s="83" t="str">
        <f t="shared" si="225"/>
        <v/>
      </c>
      <c r="U2113" s="83" t="str">
        <f t="shared" si="226"/>
        <v/>
      </c>
      <c r="V2113" s="83" t="str">
        <f t="shared" si="227"/>
        <v/>
      </c>
      <c r="AA2113" s="60">
        <f t="shared" si="228"/>
        <v>0</v>
      </c>
      <c r="AB2113" s="49">
        <f t="shared" si="229"/>
        <v>0</v>
      </c>
      <c r="AC2113" s="60">
        <f t="shared" si="230"/>
        <v>0</v>
      </c>
    </row>
    <row r="2114" spans="1:29">
      <c r="A2114" s="83" t="str">
        <f t="shared" si="224"/>
        <v/>
      </c>
      <c r="B2114" s="83" t="str">
        <f t="shared" si="225"/>
        <v/>
      </c>
      <c r="U2114" s="83" t="str">
        <f t="shared" si="226"/>
        <v/>
      </c>
      <c r="V2114" s="83" t="str">
        <f t="shared" si="227"/>
        <v/>
      </c>
      <c r="AA2114" s="60">
        <f t="shared" si="228"/>
        <v>0</v>
      </c>
      <c r="AB2114" s="49">
        <f t="shared" si="229"/>
        <v>0</v>
      </c>
      <c r="AC2114" s="60">
        <f t="shared" si="230"/>
        <v>0</v>
      </c>
    </row>
    <row r="2115" spans="1:29">
      <c r="A2115" s="83" t="str">
        <f t="shared" ref="A2115:A2178" si="231">IF(G2115&amp;Q2115&lt;&gt;"",U2115&amp;Q2115,"")</f>
        <v/>
      </c>
      <c r="B2115" s="83" t="str">
        <f t="shared" ref="B2115:B2178" si="232">IF(C2115&lt;&gt;"",LEFT(C2115,9),"")</f>
        <v/>
      </c>
      <c r="U2115" s="83" t="str">
        <f t="shared" ref="U2115:U2178" si="233">IF(G2115&lt;&gt;"",IF(StyleSpaceSplit,IFERROR(IF(FIND(" ",G2115)&gt;=1,MID(G2115,1,FIND(" ",G2115)-1),G2115),G2115),G2115),"")</f>
        <v/>
      </c>
      <c r="V2115" s="83" t="str">
        <f t="shared" ref="V2115:V2178" si="234">IF(A2115&lt;&gt;"",IFERROR(IF(FIND(" ",G2115)&gt;=1,MID(G2115,FIND(" ",G2115)+1,LEN(G2115)),""),G2115),"")</f>
        <v/>
      </c>
      <c r="AA2115" s="60">
        <f t="shared" ref="AA2115:AA2178" si="235">IFERROR(VALUE(MID($C2115,1,2)),0)</f>
        <v>0</v>
      </c>
      <c r="AB2115" s="49">
        <f t="shared" ref="AB2115:AB2178" si="236">IFERROR(VALUE(MID($C2115,4,3)),0)</f>
        <v>0</v>
      </c>
      <c r="AC2115" s="60">
        <f t="shared" ref="AC2115:AC2178" si="237">VALUE(RIGHT("00"&amp;AA2115,2)&amp;RIGHT("000"&amp;AB2115,3))</f>
        <v>0</v>
      </c>
    </row>
    <row r="2116" spans="1:29">
      <c r="A2116" s="83" t="str">
        <f t="shared" si="231"/>
        <v/>
      </c>
      <c r="B2116" s="83" t="str">
        <f t="shared" si="232"/>
        <v/>
      </c>
      <c r="U2116" s="83" t="str">
        <f t="shared" si="233"/>
        <v/>
      </c>
      <c r="V2116" s="83" t="str">
        <f t="shared" si="234"/>
        <v/>
      </c>
      <c r="AA2116" s="60">
        <f t="shared" si="235"/>
        <v>0</v>
      </c>
      <c r="AB2116" s="49">
        <f t="shared" si="236"/>
        <v>0</v>
      </c>
      <c r="AC2116" s="60">
        <f t="shared" si="237"/>
        <v>0</v>
      </c>
    </row>
    <row r="2117" spans="1:29">
      <c r="A2117" s="83" t="str">
        <f t="shared" si="231"/>
        <v/>
      </c>
      <c r="B2117" s="83" t="str">
        <f t="shared" si="232"/>
        <v/>
      </c>
      <c r="U2117" s="83" t="str">
        <f t="shared" si="233"/>
        <v/>
      </c>
      <c r="V2117" s="83" t="str">
        <f t="shared" si="234"/>
        <v/>
      </c>
      <c r="AA2117" s="60">
        <f t="shared" si="235"/>
        <v>0</v>
      </c>
      <c r="AB2117" s="49">
        <f t="shared" si="236"/>
        <v>0</v>
      </c>
      <c r="AC2117" s="60">
        <f t="shared" si="237"/>
        <v>0</v>
      </c>
    </row>
    <row r="2118" spans="1:29">
      <c r="A2118" s="83" t="str">
        <f t="shared" si="231"/>
        <v/>
      </c>
      <c r="B2118" s="83" t="str">
        <f t="shared" si="232"/>
        <v/>
      </c>
      <c r="U2118" s="83" t="str">
        <f t="shared" si="233"/>
        <v/>
      </c>
      <c r="V2118" s="83" t="str">
        <f t="shared" si="234"/>
        <v/>
      </c>
      <c r="AA2118" s="60">
        <f t="shared" si="235"/>
        <v>0</v>
      </c>
      <c r="AB2118" s="49">
        <f t="shared" si="236"/>
        <v>0</v>
      </c>
      <c r="AC2118" s="60">
        <f t="shared" si="237"/>
        <v>0</v>
      </c>
    </row>
    <row r="2119" spans="1:29">
      <c r="A2119" s="83" t="str">
        <f t="shared" si="231"/>
        <v/>
      </c>
      <c r="B2119" s="83" t="str">
        <f t="shared" si="232"/>
        <v/>
      </c>
      <c r="U2119" s="83" t="str">
        <f t="shared" si="233"/>
        <v/>
      </c>
      <c r="V2119" s="83" t="str">
        <f t="shared" si="234"/>
        <v/>
      </c>
      <c r="AA2119" s="60">
        <f t="shared" si="235"/>
        <v>0</v>
      </c>
      <c r="AB2119" s="49">
        <f t="shared" si="236"/>
        <v>0</v>
      </c>
      <c r="AC2119" s="60">
        <f t="shared" si="237"/>
        <v>0</v>
      </c>
    </row>
    <row r="2120" spans="1:29">
      <c r="A2120" s="83" t="str">
        <f t="shared" si="231"/>
        <v/>
      </c>
      <c r="B2120" s="83" t="str">
        <f t="shared" si="232"/>
        <v/>
      </c>
      <c r="U2120" s="83" t="str">
        <f t="shared" si="233"/>
        <v/>
      </c>
      <c r="V2120" s="83" t="str">
        <f t="shared" si="234"/>
        <v/>
      </c>
      <c r="AA2120" s="60">
        <f t="shared" si="235"/>
        <v>0</v>
      </c>
      <c r="AB2120" s="49">
        <f t="shared" si="236"/>
        <v>0</v>
      </c>
      <c r="AC2120" s="60">
        <f t="shared" si="237"/>
        <v>0</v>
      </c>
    </row>
    <row r="2121" spans="1:29">
      <c r="A2121" s="83" t="str">
        <f t="shared" si="231"/>
        <v/>
      </c>
      <c r="B2121" s="83" t="str">
        <f t="shared" si="232"/>
        <v/>
      </c>
      <c r="U2121" s="83" t="str">
        <f t="shared" si="233"/>
        <v/>
      </c>
      <c r="V2121" s="83" t="str">
        <f t="shared" si="234"/>
        <v/>
      </c>
      <c r="AA2121" s="60">
        <f t="shared" si="235"/>
        <v>0</v>
      </c>
      <c r="AB2121" s="49">
        <f t="shared" si="236"/>
        <v>0</v>
      </c>
      <c r="AC2121" s="60">
        <f t="shared" si="237"/>
        <v>0</v>
      </c>
    </row>
    <row r="2122" spans="1:29">
      <c r="A2122" s="83" t="str">
        <f t="shared" si="231"/>
        <v/>
      </c>
      <c r="B2122" s="83" t="str">
        <f t="shared" si="232"/>
        <v/>
      </c>
      <c r="U2122" s="83" t="str">
        <f t="shared" si="233"/>
        <v/>
      </c>
      <c r="V2122" s="83" t="str">
        <f t="shared" si="234"/>
        <v/>
      </c>
      <c r="AA2122" s="60">
        <f t="shared" si="235"/>
        <v>0</v>
      </c>
      <c r="AB2122" s="49">
        <f t="shared" si="236"/>
        <v>0</v>
      </c>
      <c r="AC2122" s="60">
        <f t="shared" si="237"/>
        <v>0</v>
      </c>
    </row>
    <row r="2123" spans="1:29">
      <c r="A2123" s="83" t="str">
        <f t="shared" si="231"/>
        <v/>
      </c>
      <c r="B2123" s="83" t="str">
        <f t="shared" si="232"/>
        <v/>
      </c>
      <c r="U2123" s="83" t="str">
        <f t="shared" si="233"/>
        <v/>
      </c>
      <c r="V2123" s="83" t="str">
        <f t="shared" si="234"/>
        <v/>
      </c>
      <c r="AA2123" s="60">
        <f t="shared" si="235"/>
        <v>0</v>
      </c>
      <c r="AB2123" s="49">
        <f t="shared" si="236"/>
        <v>0</v>
      </c>
      <c r="AC2123" s="60">
        <f t="shared" si="237"/>
        <v>0</v>
      </c>
    </row>
    <row r="2124" spans="1:29">
      <c r="A2124" s="83" t="str">
        <f t="shared" si="231"/>
        <v/>
      </c>
      <c r="B2124" s="83" t="str">
        <f t="shared" si="232"/>
        <v/>
      </c>
      <c r="U2124" s="83" t="str">
        <f t="shared" si="233"/>
        <v/>
      </c>
      <c r="V2124" s="83" t="str">
        <f t="shared" si="234"/>
        <v/>
      </c>
      <c r="AA2124" s="60">
        <f t="shared" si="235"/>
        <v>0</v>
      </c>
      <c r="AB2124" s="49">
        <f t="shared" si="236"/>
        <v>0</v>
      </c>
      <c r="AC2124" s="60">
        <f t="shared" si="237"/>
        <v>0</v>
      </c>
    </row>
    <row r="2125" spans="1:29">
      <c r="A2125" s="83" t="str">
        <f t="shared" si="231"/>
        <v/>
      </c>
      <c r="B2125" s="83" t="str">
        <f t="shared" si="232"/>
        <v/>
      </c>
      <c r="U2125" s="83" t="str">
        <f t="shared" si="233"/>
        <v/>
      </c>
      <c r="V2125" s="83" t="str">
        <f t="shared" si="234"/>
        <v/>
      </c>
      <c r="AA2125" s="60">
        <f t="shared" si="235"/>
        <v>0</v>
      </c>
      <c r="AB2125" s="49">
        <f t="shared" si="236"/>
        <v>0</v>
      </c>
      <c r="AC2125" s="60">
        <f t="shared" si="237"/>
        <v>0</v>
      </c>
    </row>
    <row r="2126" spans="1:29">
      <c r="A2126" s="83" t="str">
        <f t="shared" si="231"/>
        <v/>
      </c>
      <c r="B2126" s="83" t="str">
        <f t="shared" si="232"/>
        <v/>
      </c>
      <c r="U2126" s="83" t="str">
        <f t="shared" si="233"/>
        <v/>
      </c>
      <c r="V2126" s="83" t="str">
        <f t="shared" si="234"/>
        <v/>
      </c>
      <c r="AA2126" s="60">
        <f t="shared" si="235"/>
        <v>0</v>
      </c>
      <c r="AB2126" s="49">
        <f t="shared" si="236"/>
        <v>0</v>
      </c>
      <c r="AC2126" s="60">
        <f t="shared" si="237"/>
        <v>0</v>
      </c>
    </row>
    <row r="2127" spans="1:29">
      <c r="A2127" s="83" t="str">
        <f t="shared" si="231"/>
        <v/>
      </c>
      <c r="B2127" s="83" t="str">
        <f t="shared" si="232"/>
        <v/>
      </c>
      <c r="U2127" s="83" t="str">
        <f t="shared" si="233"/>
        <v/>
      </c>
      <c r="V2127" s="83" t="str">
        <f t="shared" si="234"/>
        <v/>
      </c>
      <c r="AA2127" s="60">
        <f t="shared" si="235"/>
        <v>0</v>
      </c>
      <c r="AB2127" s="49">
        <f t="shared" si="236"/>
        <v>0</v>
      </c>
      <c r="AC2127" s="60">
        <f t="shared" si="237"/>
        <v>0</v>
      </c>
    </row>
    <row r="2128" spans="1:29">
      <c r="A2128" s="83" t="str">
        <f t="shared" si="231"/>
        <v/>
      </c>
      <c r="B2128" s="83" t="str">
        <f t="shared" si="232"/>
        <v/>
      </c>
      <c r="U2128" s="83" t="str">
        <f t="shared" si="233"/>
        <v/>
      </c>
      <c r="V2128" s="83" t="str">
        <f t="shared" si="234"/>
        <v/>
      </c>
      <c r="AA2128" s="60">
        <f t="shared" si="235"/>
        <v>0</v>
      </c>
      <c r="AB2128" s="49">
        <f t="shared" si="236"/>
        <v>0</v>
      </c>
      <c r="AC2128" s="60">
        <f t="shared" si="237"/>
        <v>0</v>
      </c>
    </row>
    <row r="2129" spans="1:29">
      <c r="A2129" s="83" t="str">
        <f t="shared" si="231"/>
        <v/>
      </c>
      <c r="B2129" s="83" t="str">
        <f t="shared" si="232"/>
        <v/>
      </c>
      <c r="U2129" s="83" t="str">
        <f t="shared" si="233"/>
        <v/>
      </c>
      <c r="V2129" s="83" t="str">
        <f t="shared" si="234"/>
        <v/>
      </c>
      <c r="AA2129" s="60">
        <f t="shared" si="235"/>
        <v>0</v>
      </c>
      <c r="AB2129" s="49">
        <f t="shared" si="236"/>
        <v>0</v>
      </c>
      <c r="AC2129" s="60">
        <f t="shared" si="237"/>
        <v>0</v>
      </c>
    </row>
    <row r="2130" spans="1:29">
      <c r="A2130" s="83" t="str">
        <f t="shared" si="231"/>
        <v/>
      </c>
      <c r="B2130" s="83" t="str">
        <f t="shared" si="232"/>
        <v/>
      </c>
      <c r="U2130" s="83" t="str">
        <f t="shared" si="233"/>
        <v/>
      </c>
      <c r="V2130" s="83" t="str">
        <f t="shared" si="234"/>
        <v/>
      </c>
      <c r="AA2130" s="60">
        <f t="shared" si="235"/>
        <v>0</v>
      </c>
      <c r="AB2130" s="49">
        <f t="shared" si="236"/>
        <v>0</v>
      </c>
      <c r="AC2130" s="60">
        <f t="shared" si="237"/>
        <v>0</v>
      </c>
    </row>
    <row r="2131" spans="1:29">
      <c r="A2131" s="83" t="str">
        <f t="shared" si="231"/>
        <v/>
      </c>
      <c r="B2131" s="83" t="str">
        <f t="shared" si="232"/>
        <v/>
      </c>
      <c r="U2131" s="83" t="str">
        <f t="shared" si="233"/>
        <v/>
      </c>
      <c r="V2131" s="83" t="str">
        <f t="shared" si="234"/>
        <v/>
      </c>
      <c r="AA2131" s="60">
        <f t="shared" si="235"/>
        <v>0</v>
      </c>
      <c r="AB2131" s="49">
        <f t="shared" si="236"/>
        <v>0</v>
      </c>
      <c r="AC2131" s="60">
        <f t="shared" si="237"/>
        <v>0</v>
      </c>
    </row>
    <row r="2132" spans="1:29">
      <c r="A2132" s="83" t="str">
        <f t="shared" si="231"/>
        <v/>
      </c>
      <c r="B2132" s="83" t="str">
        <f t="shared" si="232"/>
        <v/>
      </c>
      <c r="U2132" s="83" t="str">
        <f t="shared" si="233"/>
        <v/>
      </c>
      <c r="V2132" s="83" t="str">
        <f t="shared" si="234"/>
        <v/>
      </c>
      <c r="AA2132" s="60">
        <f t="shared" si="235"/>
        <v>0</v>
      </c>
      <c r="AB2132" s="49">
        <f t="shared" si="236"/>
        <v>0</v>
      </c>
      <c r="AC2132" s="60">
        <f t="shared" si="237"/>
        <v>0</v>
      </c>
    </row>
    <row r="2133" spans="1:29">
      <c r="A2133" s="83" t="str">
        <f t="shared" si="231"/>
        <v/>
      </c>
      <c r="B2133" s="83" t="str">
        <f t="shared" si="232"/>
        <v/>
      </c>
      <c r="U2133" s="83" t="str">
        <f t="shared" si="233"/>
        <v/>
      </c>
      <c r="V2133" s="83" t="str">
        <f t="shared" si="234"/>
        <v/>
      </c>
      <c r="AA2133" s="60">
        <f t="shared" si="235"/>
        <v>0</v>
      </c>
      <c r="AB2133" s="49">
        <f t="shared" si="236"/>
        <v>0</v>
      </c>
      <c r="AC2133" s="60">
        <f t="shared" si="237"/>
        <v>0</v>
      </c>
    </row>
    <row r="2134" spans="1:29">
      <c r="A2134" s="83" t="str">
        <f t="shared" si="231"/>
        <v/>
      </c>
      <c r="B2134" s="83" t="str">
        <f t="shared" si="232"/>
        <v/>
      </c>
      <c r="U2134" s="83" t="str">
        <f t="shared" si="233"/>
        <v/>
      </c>
      <c r="V2134" s="83" t="str">
        <f t="shared" si="234"/>
        <v/>
      </c>
      <c r="AA2134" s="60">
        <f t="shared" si="235"/>
        <v>0</v>
      </c>
      <c r="AB2134" s="49">
        <f t="shared" si="236"/>
        <v>0</v>
      </c>
      <c r="AC2134" s="60">
        <f t="shared" si="237"/>
        <v>0</v>
      </c>
    </row>
    <row r="2135" spans="1:29">
      <c r="A2135" s="83" t="str">
        <f t="shared" si="231"/>
        <v/>
      </c>
      <c r="B2135" s="83" t="str">
        <f t="shared" si="232"/>
        <v/>
      </c>
      <c r="U2135" s="83" t="str">
        <f t="shared" si="233"/>
        <v/>
      </c>
      <c r="V2135" s="83" t="str">
        <f t="shared" si="234"/>
        <v/>
      </c>
      <c r="AA2135" s="60">
        <f t="shared" si="235"/>
        <v>0</v>
      </c>
      <c r="AB2135" s="49">
        <f t="shared" si="236"/>
        <v>0</v>
      </c>
      <c r="AC2135" s="60">
        <f t="shared" si="237"/>
        <v>0</v>
      </c>
    </row>
    <row r="2136" spans="1:29">
      <c r="A2136" s="83" t="str">
        <f t="shared" si="231"/>
        <v/>
      </c>
      <c r="B2136" s="83" t="str">
        <f t="shared" si="232"/>
        <v/>
      </c>
      <c r="U2136" s="83" t="str">
        <f t="shared" si="233"/>
        <v/>
      </c>
      <c r="V2136" s="83" t="str">
        <f t="shared" si="234"/>
        <v/>
      </c>
      <c r="AA2136" s="60">
        <f t="shared" si="235"/>
        <v>0</v>
      </c>
      <c r="AB2136" s="49">
        <f t="shared" si="236"/>
        <v>0</v>
      </c>
      <c r="AC2136" s="60">
        <f t="shared" si="237"/>
        <v>0</v>
      </c>
    </row>
    <row r="2137" spans="1:29">
      <c r="A2137" s="83" t="str">
        <f t="shared" si="231"/>
        <v/>
      </c>
      <c r="B2137" s="83" t="str">
        <f t="shared" si="232"/>
        <v/>
      </c>
      <c r="U2137" s="83" t="str">
        <f t="shared" si="233"/>
        <v/>
      </c>
      <c r="V2137" s="83" t="str">
        <f t="shared" si="234"/>
        <v/>
      </c>
      <c r="AA2137" s="60">
        <f t="shared" si="235"/>
        <v>0</v>
      </c>
      <c r="AB2137" s="49">
        <f t="shared" si="236"/>
        <v>0</v>
      </c>
      <c r="AC2137" s="60">
        <f t="shared" si="237"/>
        <v>0</v>
      </c>
    </row>
    <row r="2138" spans="1:29">
      <c r="A2138" s="83" t="str">
        <f t="shared" si="231"/>
        <v/>
      </c>
      <c r="B2138" s="83" t="str">
        <f t="shared" si="232"/>
        <v/>
      </c>
      <c r="U2138" s="83" t="str">
        <f t="shared" si="233"/>
        <v/>
      </c>
      <c r="V2138" s="83" t="str">
        <f t="shared" si="234"/>
        <v/>
      </c>
      <c r="AA2138" s="60">
        <f t="shared" si="235"/>
        <v>0</v>
      </c>
      <c r="AB2138" s="49">
        <f t="shared" si="236"/>
        <v>0</v>
      </c>
      <c r="AC2138" s="60">
        <f t="shared" si="237"/>
        <v>0</v>
      </c>
    </row>
    <row r="2139" spans="1:29">
      <c r="A2139" s="83" t="str">
        <f t="shared" si="231"/>
        <v/>
      </c>
      <c r="B2139" s="83" t="str">
        <f t="shared" si="232"/>
        <v/>
      </c>
      <c r="U2139" s="83" t="str">
        <f t="shared" si="233"/>
        <v/>
      </c>
      <c r="V2139" s="83" t="str">
        <f t="shared" si="234"/>
        <v/>
      </c>
      <c r="AA2139" s="60">
        <f t="shared" si="235"/>
        <v>0</v>
      </c>
      <c r="AB2139" s="49">
        <f t="shared" si="236"/>
        <v>0</v>
      </c>
      <c r="AC2139" s="60">
        <f t="shared" si="237"/>
        <v>0</v>
      </c>
    </row>
    <row r="2140" spans="1:29">
      <c r="A2140" s="83" t="str">
        <f t="shared" si="231"/>
        <v/>
      </c>
      <c r="B2140" s="83" t="str">
        <f t="shared" si="232"/>
        <v/>
      </c>
      <c r="U2140" s="83" t="str">
        <f t="shared" si="233"/>
        <v/>
      </c>
      <c r="V2140" s="83" t="str">
        <f t="shared" si="234"/>
        <v/>
      </c>
      <c r="AA2140" s="60">
        <f t="shared" si="235"/>
        <v>0</v>
      </c>
      <c r="AB2140" s="49">
        <f t="shared" si="236"/>
        <v>0</v>
      </c>
      <c r="AC2140" s="60">
        <f t="shared" si="237"/>
        <v>0</v>
      </c>
    </row>
    <row r="2141" spans="1:29">
      <c r="A2141" s="83" t="str">
        <f t="shared" si="231"/>
        <v/>
      </c>
      <c r="B2141" s="83" t="str">
        <f t="shared" si="232"/>
        <v/>
      </c>
      <c r="U2141" s="83" t="str">
        <f t="shared" si="233"/>
        <v/>
      </c>
      <c r="V2141" s="83" t="str">
        <f t="shared" si="234"/>
        <v/>
      </c>
      <c r="AA2141" s="60">
        <f t="shared" si="235"/>
        <v>0</v>
      </c>
      <c r="AB2141" s="49">
        <f t="shared" si="236"/>
        <v>0</v>
      </c>
      <c r="AC2141" s="60">
        <f t="shared" si="237"/>
        <v>0</v>
      </c>
    </row>
    <row r="2142" spans="1:29">
      <c r="A2142" s="83" t="str">
        <f t="shared" si="231"/>
        <v/>
      </c>
      <c r="B2142" s="83" t="str">
        <f t="shared" si="232"/>
        <v/>
      </c>
      <c r="U2142" s="83" t="str">
        <f t="shared" si="233"/>
        <v/>
      </c>
      <c r="V2142" s="83" t="str">
        <f t="shared" si="234"/>
        <v/>
      </c>
      <c r="AA2142" s="60">
        <f t="shared" si="235"/>
        <v>0</v>
      </c>
      <c r="AB2142" s="49">
        <f t="shared" si="236"/>
        <v>0</v>
      </c>
      <c r="AC2142" s="60">
        <f t="shared" si="237"/>
        <v>0</v>
      </c>
    </row>
    <row r="2143" spans="1:29">
      <c r="A2143" s="83" t="str">
        <f t="shared" si="231"/>
        <v/>
      </c>
      <c r="B2143" s="83" t="str">
        <f t="shared" si="232"/>
        <v/>
      </c>
      <c r="U2143" s="83" t="str">
        <f t="shared" si="233"/>
        <v/>
      </c>
      <c r="V2143" s="83" t="str">
        <f t="shared" si="234"/>
        <v/>
      </c>
      <c r="AA2143" s="60">
        <f t="shared" si="235"/>
        <v>0</v>
      </c>
      <c r="AB2143" s="49">
        <f t="shared" si="236"/>
        <v>0</v>
      </c>
      <c r="AC2143" s="60">
        <f t="shared" si="237"/>
        <v>0</v>
      </c>
    </row>
    <row r="2144" spans="1:29">
      <c r="A2144" s="83" t="str">
        <f t="shared" si="231"/>
        <v/>
      </c>
      <c r="B2144" s="83" t="str">
        <f t="shared" si="232"/>
        <v/>
      </c>
      <c r="U2144" s="83" t="str">
        <f t="shared" si="233"/>
        <v/>
      </c>
      <c r="V2144" s="83" t="str">
        <f t="shared" si="234"/>
        <v/>
      </c>
      <c r="AA2144" s="60">
        <f t="shared" si="235"/>
        <v>0</v>
      </c>
      <c r="AB2144" s="49">
        <f t="shared" si="236"/>
        <v>0</v>
      </c>
      <c r="AC2144" s="60">
        <f t="shared" si="237"/>
        <v>0</v>
      </c>
    </row>
    <row r="2145" spans="1:29">
      <c r="A2145" s="83" t="str">
        <f t="shared" si="231"/>
        <v/>
      </c>
      <c r="B2145" s="83" t="str">
        <f t="shared" si="232"/>
        <v/>
      </c>
      <c r="U2145" s="83" t="str">
        <f t="shared" si="233"/>
        <v/>
      </c>
      <c r="V2145" s="83" t="str">
        <f t="shared" si="234"/>
        <v/>
      </c>
      <c r="AA2145" s="60">
        <f t="shared" si="235"/>
        <v>0</v>
      </c>
      <c r="AB2145" s="49">
        <f t="shared" si="236"/>
        <v>0</v>
      </c>
      <c r="AC2145" s="60">
        <f t="shared" si="237"/>
        <v>0</v>
      </c>
    </row>
    <row r="2146" spans="1:29">
      <c r="A2146" s="83" t="str">
        <f t="shared" si="231"/>
        <v/>
      </c>
      <c r="B2146" s="83" t="str">
        <f t="shared" si="232"/>
        <v/>
      </c>
      <c r="U2146" s="83" t="str">
        <f t="shared" si="233"/>
        <v/>
      </c>
      <c r="V2146" s="83" t="str">
        <f t="shared" si="234"/>
        <v/>
      </c>
      <c r="AA2146" s="60">
        <f t="shared" si="235"/>
        <v>0</v>
      </c>
      <c r="AB2146" s="49">
        <f t="shared" si="236"/>
        <v>0</v>
      </c>
      <c r="AC2146" s="60">
        <f t="shared" si="237"/>
        <v>0</v>
      </c>
    </row>
    <row r="2147" spans="1:29">
      <c r="A2147" s="83" t="str">
        <f t="shared" si="231"/>
        <v/>
      </c>
      <c r="B2147" s="83" t="str">
        <f t="shared" si="232"/>
        <v/>
      </c>
      <c r="U2147" s="83" t="str">
        <f t="shared" si="233"/>
        <v/>
      </c>
      <c r="V2147" s="83" t="str">
        <f t="shared" si="234"/>
        <v/>
      </c>
      <c r="AA2147" s="60">
        <f t="shared" si="235"/>
        <v>0</v>
      </c>
      <c r="AB2147" s="49">
        <f t="shared" si="236"/>
        <v>0</v>
      </c>
      <c r="AC2147" s="60">
        <f t="shared" si="237"/>
        <v>0</v>
      </c>
    </row>
    <row r="2148" spans="1:29">
      <c r="A2148" s="83" t="str">
        <f t="shared" si="231"/>
        <v/>
      </c>
      <c r="B2148" s="83" t="str">
        <f t="shared" si="232"/>
        <v/>
      </c>
      <c r="U2148" s="83" t="str">
        <f t="shared" si="233"/>
        <v/>
      </c>
      <c r="V2148" s="83" t="str">
        <f t="shared" si="234"/>
        <v/>
      </c>
      <c r="AA2148" s="60">
        <f t="shared" si="235"/>
        <v>0</v>
      </c>
      <c r="AB2148" s="49">
        <f t="shared" si="236"/>
        <v>0</v>
      </c>
      <c r="AC2148" s="60">
        <f t="shared" si="237"/>
        <v>0</v>
      </c>
    </row>
    <row r="2149" spans="1:29">
      <c r="A2149" s="83" t="str">
        <f t="shared" si="231"/>
        <v/>
      </c>
      <c r="B2149" s="83" t="str">
        <f t="shared" si="232"/>
        <v/>
      </c>
      <c r="U2149" s="83" t="str">
        <f t="shared" si="233"/>
        <v/>
      </c>
      <c r="V2149" s="83" t="str">
        <f t="shared" si="234"/>
        <v/>
      </c>
      <c r="AA2149" s="60">
        <f t="shared" si="235"/>
        <v>0</v>
      </c>
      <c r="AB2149" s="49">
        <f t="shared" si="236"/>
        <v>0</v>
      </c>
      <c r="AC2149" s="60">
        <f t="shared" si="237"/>
        <v>0</v>
      </c>
    </row>
    <row r="2150" spans="1:29">
      <c r="A2150" s="83" t="str">
        <f t="shared" si="231"/>
        <v/>
      </c>
      <c r="B2150" s="83" t="str">
        <f t="shared" si="232"/>
        <v/>
      </c>
      <c r="U2150" s="83" t="str">
        <f t="shared" si="233"/>
        <v/>
      </c>
      <c r="V2150" s="83" t="str">
        <f t="shared" si="234"/>
        <v/>
      </c>
      <c r="AA2150" s="60">
        <f t="shared" si="235"/>
        <v>0</v>
      </c>
      <c r="AB2150" s="49">
        <f t="shared" si="236"/>
        <v>0</v>
      </c>
      <c r="AC2150" s="60">
        <f t="shared" si="237"/>
        <v>0</v>
      </c>
    </row>
    <row r="2151" spans="1:29">
      <c r="A2151" s="83" t="str">
        <f t="shared" si="231"/>
        <v/>
      </c>
      <c r="B2151" s="83" t="str">
        <f t="shared" si="232"/>
        <v/>
      </c>
      <c r="U2151" s="83" t="str">
        <f t="shared" si="233"/>
        <v/>
      </c>
      <c r="V2151" s="83" t="str">
        <f t="shared" si="234"/>
        <v/>
      </c>
      <c r="AA2151" s="60">
        <f t="shared" si="235"/>
        <v>0</v>
      </c>
      <c r="AB2151" s="49">
        <f t="shared" si="236"/>
        <v>0</v>
      </c>
      <c r="AC2151" s="60">
        <f t="shared" si="237"/>
        <v>0</v>
      </c>
    </row>
    <row r="2152" spans="1:29">
      <c r="A2152" s="83" t="str">
        <f t="shared" si="231"/>
        <v/>
      </c>
      <c r="B2152" s="83" t="str">
        <f t="shared" si="232"/>
        <v/>
      </c>
      <c r="U2152" s="83" t="str">
        <f t="shared" si="233"/>
        <v/>
      </c>
      <c r="V2152" s="83" t="str">
        <f t="shared" si="234"/>
        <v/>
      </c>
      <c r="AA2152" s="60">
        <f t="shared" si="235"/>
        <v>0</v>
      </c>
      <c r="AB2152" s="49">
        <f t="shared" si="236"/>
        <v>0</v>
      </c>
      <c r="AC2152" s="60">
        <f t="shared" si="237"/>
        <v>0</v>
      </c>
    </row>
    <row r="2153" spans="1:29">
      <c r="A2153" s="83" t="str">
        <f t="shared" si="231"/>
        <v/>
      </c>
      <c r="B2153" s="83" t="str">
        <f t="shared" si="232"/>
        <v/>
      </c>
      <c r="U2153" s="83" t="str">
        <f t="shared" si="233"/>
        <v/>
      </c>
      <c r="V2153" s="83" t="str">
        <f t="shared" si="234"/>
        <v/>
      </c>
      <c r="AA2153" s="60">
        <f t="shared" si="235"/>
        <v>0</v>
      </c>
      <c r="AB2153" s="49">
        <f t="shared" si="236"/>
        <v>0</v>
      </c>
      <c r="AC2153" s="60">
        <f t="shared" si="237"/>
        <v>0</v>
      </c>
    </row>
    <row r="2154" spans="1:29">
      <c r="A2154" s="83" t="str">
        <f t="shared" si="231"/>
        <v/>
      </c>
      <c r="B2154" s="83" t="str">
        <f t="shared" si="232"/>
        <v/>
      </c>
      <c r="U2154" s="83" t="str">
        <f t="shared" si="233"/>
        <v/>
      </c>
      <c r="V2154" s="83" t="str">
        <f t="shared" si="234"/>
        <v/>
      </c>
      <c r="AA2154" s="60">
        <f t="shared" si="235"/>
        <v>0</v>
      </c>
      <c r="AB2154" s="49">
        <f t="shared" si="236"/>
        <v>0</v>
      </c>
      <c r="AC2154" s="60">
        <f t="shared" si="237"/>
        <v>0</v>
      </c>
    </row>
    <row r="2155" spans="1:29">
      <c r="A2155" s="83" t="str">
        <f t="shared" si="231"/>
        <v/>
      </c>
      <c r="B2155" s="83" t="str">
        <f t="shared" si="232"/>
        <v/>
      </c>
      <c r="U2155" s="83" t="str">
        <f t="shared" si="233"/>
        <v/>
      </c>
      <c r="V2155" s="83" t="str">
        <f t="shared" si="234"/>
        <v/>
      </c>
      <c r="AA2155" s="60">
        <f t="shared" si="235"/>
        <v>0</v>
      </c>
      <c r="AB2155" s="49">
        <f t="shared" si="236"/>
        <v>0</v>
      </c>
      <c r="AC2155" s="60">
        <f t="shared" si="237"/>
        <v>0</v>
      </c>
    </row>
    <row r="2156" spans="1:29">
      <c r="A2156" s="83" t="str">
        <f t="shared" si="231"/>
        <v/>
      </c>
      <c r="B2156" s="83" t="str">
        <f t="shared" si="232"/>
        <v/>
      </c>
      <c r="U2156" s="83" t="str">
        <f t="shared" si="233"/>
        <v/>
      </c>
      <c r="V2156" s="83" t="str">
        <f t="shared" si="234"/>
        <v/>
      </c>
      <c r="AA2156" s="60">
        <f t="shared" si="235"/>
        <v>0</v>
      </c>
      <c r="AB2156" s="49">
        <f t="shared" si="236"/>
        <v>0</v>
      </c>
      <c r="AC2156" s="60">
        <f t="shared" si="237"/>
        <v>0</v>
      </c>
    </row>
    <row r="2157" spans="1:29">
      <c r="A2157" s="83" t="str">
        <f t="shared" si="231"/>
        <v/>
      </c>
      <c r="B2157" s="83" t="str">
        <f t="shared" si="232"/>
        <v/>
      </c>
      <c r="U2157" s="83" t="str">
        <f t="shared" si="233"/>
        <v/>
      </c>
      <c r="V2157" s="83" t="str">
        <f t="shared" si="234"/>
        <v/>
      </c>
      <c r="AA2157" s="60">
        <f t="shared" si="235"/>
        <v>0</v>
      </c>
      <c r="AB2157" s="49">
        <f t="shared" si="236"/>
        <v>0</v>
      </c>
      <c r="AC2157" s="60">
        <f t="shared" si="237"/>
        <v>0</v>
      </c>
    </row>
    <row r="2158" spans="1:29">
      <c r="A2158" s="83" t="str">
        <f t="shared" si="231"/>
        <v/>
      </c>
      <c r="B2158" s="83" t="str">
        <f t="shared" si="232"/>
        <v/>
      </c>
      <c r="U2158" s="83" t="str">
        <f t="shared" si="233"/>
        <v/>
      </c>
      <c r="V2158" s="83" t="str">
        <f t="shared" si="234"/>
        <v/>
      </c>
      <c r="AA2158" s="60">
        <f t="shared" si="235"/>
        <v>0</v>
      </c>
      <c r="AB2158" s="49">
        <f t="shared" si="236"/>
        <v>0</v>
      </c>
      <c r="AC2158" s="60">
        <f t="shared" si="237"/>
        <v>0</v>
      </c>
    </row>
    <row r="2159" spans="1:29">
      <c r="A2159" s="83" t="str">
        <f t="shared" si="231"/>
        <v/>
      </c>
      <c r="B2159" s="83" t="str">
        <f t="shared" si="232"/>
        <v/>
      </c>
      <c r="U2159" s="83" t="str">
        <f t="shared" si="233"/>
        <v/>
      </c>
      <c r="V2159" s="83" t="str">
        <f t="shared" si="234"/>
        <v/>
      </c>
      <c r="AA2159" s="60">
        <f t="shared" si="235"/>
        <v>0</v>
      </c>
      <c r="AB2159" s="49">
        <f t="shared" si="236"/>
        <v>0</v>
      </c>
      <c r="AC2159" s="60">
        <f t="shared" si="237"/>
        <v>0</v>
      </c>
    </row>
    <row r="2160" spans="1:29">
      <c r="A2160" s="83" t="str">
        <f t="shared" si="231"/>
        <v/>
      </c>
      <c r="B2160" s="83" t="str">
        <f t="shared" si="232"/>
        <v/>
      </c>
      <c r="U2160" s="83" t="str">
        <f t="shared" si="233"/>
        <v/>
      </c>
      <c r="V2160" s="83" t="str">
        <f t="shared" si="234"/>
        <v/>
      </c>
      <c r="AA2160" s="60">
        <f t="shared" si="235"/>
        <v>0</v>
      </c>
      <c r="AB2160" s="49">
        <f t="shared" si="236"/>
        <v>0</v>
      </c>
      <c r="AC2160" s="60">
        <f t="shared" si="237"/>
        <v>0</v>
      </c>
    </row>
    <row r="2161" spans="1:29">
      <c r="A2161" s="83" t="str">
        <f t="shared" si="231"/>
        <v/>
      </c>
      <c r="B2161" s="83" t="str">
        <f t="shared" si="232"/>
        <v/>
      </c>
      <c r="U2161" s="83" t="str">
        <f t="shared" si="233"/>
        <v/>
      </c>
      <c r="V2161" s="83" t="str">
        <f t="shared" si="234"/>
        <v/>
      </c>
      <c r="AA2161" s="60">
        <f t="shared" si="235"/>
        <v>0</v>
      </c>
      <c r="AB2161" s="49">
        <f t="shared" si="236"/>
        <v>0</v>
      </c>
      <c r="AC2161" s="60">
        <f t="shared" si="237"/>
        <v>0</v>
      </c>
    </row>
    <row r="2162" spans="1:29">
      <c r="A2162" s="83" t="str">
        <f t="shared" si="231"/>
        <v/>
      </c>
      <c r="B2162" s="83" t="str">
        <f t="shared" si="232"/>
        <v/>
      </c>
      <c r="U2162" s="83" t="str">
        <f t="shared" si="233"/>
        <v/>
      </c>
      <c r="V2162" s="83" t="str">
        <f t="shared" si="234"/>
        <v/>
      </c>
      <c r="AA2162" s="60">
        <f t="shared" si="235"/>
        <v>0</v>
      </c>
      <c r="AB2162" s="49">
        <f t="shared" si="236"/>
        <v>0</v>
      </c>
      <c r="AC2162" s="60">
        <f t="shared" si="237"/>
        <v>0</v>
      </c>
    </row>
    <row r="2163" spans="1:29">
      <c r="A2163" s="83" t="str">
        <f t="shared" si="231"/>
        <v/>
      </c>
      <c r="B2163" s="83" t="str">
        <f t="shared" si="232"/>
        <v/>
      </c>
      <c r="U2163" s="83" t="str">
        <f t="shared" si="233"/>
        <v/>
      </c>
      <c r="V2163" s="83" t="str">
        <f t="shared" si="234"/>
        <v/>
      </c>
      <c r="AA2163" s="60">
        <f t="shared" si="235"/>
        <v>0</v>
      </c>
      <c r="AB2163" s="49">
        <f t="shared" si="236"/>
        <v>0</v>
      </c>
      <c r="AC2163" s="60">
        <f t="shared" si="237"/>
        <v>0</v>
      </c>
    </row>
    <row r="2164" spans="1:29">
      <c r="A2164" s="83" t="str">
        <f t="shared" si="231"/>
        <v/>
      </c>
      <c r="B2164" s="83" t="str">
        <f t="shared" si="232"/>
        <v/>
      </c>
      <c r="U2164" s="83" t="str">
        <f t="shared" si="233"/>
        <v/>
      </c>
      <c r="V2164" s="83" t="str">
        <f t="shared" si="234"/>
        <v/>
      </c>
      <c r="AA2164" s="60">
        <f t="shared" si="235"/>
        <v>0</v>
      </c>
      <c r="AB2164" s="49">
        <f t="shared" si="236"/>
        <v>0</v>
      </c>
      <c r="AC2164" s="60">
        <f t="shared" si="237"/>
        <v>0</v>
      </c>
    </row>
    <row r="2165" spans="1:29">
      <c r="A2165" s="83" t="str">
        <f t="shared" si="231"/>
        <v/>
      </c>
      <c r="B2165" s="83" t="str">
        <f t="shared" si="232"/>
        <v/>
      </c>
      <c r="U2165" s="83" t="str">
        <f t="shared" si="233"/>
        <v/>
      </c>
      <c r="V2165" s="83" t="str">
        <f t="shared" si="234"/>
        <v/>
      </c>
      <c r="AA2165" s="60">
        <f t="shared" si="235"/>
        <v>0</v>
      </c>
      <c r="AB2165" s="49">
        <f t="shared" si="236"/>
        <v>0</v>
      </c>
      <c r="AC2165" s="60">
        <f t="shared" si="237"/>
        <v>0</v>
      </c>
    </row>
    <row r="2166" spans="1:29">
      <c r="A2166" s="83" t="str">
        <f t="shared" si="231"/>
        <v/>
      </c>
      <c r="B2166" s="83" t="str">
        <f t="shared" si="232"/>
        <v/>
      </c>
      <c r="U2166" s="83" t="str">
        <f t="shared" si="233"/>
        <v/>
      </c>
      <c r="V2166" s="83" t="str">
        <f t="shared" si="234"/>
        <v/>
      </c>
      <c r="AA2166" s="60">
        <f t="shared" si="235"/>
        <v>0</v>
      </c>
      <c r="AB2166" s="49">
        <f t="shared" si="236"/>
        <v>0</v>
      </c>
      <c r="AC2166" s="60">
        <f t="shared" si="237"/>
        <v>0</v>
      </c>
    </row>
    <row r="2167" spans="1:29">
      <c r="A2167" s="83" t="str">
        <f t="shared" si="231"/>
        <v/>
      </c>
      <c r="B2167" s="83" t="str">
        <f t="shared" si="232"/>
        <v/>
      </c>
      <c r="U2167" s="83" t="str">
        <f t="shared" si="233"/>
        <v/>
      </c>
      <c r="V2167" s="83" t="str">
        <f t="shared" si="234"/>
        <v/>
      </c>
      <c r="AA2167" s="60">
        <f t="shared" si="235"/>
        <v>0</v>
      </c>
      <c r="AB2167" s="49">
        <f t="shared" si="236"/>
        <v>0</v>
      </c>
      <c r="AC2167" s="60">
        <f t="shared" si="237"/>
        <v>0</v>
      </c>
    </row>
    <row r="2168" spans="1:29">
      <c r="A2168" s="83" t="str">
        <f t="shared" si="231"/>
        <v/>
      </c>
      <c r="B2168" s="83" t="str">
        <f t="shared" si="232"/>
        <v/>
      </c>
      <c r="U2168" s="83" t="str">
        <f t="shared" si="233"/>
        <v/>
      </c>
      <c r="V2168" s="83" t="str">
        <f t="shared" si="234"/>
        <v/>
      </c>
      <c r="AA2168" s="60">
        <f t="shared" si="235"/>
        <v>0</v>
      </c>
      <c r="AB2168" s="49">
        <f t="shared" si="236"/>
        <v>0</v>
      </c>
      <c r="AC2168" s="60">
        <f t="shared" si="237"/>
        <v>0</v>
      </c>
    </row>
    <row r="2169" spans="1:29">
      <c r="A2169" s="83" t="str">
        <f t="shared" si="231"/>
        <v/>
      </c>
      <c r="B2169" s="83" t="str">
        <f t="shared" si="232"/>
        <v/>
      </c>
      <c r="U2169" s="83" t="str">
        <f t="shared" si="233"/>
        <v/>
      </c>
      <c r="V2169" s="83" t="str">
        <f t="shared" si="234"/>
        <v/>
      </c>
      <c r="AA2169" s="60">
        <f t="shared" si="235"/>
        <v>0</v>
      </c>
      <c r="AB2169" s="49">
        <f t="shared" si="236"/>
        <v>0</v>
      </c>
      <c r="AC2169" s="60">
        <f t="shared" si="237"/>
        <v>0</v>
      </c>
    </row>
    <row r="2170" spans="1:29">
      <c r="A2170" s="83" t="str">
        <f t="shared" si="231"/>
        <v/>
      </c>
      <c r="B2170" s="83" t="str">
        <f t="shared" si="232"/>
        <v/>
      </c>
      <c r="U2170" s="83" t="str">
        <f t="shared" si="233"/>
        <v/>
      </c>
      <c r="V2170" s="83" t="str">
        <f t="shared" si="234"/>
        <v/>
      </c>
      <c r="AA2170" s="60">
        <f t="shared" si="235"/>
        <v>0</v>
      </c>
      <c r="AB2170" s="49">
        <f t="shared" si="236"/>
        <v>0</v>
      </c>
      <c r="AC2170" s="60">
        <f t="shared" si="237"/>
        <v>0</v>
      </c>
    </row>
    <row r="2171" spans="1:29">
      <c r="A2171" s="83" t="str">
        <f t="shared" si="231"/>
        <v/>
      </c>
      <c r="B2171" s="83" t="str">
        <f t="shared" si="232"/>
        <v/>
      </c>
      <c r="U2171" s="83" t="str">
        <f t="shared" si="233"/>
        <v/>
      </c>
      <c r="V2171" s="83" t="str">
        <f t="shared" si="234"/>
        <v/>
      </c>
      <c r="AA2171" s="60">
        <f t="shared" si="235"/>
        <v>0</v>
      </c>
      <c r="AB2171" s="49">
        <f t="shared" si="236"/>
        <v>0</v>
      </c>
      <c r="AC2171" s="60">
        <f t="shared" si="237"/>
        <v>0</v>
      </c>
    </row>
    <row r="2172" spans="1:29">
      <c r="A2172" s="83" t="str">
        <f t="shared" si="231"/>
        <v/>
      </c>
      <c r="B2172" s="83" t="str">
        <f t="shared" si="232"/>
        <v/>
      </c>
      <c r="U2172" s="83" t="str">
        <f t="shared" si="233"/>
        <v/>
      </c>
      <c r="V2172" s="83" t="str">
        <f t="shared" si="234"/>
        <v/>
      </c>
      <c r="AA2172" s="60">
        <f t="shared" si="235"/>
        <v>0</v>
      </c>
      <c r="AB2172" s="49">
        <f t="shared" si="236"/>
        <v>0</v>
      </c>
      <c r="AC2172" s="60">
        <f t="shared" si="237"/>
        <v>0</v>
      </c>
    </row>
    <row r="2173" spans="1:29">
      <c r="A2173" s="83" t="str">
        <f t="shared" si="231"/>
        <v/>
      </c>
      <c r="B2173" s="83" t="str">
        <f t="shared" si="232"/>
        <v/>
      </c>
      <c r="U2173" s="83" t="str">
        <f t="shared" si="233"/>
        <v/>
      </c>
      <c r="V2173" s="83" t="str">
        <f t="shared" si="234"/>
        <v/>
      </c>
      <c r="AA2173" s="60">
        <f t="shared" si="235"/>
        <v>0</v>
      </c>
      <c r="AB2173" s="49">
        <f t="shared" si="236"/>
        <v>0</v>
      </c>
      <c r="AC2173" s="60">
        <f t="shared" si="237"/>
        <v>0</v>
      </c>
    </row>
    <row r="2174" spans="1:29">
      <c r="A2174" s="83" t="str">
        <f t="shared" si="231"/>
        <v/>
      </c>
      <c r="B2174" s="83" t="str">
        <f t="shared" si="232"/>
        <v/>
      </c>
      <c r="U2174" s="83" t="str">
        <f t="shared" si="233"/>
        <v/>
      </c>
      <c r="V2174" s="83" t="str">
        <f t="shared" si="234"/>
        <v/>
      </c>
      <c r="AA2174" s="60">
        <f t="shared" si="235"/>
        <v>0</v>
      </c>
      <c r="AB2174" s="49">
        <f t="shared" si="236"/>
        <v>0</v>
      </c>
      <c r="AC2174" s="60">
        <f t="shared" si="237"/>
        <v>0</v>
      </c>
    </row>
    <row r="2175" spans="1:29">
      <c r="A2175" s="83" t="str">
        <f t="shared" si="231"/>
        <v/>
      </c>
      <c r="B2175" s="83" t="str">
        <f t="shared" si="232"/>
        <v/>
      </c>
      <c r="U2175" s="83" t="str">
        <f t="shared" si="233"/>
        <v/>
      </c>
      <c r="V2175" s="83" t="str">
        <f t="shared" si="234"/>
        <v/>
      </c>
      <c r="AA2175" s="60">
        <f t="shared" si="235"/>
        <v>0</v>
      </c>
      <c r="AB2175" s="49">
        <f t="shared" si="236"/>
        <v>0</v>
      </c>
      <c r="AC2175" s="60">
        <f t="shared" si="237"/>
        <v>0</v>
      </c>
    </row>
    <row r="2176" spans="1:29">
      <c r="A2176" s="83" t="str">
        <f t="shared" si="231"/>
        <v/>
      </c>
      <c r="B2176" s="83" t="str">
        <f t="shared" si="232"/>
        <v/>
      </c>
      <c r="U2176" s="83" t="str">
        <f t="shared" si="233"/>
        <v/>
      </c>
      <c r="V2176" s="83" t="str">
        <f t="shared" si="234"/>
        <v/>
      </c>
      <c r="AA2176" s="60">
        <f t="shared" si="235"/>
        <v>0</v>
      </c>
      <c r="AB2176" s="49">
        <f t="shared" si="236"/>
        <v>0</v>
      </c>
      <c r="AC2176" s="60">
        <f t="shared" si="237"/>
        <v>0</v>
      </c>
    </row>
    <row r="2177" spans="1:29">
      <c r="A2177" s="83" t="str">
        <f t="shared" si="231"/>
        <v/>
      </c>
      <c r="B2177" s="83" t="str">
        <f t="shared" si="232"/>
        <v/>
      </c>
      <c r="U2177" s="83" t="str">
        <f t="shared" si="233"/>
        <v/>
      </c>
      <c r="V2177" s="83" t="str">
        <f t="shared" si="234"/>
        <v/>
      </c>
      <c r="AA2177" s="60">
        <f t="shared" si="235"/>
        <v>0</v>
      </c>
      <c r="AB2177" s="49">
        <f t="shared" si="236"/>
        <v>0</v>
      </c>
      <c r="AC2177" s="60">
        <f t="shared" si="237"/>
        <v>0</v>
      </c>
    </row>
    <row r="2178" spans="1:29">
      <c r="A2178" s="83" t="str">
        <f t="shared" si="231"/>
        <v/>
      </c>
      <c r="B2178" s="83" t="str">
        <f t="shared" si="232"/>
        <v/>
      </c>
      <c r="U2178" s="83" t="str">
        <f t="shared" si="233"/>
        <v/>
      </c>
      <c r="V2178" s="83" t="str">
        <f t="shared" si="234"/>
        <v/>
      </c>
      <c r="AA2178" s="60">
        <f t="shared" si="235"/>
        <v>0</v>
      </c>
      <c r="AB2178" s="49">
        <f t="shared" si="236"/>
        <v>0</v>
      </c>
      <c r="AC2178" s="60">
        <f t="shared" si="237"/>
        <v>0</v>
      </c>
    </row>
    <row r="2179" spans="1:29">
      <c r="A2179" s="83" t="str">
        <f t="shared" ref="A2179:A2242" si="238">IF(G2179&amp;Q2179&lt;&gt;"",U2179&amp;Q2179,"")</f>
        <v/>
      </c>
      <c r="B2179" s="83" t="str">
        <f t="shared" ref="B2179:B2242" si="239">IF(C2179&lt;&gt;"",LEFT(C2179,9),"")</f>
        <v/>
      </c>
      <c r="U2179" s="83" t="str">
        <f t="shared" ref="U2179:U2242" si="240">IF(G2179&lt;&gt;"",IF(StyleSpaceSplit,IFERROR(IF(FIND(" ",G2179)&gt;=1,MID(G2179,1,FIND(" ",G2179)-1),G2179),G2179),G2179),"")</f>
        <v/>
      </c>
      <c r="V2179" s="83" t="str">
        <f t="shared" ref="V2179:V2242" si="241">IF(A2179&lt;&gt;"",IFERROR(IF(FIND(" ",G2179)&gt;=1,MID(G2179,FIND(" ",G2179)+1,LEN(G2179)),""),G2179),"")</f>
        <v/>
      </c>
      <c r="AA2179" s="60">
        <f t="shared" ref="AA2179:AA2242" si="242">IFERROR(VALUE(MID($C2179,1,2)),0)</f>
        <v>0</v>
      </c>
      <c r="AB2179" s="49">
        <f t="shared" ref="AB2179:AB2242" si="243">IFERROR(VALUE(MID($C2179,4,3)),0)</f>
        <v>0</v>
      </c>
      <c r="AC2179" s="60">
        <f t="shared" ref="AC2179:AC2242" si="244">VALUE(RIGHT("00"&amp;AA2179,2)&amp;RIGHT("000"&amp;AB2179,3))</f>
        <v>0</v>
      </c>
    </row>
    <row r="2180" spans="1:29">
      <c r="A2180" s="83" t="str">
        <f t="shared" si="238"/>
        <v/>
      </c>
      <c r="B2180" s="83" t="str">
        <f t="shared" si="239"/>
        <v/>
      </c>
      <c r="U2180" s="83" t="str">
        <f t="shared" si="240"/>
        <v/>
      </c>
      <c r="V2180" s="83" t="str">
        <f t="shared" si="241"/>
        <v/>
      </c>
      <c r="AA2180" s="60">
        <f t="shared" si="242"/>
        <v>0</v>
      </c>
      <c r="AB2180" s="49">
        <f t="shared" si="243"/>
        <v>0</v>
      </c>
      <c r="AC2180" s="60">
        <f t="shared" si="244"/>
        <v>0</v>
      </c>
    </row>
    <row r="2181" spans="1:29">
      <c r="A2181" s="83" t="str">
        <f t="shared" si="238"/>
        <v/>
      </c>
      <c r="B2181" s="83" t="str">
        <f t="shared" si="239"/>
        <v/>
      </c>
      <c r="U2181" s="83" t="str">
        <f t="shared" si="240"/>
        <v/>
      </c>
      <c r="V2181" s="83" t="str">
        <f t="shared" si="241"/>
        <v/>
      </c>
      <c r="AA2181" s="60">
        <f t="shared" si="242"/>
        <v>0</v>
      </c>
      <c r="AB2181" s="49">
        <f t="shared" si="243"/>
        <v>0</v>
      </c>
      <c r="AC2181" s="60">
        <f t="shared" si="244"/>
        <v>0</v>
      </c>
    </row>
    <row r="2182" spans="1:29">
      <c r="A2182" s="83" t="str">
        <f t="shared" si="238"/>
        <v/>
      </c>
      <c r="B2182" s="83" t="str">
        <f t="shared" si="239"/>
        <v/>
      </c>
      <c r="U2182" s="83" t="str">
        <f t="shared" si="240"/>
        <v/>
      </c>
      <c r="V2182" s="83" t="str">
        <f t="shared" si="241"/>
        <v/>
      </c>
      <c r="AA2182" s="60">
        <f t="shared" si="242"/>
        <v>0</v>
      </c>
      <c r="AB2182" s="49">
        <f t="shared" si="243"/>
        <v>0</v>
      </c>
      <c r="AC2182" s="60">
        <f t="shared" si="244"/>
        <v>0</v>
      </c>
    </row>
    <row r="2183" spans="1:29">
      <c r="A2183" s="83" t="str">
        <f t="shared" si="238"/>
        <v/>
      </c>
      <c r="B2183" s="83" t="str">
        <f t="shared" si="239"/>
        <v/>
      </c>
      <c r="U2183" s="83" t="str">
        <f t="shared" si="240"/>
        <v/>
      </c>
      <c r="V2183" s="83" t="str">
        <f t="shared" si="241"/>
        <v/>
      </c>
      <c r="AA2183" s="60">
        <f t="shared" si="242"/>
        <v>0</v>
      </c>
      <c r="AB2183" s="49">
        <f t="shared" si="243"/>
        <v>0</v>
      </c>
      <c r="AC2183" s="60">
        <f t="shared" si="244"/>
        <v>0</v>
      </c>
    </row>
    <row r="2184" spans="1:29">
      <c r="A2184" s="83" t="str">
        <f t="shared" si="238"/>
        <v/>
      </c>
      <c r="B2184" s="83" t="str">
        <f t="shared" si="239"/>
        <v/>
      </c>
      <c r="U2184" s="83" t="str">
        <f t="shared" si="240"/>
        <v/>
      </c>
      <c r="V2184" s="83" t="str">
        <f t="shared" si="241"/>
        <v/>
      </c>
      <c r="AA2184" s="60">
        <f t="shared" si="242"/>
        <v>0</v>
      </c>
      <c r="AB2184" s="49">
        <f t="shared" si="243"/>
        <v>0</v>
      </c>
      <c r="AC2184" s="60">
        <f t="shared" si="244"/>
        <v>0</v>
      </c>
    </row>
    <row r="2185" spans="1:29">
      <c r="A2185" s="83" t="str">
        <f t="shared" si="238"/>
        <v/>
      </c>
      <c r="B2185" s="83" t="str">
        <f t="shared" si="239"/>
        <v/>
      </c>
      <c r="U2185" s="83" t="str">
        <f t="shared" si="240"/>
        <v/>
      </c>
      <c r="V2185" s="83" t="str">
        <f t="shared" si="241"/>
        <v/>
      </c>
      <c r="AA2185" s="60">
        <f t="shared" si="242"/>
        <v>0</v>
      </c>
      <c r="AB2185" s="49">
        <f t="shared" si="243"/>
        <v>0</v>
      </c>
      <c r="AC2185" s="60">
        <f t="shared" si="244"/>
        <v>0</v>
      </c>
    </row>
    <row r="2186" spans="1:29">
      <c r="A2186" s="83" t="str">
        <f t="shared" si="238"/>
        <v/>
      </c>
      <c r="B2186" s="83" t="str">
        <f t="shared" si="239"/>
        <v/>
      </c>
      <c r="U2186" s="83" t="str">
        <f t="shared" si="240"/>
        <v/>
      </c>
      <c r="V2186" s="83" t="str">
        <f t="shared" si="241"/>
        <v/>
      </c>
      <c r="AA2186" s="60">
        <f t="shared" si="242"/>
        <v>0</v>
      </c>
      <c r="AB2186" s="49">
        <f t="shared" si="243"/>
        <v>0</v>
      </c>
      <c r="AC2186" s="60">
        <f t="shared" si="244"/>
        <v>0</v>
      </c>
    </row>
    <row r="2187" spans="1:29">
      <c r="A2187" s="83" t="str">
        <f t="shared" si="238"/>
        <v/>
      </c>
      <c r="B2187" s="83" t="str">
        <f t="shared" si="239"/>
        <v/>
      </c>
      <c r="U2187" s="83" t="str">
        <f t="shared" si="240"/>
        <v/>
      </c>
      <c r="V2187" s="83" t="str">
        <f t="shared" si="241"/>
        <v/>
      </c>
      <c r="AA2187" s="60">
        <f t="shared" si="242"/>
        <v>0</v>
      </c>
      <c r="AB2187" s="49">
        <f t="shared" si="243"/>
        <v>0</v>
      </c>
      <c r="AC2187" s="60">
        <f t="shared" si="244"/>
        <v>0</v>
      </c>
    </row>
    <row r="2188" spans="1:29">
      <c r="A2188" s="83" t="str">
        <f t="shared" si="238"/>
        <v/>
      </c>
      <c r="B2188" s="83" t="str">
        <f t="shared" si="239"/>
        <v/>
      </c>
      <c r="U2188" s="83" t="str">
        <f t="shared" si="240"/>
        <v/>
      </c>
      <c r="V2188" s="83" t="str">
        <f t="shared" si="241"/>
        <v/>
      </c>
      <c r="AA2188" s="60">
        <f t="shared" si="242"/>
        <v>0</v>
      </c>
      <c r="AB2188" s="49">
        <f t="shared" si="243"/>
        <v>0</v>
      </c>
      <c r="AC2188" s="60">
        <f t="shared" si="244"/>
        <v>0</v>
      </c>
    </row>
    <row r="2189" spans="1:29">
      <c r="A2189" s="83" t="str">
        <f t="shared" si="238"/>
        <v/>
      </c>
      <c r="B2189" s="83" t="str">
        <f t="shared" si="239"/>
        <v/>
      </c>
      <c r="U2189" s="83" t="str">
        <f t="shared" si="240"/>
        <v/>
      </c>
      <c r="V2189" s="83" t="str">
        <f t="shared" si="241"/>
        <v/>
      </c>
      <c r="AA2189" s="60">
        <f t="shared" si="242"/>
        <v>0</v>
      </c>
      <c r="AB2189" s="49">
        <f t="shared" si="243"/>
        <v>0</v>
      </c>
      <c r="AC2189" s="60">
        <f t="shared" si="244"/>
        <v>0</v>
      </c>
    </row>
    <row r="2190" spans="1:29">
      <c r="A2190" s="83" t="str">
        <f t="shared" si="238"/>
        <v/>
      </c>
      <c r="B2190" s="83" t="str">
        <f t="shared" si="239"/>
        <v/>
      </c>
      <c r="U2190" s="83" t="str">
        <f t="shared" si="240"/>
        <v/>
      </c>
      <c r="V2190" s="83" t="str">
        <f t="shared" si="241"/>
        <v/>
      </c>
      <c r="AA2190" s="60">
        <f t="shared" si="242"/>
        <v>0</v>
      </c>
      <c r="AB2190" s="49">
        <f t="shared" si="243"/>
        <v>0</v>
      </c>
      <c r="AC2190" s="60">
        <f t="shared" si="244"/>
        <v>0</v>
      </c>
    </row>
    <row r="2191" spans="1:29">
      <c r="A2191" s="83" t="str">
        <f t="shared" si="238"/>
        <v/>
      </c>
      <c r="B2191" s="83" t="str">
        <f t="shared" si="239"/>
        <v/>
      </c>
      <c r="U2191" s="83" t="str">
        <f t="shared" si="240"/>
        <v/>
      </c>
      <c r="V2191" s="83" t="str">
        <f t="shared" si="241"/>
        <v/>
      </c>
      <c r="AA2191" s="60">
        <f t="shared" si="242"/>
        <v>0</v>
      </c>
      <c r="AB2191" s="49">
        <f t="shared" si="243"/>
        <v>0</v>
      </c>
      <c r="AC2191" s="60">
        <f t="shared" si="244"/>
        <v>0</v>
      </c>
    </row>
    <row r="2192" spans="1:29">
      <c r="A2192" s="83" t="str">
        <f t="shared" si="238"/>
        <v/>
      </c>
      <c r="B2192" s="83" t="str">
        <f t="shared" si="239"/>
        <v/>
      </c>
      <c r="U2192" s="83" t="str">
        <f t="shared" si="240"/>
        <v/>
      </c>
      <c r="V2192" s="83" t="str">
        <f t="shared" si="241"/>
        <v/>
      </c>
      <c r="AA2192" s="60">
        <f t="shared" si="242"/>
        <v>0</v>
      </c>
      <c r="AB2192" s="49">
        <f t="shared" si="243"/>
        <v>0</v>
      </c>
      <c r="AC2192" s="60">
        <f t="shared" si="244"/>
        <v>0</v>
      </c>
    </row>
    <row r="2193" spans="1:29">
      <c r="A2193" s="83" t="str">
        <f t="shared" si="238"/>
        <v/>
      </c>
      <c r="B2193" s="83" t="str">
        <f t="shared" si="239"/>
        <v/>
      </c>
      <c r="U2193" s="83" t="str">
        <f t="shared" si="240"/>
        <v/>
      </c>
      <c r="V2193" s="83" t="str">
        <f t="shared" si="241"/>
        <v/>
      </c>
      <c r="AA2193" s="60">
        <f t="shared" si="242"/>
        <v>0</v>
      </c>
      <c r="AB2193" s="49">
        <f t="shared" si="243"/>
        <v>0</v>
      </c>
      <c r="AC2193" s="60">
        <f t="shared" si="244"/>
        <v>0</v>
      </c>
    </row>
    <row r="2194" spans="1:29">
      <c r="A2194" s="83" t="str">
        <f t="shared" si="238"/>
        <v/>
      </c>
      <c r="B2194" s="83" t="str">
        <f t="shared" si="239"/>
        <v/>
      </c>
      <c r="U2194" s="83" t="str">
        <f t="shared" si="240"/>
        <v/>
      </c>
      <c r="V2194" s="83" t="str">
        <f t="shared" si="241"/>
        <v/>
      </c>
      <c r="AA2194" s="60">
        <f t="shared" si="242"/>
        <v>0</v>
      </c>
      <c r="AB2194" s="49">
        <f t="shared" si="243"/>
        <v>0</v>
      </c>
      <c r="AC2194" s="60">
        <f t="shared" si="244"/>
        <v>0</v>
      </c>
    </row>
    <row r="2195" spans="1:29">
      <c r="A2195" s="83" t="str">
        <f t="shared" si="238"/>
        <v/>
      </c>
      <c r="B2195" s="83" t="str">
        <f t="shared" si="239"/>
        <v/>
      </c>
      <c r="U2195" s="83" t="str">
        <f t="shared" si="240"/>
        <v/>
      </c>
      <c r="V2195" s="83" t="str">
        <f t="shared" si="241"/>
        <v/>
      </c>
      <c r="AA2195" s="60">
        <f t="shared" si="242"/>
        <v>0</v>
      </c>
      <c r="AB2195" s="49">
        <f t="shared" si="243"/>
        <v>0</v>
      </c>
      <c r="AC2195" s="60">
        <f t="shared" si="244"/>
        <v>0</v>
      </c>
    </row>
    <row r="2196" spans="1:29">
      <c r="A2196" s="83" t="str">
        <f t="shared" si="238"/>
        <v/>
      </c>
      <c r="B2196" s="83" t="str">
        <f t="shared" si="239"/>
        <v/>
      </c>
      <c r="U2196" s="83" t="str">
        <f t="shared" si="240"/>
        <v/>
      </c>
      <c r="V2196" s="83" t="str">
        <f t="shared" si="241"/>
        <v/>
      </c>
      <c r="AA2196" s="60">
        <f t="shared" si="242"/>
        <v>0</v>
      </c>
      <c r="AB2196" s="49">
        <f t="shared" si="243"/>
        <v>0</v>
      </c>
      <c r="AC2196" s="60">
        <f t="shared" si="244"/>
        <v>0</v>
      </c>
    </row>
    <row r="2197" spans="1:29">
      <c r="A2197" s="83" t="str">
        <f t="shared" si="238"/>
        <v/>
      </c>
      <c r="B2197" s="83" t="str">
        <f t="shared" si="239"/>
        <v/>
      </c>
      <c r="U2197" s="83" t="str">
        <f t="shared" si="240"/>
        <v/>
      </c>
      <c r="V2197" s="83" t="str">
        <f t="shared" si="241"/>
        <v/>
      </c>
      <c r="AA2197" s="60">
        <f t="shared" si="242"/>
        <v>0</v>
      </c>
      <c r="AB2197" s="49">
        <f t="shared" si="243"/>
        <v>0</v>
      </c>
      <c r="AC2197" s="60">
        <f t="shared" si="244"/>
        <v>0</v>
      </c>
    </row>
    <row r="2198" spans="1:29">
      <c r="A2198" s="83" t="str">
        <f t="shared" si="238"/>
        <v/>
      </c>
      <c r="B2198" s="83" t="str">
        <f t="shared" si="239"/>
        <v/>
      </c>
      <c r="U2198" s="83" t="str">
        <f t="shared" si="240"/>
        <v/>
      </c>
      <c r="V2198" s="83" t="str">
        <f t="shared" si="241"/>
        <v/>
      </c>
      <c r="AA2198" s="60">
        <f t="shared" si="242"/>
        <v>0</v>
      </c>
      <c r="AB2198" s="49">
        <f t="shared" si="243"/>
        <v>0</v>
      </c>
      <c r="AC2198" s="60">
        <f t="shared" si="244"/>
        <v>0</v>
      </c>
    </row>
    <row r="2199" spans="1:29">
      <c r="A2199" s="83" t="str">
        <f t="shared" si="238"/>
        <v/>
      </c>
      <c r="B2199" s="83" t="str">
        <f t="shared" si="239"/>
        <v/>
      </c>
      <c r="U2199" s="83" t="str">
        <f t="shared" si="240"/>
        <v/>
      </c>
      <c r="V2199" s="83" t="str">
        <f t="shared" si="241"/>
        <v/>
      </c>
      <c r="AA2199" s="60">
        <f t="shared" si="242"/>
        <v>0</v>
      </c>
      <c r="AB2199" s="49">
        <f t="shared" si="243"/>
        <v>0</v>
      </c>
      <c r="AC2199" s="60">
        <f t="shared" si="244"/>
        <v>0</v>
      </c>
    </row>
    <row r="2200" spans="1:29">
      <c r="A2200" s="83" t="str">
        <f t="shared" si="238"/>
        <v/>
      </c>
      <c r="B2200" s="83" t="str">
        <f t="shared" si="239"/>
        <v/>
      </c>
      <c r="U2200" s="83" t="str">
        <f t="shared" si="240"/>
        <v/>
      </c>
      <c r="V2200" s="83" t="str">
        <f t="shared" si="241"/>
        <v/>
      </c>
      <c r="AA2200" s="60">
        <f t="shared" si="242"/>
        <v>0</v>
      </c>
      <c r="AB2200" s="49">
        <f t="shared" si="243"/>
        <v>0</v>
      </c>
      <c r="AC2200" s="60">
        <f t="shared" si="244"/>
        <v>0</v>
      </c>
    </row>
    <row r="2201" spans="1:29">
      <c r="A2201" s="83" t="str">
        <f t="shared" si="238"/>
        <v/>
      </c>
      <c r="B2201" s="83" t="str">
        <f t="shared" si="239"/>
        <v/>
      </c>
      <c r="U2201" s="83" t="str">
        <f t="shared" si="240"/>
        <v/>
      </c>
      <c r="V2201" s="83" t="str">
        <f t="shared" si="241"/>
        <v/>
      </c>
      <c r="AA2201" s="60">
        <f t="shared" si="242"/>
        <v>0</v>
      </c>
      <c r="AB2201" s="49">
        <f t="shared" si="243"/>
        <v>0</v>
      </c>
      <c r="AC2201" s="60">
        <f t="shared" si="244"/>
        <v>0</v>
      </c>
    </row>
    <row r="2202" spans="1:29">
      <c r="A2202" s="83" t="str">
        <f t="shared" si="238"/>
        <v/>
      </c>
      <c r="B2202" s="83" t="str">
        <f t="shared" si="239"/>
        <v/>
      </c>
      <c r="U2202" s="83" t="str">
        <f t="shared" si="240"/>
        <v/>
      </c>
      <c r="V2202" s="83" t="str">
        <f t="shared" si="241"/>
        <v/>
      </c>
      <c r="AA2202" s="60">
        <f t="shared" si="242"/>
        <v>0</v>
      </c>
      <c r="AB2202" s="49">
        <f t="shared" si="243"/>
        <v>0</v>
      </c>
      <c r="AC2202" s="60">
        <f t="shared" si="244"/>
        <v>0</v>
      </c>
    </row>
    <row r="2203" spans="1:29">
      <c r="A2203" s="83" t="str">
        <f t="shared" si="238"/>
        <v/>
      </c>
      <c r="B2203" s="83" t="str">
        <f t="shared" si="239"/>
        <v/>
      </c>
      <c r="U2203" s="83" t="str">
        <f t="shared" si="240"/>
        <v/>
      </c>
      <c r="V2203" s="83" t="str">
        <f t="shared" si="241"/>
        <v/>
      </c>
      <c r="AA2203" s="60">
        <f t="shared" si="242"/>
        <v>0</v>
      </c>
      <c r="AB2203" s="49">
        <f t="shared" si="243"/>
        <v>0</v>
      </c>
      <c r="AC2203" s="60">
        <f t="shared" si="244"/>
        <v>0</v>
      </c>
    </row>
    <row r="2204" spans="1:29">
      <c r="A2204" s="83" t="str">
        <f t="shared" si="238"/>
        <v/>
      </c>
      <c r="B2204" s="83" t="str">
        <f t="shared" si="239"/>
        <v/>
      </c>
      <c r="U2204" s="83" t="str">
        <f t="shared" si="240"/>
        <v/>
      </c>
      <c r="V2204" s="83" t="str">
        <f t="shared" si="241"/>
        <v/>
      </c>
      <c r="AA2204" s="60">
        <f t="shared" si="242"/>
        <v>0</v>
      </c>
      <c r="AB2204" s="49">
        <f t="shared" si="243"/>
        <v>0</v>
      </c>
      <c r="AC2204" s="60">
        <f t="shared" si="244"/>
        <v>0</v>
      </c>
    </row>
    <row r="2205" spans="1:29">
      <c r="A2205" s="83" t="str">
        <f t="shared" si="238"/>
        <v/>
      </c>
      <c r="B2205" s="83" t="str">
        <f t="shared" si="239"/>
        <v/>
      </c>
      <c r="U2205" s="83" t="str">
        <f t="shared" si="240"/>
        <v/>
      </c>
      <c r="V2205" s="83" t="str">
        <f t="shared" si="241"/>
        <v/>
      </c>
      <c r="AA2205" s="60">
        <f t="shared" si="242"/>
        <v>0</v>
      </c>
      <c r="AB2205" s="49">
        <f t="shared" si="243"/>
        <v>0</v>
      </c>
      <c r="AC2205" s="60">
        <f t="shared" si="244"/>
        <v>0</v>
      </c>
    </row>
    <row r="2206" spans="1:29">
      <c r="A2206" s="83" t="str">
        <f t="shared" si="238"/>
        <v/>
      </c>
      <c r="B2206" s="83" t="str">
        <f t="shared" si="239"/>
        <v/>
      </c>
      <c r="U2206" s="83" t="str">
        <f t="shared" si="240"/>
        <v/>
      </c>
      <c r="V2206" s="83" t="str">
        <f t="shared" si="241"/>
        <v/>
      </c>
      <c r="AA2206" s="60">
        <f t="shared" si="242"/>
        <v>0</v>
      </c>
      <c r="AB2206" s="49">
        <f t="shared" si="243"/>
        <v>0</v>
      </c>
      <c r="AC2206" s="60">
        <f t="shared" si="244"/>
        <v>0</v>
      </c>
    </row>
    <row r="2207" spans="1:29">
      <c r="A2207" s="83" t="str">
        <f t="shared" si="238"/>
        <v/>
      </c>
      <c r="B2207" s="83" t="str">
        <f t="shared" si="239"/>
        <v/>
      </c>
      <c r="U2207" s="83" t="str">
        <f t="shared" si="240"/>
        <v/>
      </c>
      <c r="V2207" s="83" t="str">
        <f t="shared" si="241"/>
        <v/>
      </c>
      <c r="AA2207" s="60">
        <f t="shared" si="242"/>
        <v>0</v>
      </c>
      <c r="AB2207" s="49">
        <f t="shared" si="243"/>
        <v>0</v>
      </c>
      <c r="AC2207" s="60">
        <f t="shared" si="244"/>
        <v>0</v>
      </c>
    </row>
    <row r="2208" spans="1:29">
      <c r="A2208" s="83" t="str">
        <f t="shared" si="238"/>
        <v/>
      </c>
      <c r="B2208" s="83" t="str">
        <f t="shared" si="239"/>
        <v/>
      </c>
      <c r="U2208" s="83" t="str">
        <f t="shared" si="240"/>
        <v/>
      </c>
      <c r="V2208" s="83" t="str">
        <f t="shared" si="241"/>
        <v/>
      </c>
      <c r="AA2208" s="60">
        <f t="shared" si="242"/>
        <v>0</v>
      </c>
      <c r="AB2208" s="49">
        <f t="shared" si="243"/>
        <v>0</v>
      </c>
      <c r="AC2208" s="60">
        <f t="shared" si="244"/>
        <v>0</v>
      </c>
    </row>
    <row r="2209" spans="1:29">
      <c r="A2209" s="83" t="str">
        <f t="shared" si="238"/>
        <v/>
      </c>
      <c r="B2209" s="83" t="str">
        <f t="shared" si="239"/>
        <v/>
      </c>
      <c r="U2209" s="83" t="str">
        <f t="shared" si="240"/>
        <v/>
      </c>
      <c r="V2209" s="83" t="str">
        <f t="shared" si="241"/>
        <v/>
      </c>
      <c r="AA2209" s="60">
        <f t="shared" si="242"/>
        <v>0</v>
      </c>
      <c r="AB2209" s="49">
        <f t="shared" si="243"/>
        <v>0</v>
      </c>
      <c r="AC2209" s="60">
        <f t="shared" si="244"/>
        <v>0</v>
      </c>
    </row>
    <row r="2210" spans="1:29">
      <c r="A2210" s="83" t="str">
        <f t="shared" si="238"/>
        <v/>
      </c>
      <c r="B2210" s="83" t="str">
        <f t="shared" si="239"/>
        <v/>
      </c>
      <c r="U2210" s="83" t="str">
        <f t="shared" si="240"/>
        <v/>
      </c>
      <c r="V2210" s="83" t="str">
        <f t="shared" si="241"/>
        <v/>
      </c>
      <c r="AA2210" s="60">
        <f t="shared" si="242"/>
        <v>0</v>
      </c>
      <c r="AB2210" s="49">
        <f t="shared" si="243"/>
        <v>0</v>
      </c>
      <c r="AC2210" s="60">
        <f t="shared" si="244"/>
        <v>0</v>
      </c>
    </row>
    <row r="2211" spans="1:29">
      <c r="A2211" s="83" t="str">
        <f t="shared" si="238"/>
        <v/>
      </c>
      <c r="B2211" s="83" t="str">
        <f t="shared" si="239"/>
        <v/>
      </c>
      <c r="U2211" s="83" t="str">
        <f t="shared" si="240"/>
        <v/>
      </c>
      <c r="V2211" s="83" t="str">
        <f t="shared" si="241"/>
        <v/>
      </c>
      <c r="AA2211" s="60">
        <f t="shared" si="242"/>
        <v>0</v>
      </c>
      <c r="AB2211" s="49">
        <f t="shared" si="243"/>
        <v>0</v>
      </c>
      <c r="AC2211" s="60">
        <f t="shared" si="244"/>
        <v>0</v>
      </c>
    </row>
    <row r="2212" spans="1:29">
      <c r="A2212" s="83" t="str">
        <f t="shared" si="238"/>
        <v/>
      </c>
      <c r="B2212" s="83" t="str">
        <f t="shared" si="239"/>
        <v/>
      </c>
      <c r="U2212" s="83" t="str">
        <f t="shared" si="240"/>
        <v/>
      </c>
      <c r="V2212" s="83" t="str">
        <f t="shared" si="241"/>
        <v/>
      </c>
      <c r="AA2212" s="60">
        <f t="shared" si="242"/>
        <v>0</v>
      </c>
      <c r="AB2212" s="49">
        <f t="shared" si="243"/>
        <v>0</v>
      </c>
      <c r="AC2212" s="60">
        <f t="shared" si="244"/>
        <v>0</v>
      </c>
    </row>
    <row r="2213" spans="1:29">
      <c r="A2213" s="83" t="str">
        <f t="shared" si="238"/>
        <v/>
      </c>
      <c r="B2213" s="83" t="str">
        <f t="shared" si="239"/>
        <v/>
      </c>
      <c r="U2213" s="83" t="str">
        <f t="shared" si="240"/>
        <v/>
      </c>
      <c r="V2213" s="83" t="str">
        <f t="shared" si="241"/>
        <v/>
      </c>
      <c r="AA2213" s="60">
        <f t="shared" si="242"/>
        <v>0</v>
      </c>
      <c r="AB2213" s="49">
        <f t="shared" si="243"/>
        <v>0</v>
      </c>
      <c r="AC2213" s="60">
        <f t="shared" si="244"/>
        <v>0</v>
      </c>
    </row>
    <row r="2214" spans="1:29">
      <c r="A2214" s="83" t="str">
        <f t="shared" si="238"/>
        <v/>
      </c>
      <c r="B2214" s="83" t="str">
        <f t="shared" si="239"/>
        <v/>
      </c>
      <c r="U2214" s="83" t="str">
        <f t="shared" si="240"/>
        <v/>
      </c>
      <c r="V2214" s="83" t="str">
        <f t="shared" si="241"/>
        <v/>
      </c>
      <c r="AA2214" s="60">
        <f t="shared" si="242"/>
        <v>0</v>
      </c>
      <c r="AB2214" s="49">
        <f t="shared" si="243"/>
        <v>0</v>
      </c>
      <c r="AC2214" s="60">
        <f t="shared" si="244"/>
        <v>0</v>
      </c>
    </row>
    <row r="2215" spans="1:29">
      <c r="A2215" s="83" t="str">
        <f t="shared" si="238"/>
        <v/>
      </c>
      <c r="B2215" s="83" t="str">
        <f t="shared" si="239"/>
        <v/>
      </c>
      <c r="U2215" s="83" t="str">
        <f t="shared" si="240"/>
        <v/>
      </c>
      <c r="V2215" s="83" t="str">
        <f t="shared" si="241"/>
        <v/>
      </c>
      <c r="AA2215" s="60">
        <f t="shared" si="242"/>
        <v>0</v>
      </c>
      <c r="AB2215" s="49">
        <f t="shared" si="243"/>
        <v>0</v>
      </c>
      <c r="AC2215" s="60">
        <f t="shared" si="244"/>
        <v>0</v>
      </c>
    </row>
    <row r="2216" spans="1:29">
      <c r="A2216" s="83" t="str">
        <f t="shared" si="238"/>
        <v/>
      </c>
      <c r="B2216" s="83" t="str">
        <f t="shared" si="239"/>
        <v/>
      </c>
      <c r="U2216" s="83" t="str">
        <f t="shared" si="240"/>
        <v/>
      </c>
      <c r="V2216" s="83" t="str">
        <f t="shared" si="241"/>
        <v/>
      </c>
      <c r="AA2216" s="60">
        <f t="shared" si="242"/>
        <v>0</v>
      </c>
      <c r="AB2216" s="49">
        <f t="shared" si="243"/>
        <v>0</v>
      </c>
      <c r="AC2216" s="60">
        <f t="shared" si="244"/>
        <v>0</v>
      </c>
    </row>
    <row r="2217" spans="1:29">
      <c r="A2217" s="83" t="str">
        <f t="shared" si="238"/>
        <v/>
      </c>
      <c r="B2217" s="83" t="str">
        <f t="shared" si="239"/>
        <v/>
      </c>
      <c r="U2217" s="83" t="str">
        <f t="shared" si="240"/>
        <v/>
      </c>
      <c r="V2217" s="83" t="str">
        <f t="shared" si="241"/>
        <v/>
      </c>
      <c r="AA2217" s="60">
        <f t="shared" si="242"/>
        <v>0</v>
      </c>
      <c r="AB2217" s="49">
        <f t="shared" si="243"/>
        <v>0</v>
      </c>
      <c r="AC2217" s="60">
        <f t="shared" si="244"/>
        <v>0</v>
      </c>
    </row>
    <row r="2218" spans="1:29">
      <c r="A2218" s="83" t="str">
        <f t="shared" si="238"/>
        <v/>
      </c>
      <c r="B2218" s="83" t="str">
        <f t="shared" si="239"/>
        <v/>
      </c>
      <c r="U2218" s="83" t="str">
        <f t="shared" si="240"/>
        <v/>
      </c>
      <c r="V2218" s="83" t="str">
        <f t="shared" si="241"/>
        <v/>
      </c>
      <c r="AA2218" s="60">
        <f t="shared" si="242"/>
        <v>0</v>
      </c>
      <c r="AB2218" s="49">
        <f t="shared" si="243"/>
        <v>0</v>
      </c>
      <c r="AC2218" s="60">
        <f t="shared" si="244"/>
        <v>0</v>
      </c>
    </row>
    <row r="2219" spans="1:29">
      <c r="A2219" s="83" t="str">
        <f t="shared" si="238"/>
        <v/>
      </c>
      <c r="B2219" s="83" t="str">
        <f t="shared" si="239"/>
        <v/>
      </c>
      <c r="U2219" s="83" t="str">
        <f t="shared" si="240"/>
        <v/>
      </c>
      <c r="V2219" s="83" t="str">
        <f t="shared" si="241"/>
        <v/>
      </c>
      <c r="AA2219" s="60">
        <f t="shared" si="242"/>
        <v>0</v>
      </c>
      <c r="AB2219" s="49">
        <f t="shared" si="243"/>
        <v>0</v>
      </c>
      <c r="AC2219" s="60">
        <f t="shared" si="244"/>
        <v>0</v>
      </c>
    </row>
    <row r="2220" spans="1:29">
      <c r="A2220" s="83" t="str">
        <f t="shared" si="238"/>
        <v/>
      </c>
      <c r="B2220" s="83" t="str">
        <f t="shared" si="239"/>
        <v/>
      </c>
      <c r="U2220" s="83" t="str">
        <f t="shared" si="240"/>
        <v/>
      </c>
      <c r="V2220" s="83" t="str">
        <f t="shared" si="241"/>
        <v/>
      </c>
      <c r="AA2220" s="60">
        <f t="shared" si="242"/>
        <v>0</v>
      </c>
      <c r="AB2220" s="49">
        <f t="shared" si="243"/>
        <v>0</v>
      </c>
      <c r="AC2220" s="60">
        <f t="shared" si="244"/>
        <v>0</v>
      </c>
    </row>
    <row r="2221" spans="1:29">
      <c r="A2221" s="83" t="str">
        <f t="shared" si="238"/>
        <v/>
      </c>
      <c r="B2221" s="83" t="str">
        <f t="shared" si="239"/>
        <v/>
      </c>
      <c r="U2221" s="83" t="str">
        <f t="shared" si="240"/>
        <v/>
      </c>
      <c r="V2221" s="83" t="str">
        <f t="shared" si="241"/>
        <v/>
      </c>
      <c r="AA2221" s="60">
        <f t="shared" si="242"/>
        <v>0</v>
      </c>
      <c r="AB2221" s="49">
        <f t="shared" si="243"/>
        <v>0</v>
      </c>
      <c r="AC2221" s="60">
        <f t="shared" si="244"/>
        <v>0</v>
      </c>
    </row>
    <row r="2222" spans="1:29">
      <c r="A2222" s="83" t="str">
        <f t="shared" si="238"/>
        <v/>
      </c>
      <c r="B2222" s="83" t="str">
        <f t="shared" si="239"/>
        <v/>
      </c>
      <c r="U2222" s="83" t="str">
        <f t="shared" si="240"/>
        <v/>
      </c>
      <c r="V2222" s="83" t="str">
        <f t="shared" si="241"/>
        <v/>
      </c>
      <c r="AA2222" s="60">
        <f t="shared" si="242"/>
        <v>0</v>
      </c>
      <c r="AB2222" s="49">
        <f t="shared" si="243"/>
        <v>0</v>
      </c>
      <c r="AC2222" s="60">
        <f t="shared" si="244"/>
        <v>0</v>
      </c>
    </row>
    <row r="2223" spans="1:29">
      <c r="A2223" s="83" t="str">
        <f t="shared" si="238"/>
        <v/>
      </c>
      <c r="B2223" s="83" t="str">
        <f t="shared" si="239"/>
        <v/>
      </c>
      <c r="U2223" s="83" t="str">
        <f t="shared" si="240"/>
        <v/>
      </c>
      <c r="V2223" s="83" t="str">
        <f t="shared" si="241"/>
        <v/>
      </c>
      <c r="AA2223" s="60">
        <f t="shared" si="242"/>
        <v>0</v>
      </c>
      <c r="AB2223" s="49">
        <f t="shared" si="243"/>
        <v>0</v>
      </c>
      <c r="AC2223" s="60">
        <f t="shared" si="244"/>
        <v>0</v>
      </c>
    </row>
    <row r="2224" spans="1:29">
      <c r="A2224" s="83" t="str">
        <f t="shared" si="238"/>
        <v/>
      </c>
      <c r="B2224" s="83" t="str">
        <f t="shared" si="239"/>
        <v/>
      </c>
      <c r="U2224" s="83" t="str">
        <f t="shared" si="240"/>
        <v/>
      </c>
      <c r="V2224" s="83" t="str">
        <f t="shared" si="241"/>
        <v/>
      </c>
      <c r="AA2224" s="60">
        <f t="shared" si="242"/>
        <v>0</v>
      </c>
      <c r="AB2224" s="49">
        <f t="shared" si="243"/>
        <v>0</v>
      </c>
      <c r="AC2224" s="60">
        <f t="shared" si="244"/>
        <v>0</v>
      </c>
    </row>
    <row r="2225" spans="1:29">
      <c r="A2225" s="83" t="str">
        <f t="shared" si="238"/>
        <v/>
      </c>
      <c r="B2225" s="83" t="str">
        <f t="shared" si="239"/>
        <v/>
      </c>
      <c r="U2225" s="83" t="str">
        <f t="shared" si="240"/>
        <v/>
      </c>
      <c r="V2225" s="83" t="str">
        <f t="shared" si="241"/>
        <v/>
      </c>
      <c r="AA2225" s="60">
        <f t="shared" si="242"/>
        <v>0</v>
      </c>
      <c r="AB2225" s="49">
        <f t="shared" si="243"/>
        <v>0</v>
      </c>
      <c r="AC2225" s="60">
        <f t="shared" si="244"/>
        <v>0</v>
      </c>
    </row>
    <row r="2226" spans="1:29">
      <c r="A2226" s="83" t="str">
        <f t="shared" si="238"/>
        <v/>
      </c>
      <c r="B2226" s="83" t="str">
        <f t="shared" si="239"/>
        <v/>
      </c>
      <c r="U2226" s="83" t="str">
        <f t="shared" si="240"/>
        <v/>
      </c>
      <c r="V2226" s="83" t="str">
        <f t="shared" si="241"/>
        <v/>
      </c>
      <c r="AA2226" s="60">
        <f t="shared" si="242"/>
        <v>0</v>
      </c>
      <c r="AB2226" s="49">
        <f t="shared" si="243"/>
        <v>0</v>
      </c>
      <c r="AC2226" s="60">
        <f t="shared" si="244"/>
        <v>0</v>
      </c>
    </row>
    <row r="2227" spans="1:29">
      <c r="A2227" s="83" t="str">
        <f t="shared" si="238"/>
        <v/>
      </c>
      <c r="B2227" s="83" t="str">
        <f t="shared" si="239"/>
        <v/>
      </c>
      <c r="U2227" s="83" t="str">
        <f t="shared" si="240"/>
        <v/>
      </c>
      <c r="V2227" s="83" t="str">
        <f t="shared" si="241"/>
        <v/>
      </c>
      <c r="AA2227" s="60">
        <f t="shared" si="242"/>
        <v>0</v>
      </c>
      <c r="AB2227" s="49">
        <f t="shared" si="243"/>
        <v>0</v>
      </c>
      <c r="AC2227" s="60">
        <f t="shared" si="244"/>
        <v>0</v>
      </c>
    </row>
    <row r="2228" spans="1:29">
      <c r="A2228" s="83" t="str">
        <f t="shared" si="238"/>
        <v/>
      </c>
      <c r="B2228" s="83" t="str">
        <f t="shared" si="239"/>
        <v/>
      </c>
      <c r="U2228" s="83" t="str">
        <f t="shared" si="240"/>
        <v/>
      </c>
      <c r="V2228" s="83" t="str">
        <f t="shared" si="241"/>
        <v/>
      </c>
      <c r="AA2228" s="60">
        <f t="shared" si="242"/>
        <v>0</v>
      </c>
      <c r="AB2228" s="49">
        <f t="shared" si="243"/>
        <v>0</v>
      </c>
      <c r="AC2228" s="60">
        <f t="shared" si="244"/>
        <v>0</v>
      </c>
    </row>
    <row r="2229" spans="1:29">
      <c r="A2229" s="83" t="str">
        <f t="shared" si="238"/>
        <v/>
      </c>
      <c r="B2229" s="83" t="str">
        <f t="shared" si="239"/>
        <v/>
      </c>
      <c r="U2229" s="83" t="str">
        <f t="shared" si="240"/>
        <v/>
      </c>
      <c r="V2229" s="83" t="str">
        <f t="shared" si="241"/>
        <v/>
      </c>
      <c r="AA2229" s="60">
        <f t="shared" si="242"/>
        <v>0</v>
      </c>
      <c r="AB2229" s="49">
        <f t="shared" si="243"/>
        <v>0</v>
      </c>
      <c r="AC2229" s="60">
        <f t="shared" si="244"/>
        <v>0</v>
      </c>
    </row>
    <row r="2230" spans="1:29">
      <c r="A2230" s="83" t="str">
        <f t="shared" si="238"/>
        <v/>
      </c>
      <c r="B2230" s="83" t="str">
        <f t="shared" si="239"/>
        <v/>
      </c>
      <c r="U2230" s="83" t="str">
        <f t="shared" si="240"/>
        <v/>
      </c>
      <c r="V2230" s="83" t="str">
        <f t="shared" si="241"/>
        <v/>
      </c>
      <c r="AA2230" s="60">
        <f t="shared" si="242"/>
        <v>0</v>
      </c>
      <c r="AB2230" s="49">
        <f t="shared" si="243"/>
        <v>0</v>
      </c>
      <c r="AC2230" s="60">
        <f t="shared" si="244"/>
        <v>0</v>
      </c>
    </row>
    <row r="2231" spans="1:29">
      <c r="A2231" s="83" t="str">
        <f t="shared" si="238"/>
        <v/>
      </c>
      <c r="B2231" s="83" t="str">
        <f t="shared" si="239"/>
        <v/>
      </c>
      <c r="U2231" s="83" t="str">
        <f t="shared" si="240"/>
        <v/>
      </c>
      <c r="V2231" s="83" t="str">
        <f t="shared" si="241"/>
        <v/>
      </c>
      <c r="AA2231" s="60">
        <f t="shared" si="242"/>
        <v>0</v>
      </c>
      <c r="AB2231" s="49">
        <f t="shared" si="243"/>
        <v>0</v>
      </c>
      <c r="AC2231" s="60">
        <f t="shared" si="244"/>
        <v>0</v>
      </c>
    </row>
    <row r="2232" spans="1:29">
      <c r="A2232" s="83" t="str">
        <f t="shared" si="238"/>
        <v/>
      </c>
      <c r="B2232" s="83" t="str">
        <f t="shared" si="239"/>
        <v/>
      </c>
      <c r="U2232" s="83" t="str">
        <f t="shared" si="240"/>
        <v/>
      </c>
      <c r="V2232" s="83" t="str">
        <f t="shared" si="241"/>
        <v/>
      </c>
      <c r="AA2232" s="60">
        <f t="shared" si="242"/>
        <v>0</v>
      </c>
      <c r="AB2232" s="49">
        <f t="shared" si="243"/>
        <v>0</v>
      </c>
      <c r="AC2232" s="60">
        <f t="shared" si="244"/>
        <v>0</v>
      </c>
    </row>
    <row r="2233" spans="1:29">
      <c r="A2233" s="83" t="str">
        <f t="shared" si="238"/>
        <v/>
      </c>
      <c r="B2233" s="83" t="str">
        <f t="shared" si="239"/>
        <v/>
      </c>
      <c r="U2233" s="83" t="str">
        <f t="shared" si="240"/>
        <v/>
      </c>
      <c r="V2233" s="83" t="str">
        <f t="shared" si="241"/>
        <v/>
      </c>
      <c r="AA2233" s="60">
        <f t="shared" si="242"/>
        <v>0</v>
      </c>
      <c r="AB2233" s="49">
        <f t="shared" si="243"/>
        <v>0</v>
      </c>
      <c r="AC2233" s="60">
        <f t="shared" si="244"/>
        <v>0</v>
      </c>
    </row>
    <row r="2234" spans="1:29">
      <c r="A2234" s="83" t="str">
        <f t="shared" si="238"/>
        <v/>
      </c>
      <c r="B2234" s="83" t="str">
        <f t="shared" si="239"/>
        <v/>
      </c>
      <c r="U2234" s="83" t="str">
        <f t="shared" si="240"/>
        <v/>
      </c>
      <c r="V2234" s="83" t="str">
        <f t="shared" si="241"/>
        <v/>
      </c>
      <c r="AA2234" s="60">
        <f t="shared" si="242"/>
        <v>0</v>
      </c>
      <c r="AB2234" s="49">
        <f t="shared" si="243"/>
        <v>0</v>
      </c>
      <c r="AC2234" s="60">
        <f t="shared" si="244"/>
        <v>0</v>
      </c>
    </row>
    <row r="2235" spans="1:29">
      <c r="A2235" s="83" t="str">
        <f t="shared" si="238"/>
        <v/>
      </c>
      <c r="B2235" s="83" t="str">
        <f t="shared" si="239"/>
        <v/>
      </c>
      <c r="U2235" s="83" t="str">
        <f t="shared" si="240"/>
        <v/>
      </c>
      <c r="V2235" s="83" t="str">
        <f t="shared" si="241"/>
        <v/>
      </c>
      <c r="AA2235" s="60">
        <f t="shared" si="242"/>
        <v>0</v>
      </c>
      <c r="AB2235" s="49">
        <f t="shared" si="243"/>
        <v>0</v>
      </c>
      <c r="AC2235" s="60">
        <f t="shared" si="244"/>
        <v>0</v>
      </c>
    </row>
    <row r="2236" spans="1:29">
      <c r="A2236" s="83" t="str">
        <f t="shared" si="238"/>
        <v/>
      </c>
      <c r="B2236" s="83" t="str">
        <f t="shared" si="239"/>
        <v/>
      </c>
      <c r="U2236" s="83" t="str">
        <f t="shared" si="240"/>
        <v/>
      </c>
      <c r="V2236" s="83" t="str">
        <f t="shared" si="241"/>
        <v/>
      </c>
      <c r="AA2236" s="60">
        <f t="shared" si="242"/>
        <v>0</v>
      </c>
      <c r="AB2236" s="49">
        <f t="shared" si="243"/>
        <v>0</v>
      </c>
      <c r="AC2236" s="60">
        <f t="shared" si="244"/>
        <v>0</v>
      </c>
    </row>
    <row r="2237" spans="1:29">
      <c r="A2237" s="83" t="str">
        <f t="shared" si="238"/>
        <v/>
      </c>
      <c r="B2237" s="83" t="str">
        <f t="shared" si="239"/>
        <v/>
      </c>
      <c r="U2237" s="83" t="str">
        <f t="shared" si="240"/>
        <v/>
      </c>
      <c r="V2237" s="83" t="str">
        <f t="shared" si="241"/>
        <v/>
      </c>
      <c r="AA2237" s="60">
        <f t="shared" si="242"/>
        <v>0</v>
      </c>
      <c r="AB2237" s="49">
        <f t="shared" si="243"/>
        <v>0</v>
      </c>
      <c r="AC2237" s="60">
        <f t="shared" si="244"/>
        <v>0</v>
      </c>
    </row>
    <row r="2238" spans="1:29">
      <c r="A2238" s="83" t="str">
        <f t="shared" si="238"/>
        <v/>
      </c>
      <c r="B2238" s="83" t="str">
        <f t="shared" si="239"/>
        <v/>
      </c>
      <c r="U2238" s="83" t="str">
        <f t="shared" si="240"/>
        <v/>
      </c>
      <c r="V2238" s="83" t="str">
        <f t="shared" si="241"/>
        <v/>
      </c>
      <c r="AA2238" s="60">
        <f t="shared" si="242"/>
        <v>0</v>
      </c>
      <c r="AB2238" s="49">
        <f t="shared" si="243"/>
        <v>0</v>
      </c>
      <c r="AC2238" s="60">
        <f t="shared" si="244"/>
        <v>0</v>
      </c>
    </row>
    <row r="2239" spans="1:29">
      <c r="A2239" s="83" t="str">
        <f t="shared" si="238"/>
        <v/>
      </c>
      <c r="B2239" s="83" t="str">
        <f t="shared" si="239"/>
        <v/>
      </c>
      <c r="U2239" s="83" t="str">
        <f t="shared" si="240"/>
        <v/>
      </c>
      <c r="V2239" s="83" t="str">
        <f t="shared" si="241"/>
        <v/>
      </c>
      <c r="AA2239" s="60">
        <f t="shared" si="242"/>
        <v>0</v>
      </c>
      <c r="AB2239" s="49">
        <f t="shared" si="243"/>
        <v>0</v>
      </c>
      <c r="AC2239" s="60">
        <f t="shared" si="244"/>
        <v>0</v>
      </c>
    </row>
    <row r="2240" spans="1:29">
      <c r="A2240" s="83" t="str">
        <f t="shared" si="238"/>
        <v/>
      </c>
      <c r="B2240" s="83" t="str">
        <f t="shared" si="239"/>
        <v/>
      </c>
      <c r="U2240" s="83" t="str">
        <f t="shared" si="240"/>
        <v/>
      </c>
      <c r="V2240" s="83" t="str">
        <f t="shared" si="241"/>
        <v/>
      </c>
      <c r="AA2240" s="60">
        <f t="shared" si="242"/>
        <v>0</v>
      </c>
      <c r="AB2240" s="49">
        <f t="shared" si="243"/>
        <v>0</v>
      </c>
      <c r="AC2240" s="60">
        <f t="shared" si="244"/>
        <v>0</v>
      </c>
    </row>
    <row r="2241" spans="1:29">
      <c r="A2241" s="83" t="str">
        <f t="shared" si="238"/>
        <v/>
      </c>
      <c r="B2241" s="83" t="str">
        <f t="shared" si="239"/>
        <v/>
      </c>
      <c r="U2241" s="83" t="str">
        <f t="shared" si="240"/>
        <v/>
      </c>
      <c r="V2241" s="83" t="str">
        <f t="shared" si="241"/>
        <v/>
      </c>
      <c r="AA2241" s="60">
        <f t="shared" si="242"/>
        <v>0</v>
      </c>
      <c r="AB2241" s="49">
        <f t="shared" si="243"/>
        <v>0</v>
      </c>
      <c r="AC2241" s="60">
        <f t="shared" si="244"/>
        <v>0</v>
      </c>
    </row>
    <row r="2242" spans="1:29">
      <c r="A2242" s="83" t="str">
        <f t="shared" si="238"/>
        <v/>
      </c>
      <c r="B2242" s="83" t="str">
        <f t="shared" si="239"/>
        <v/>
      </c>
      <c r="U2242" s="83" t="str">
        <f t="shared" si="240"/>
        <v/>
      </c>
      <c r="V2242" s="83" t="str">
        <f t="shared" si="241"/>
        <v/>
      </c>
      <c r="AA2242" s="60">
        <f t="shared" si="242"/>
        <v>0</v>
      </c>
      <c r="AB2242" s="49">
        <f t="shared" si="243"/>
        <v>0</v>
      </c>
      <c r="AC2242" s="60">
        <f t="shared" si="244"/>
        <v>0</v>
      </c>
    </row>
    <row r="2243" spans="1:29">
      <c r="A2243" s="83" t="str">
        <f t="shared" ref="A2243:A2306" si="245">IF(G2243&amp;Q2243&lt;&gt;"",U2243&amp;Q2243,"")</f>
        <v/>
      </c>
      <c r="B2243" s="83" t="str">
        <f t="shared" ref="B2243:B2306" si="246">IF(C2243&lt;&gt;"",LEFT(C2243,9),"")</f>
        <v/>
      </c>
      <c r="U2243" s="83" t="str">
        <f t="shared" ref="U2243:U2306" si="247">IF(G2243&lt;&gt;"",IF(StyleSpaceSplit,IFERROR(IF(FIND(" ",G2243)&gt;=1,MID(G2243,1,FIND(" ",G2243)-1),G2243),G2243),G2243),"")</f>
        <v/>
      </c>
      <c r="V2243" s="83" t="str">
        <f t="shared" ref="V2243:V2306" si="248">IF(A2243&lt;&gt;"",IFERROR(IF(FIND(" ",G2243)&gt;=1,MID(G2243,FIND(" ",G2243)+1,LEN(G2243)),""),G2243),"")</f>
        <v/>
      </c>
      <c r="AA2243" s="60">
        <f t="shared" ref="AA2243:AA2306" si="249">IFERROR(VALUE(MID($C2243,1,2)),0)</f>
        <v>0</v>
      </c>
      <c r="AB2243" s="49">
        <f t="shared" ref="AB2243:AB2306" si="250">IFERROR(VALUE(MID($C2243,4,3)),0)</f>
        <v>0</v>
      </c>
      <c r="AC2243" s="60">
        <f t="shared" ref="AC2243:AC2306" si="251">VALUE(RIGHT("00"&amp;AA2243,2)&amp;RIGHT("000"&amp;AB2243,3))</f>
        <v>0</v>
      </c>
    </row>
    <row r="2244" spans="1:29">
      <c r="A2244" s="83" t="str">
        <f t="shared" si="245"/>
        <v/>
      </c>
      <c r="B2244" s="83" t="str">
        <f t="shared" si="246"/>
        <v/>
      </c>
      <c r="U2244" s="83" t="str">
        <f t="shared" si="247"/>
        <v/>
      </c>
      <c r="V2244" s="83" t="str">
        <f t="shared" si="248"/>
        <v/>
      </c>
      <c r="AA2244" s="60">
        <f t="shared" si="249"/>
        <v>0</v>
      </c>
      <c r="AB2244" s="49">
        <f t="shared" si="250"/>
        <v>0</v>
      </c>
      <c r="AC2244" s="60">
        <f t="shared" si="251"/>
        <v>0</v>
      </c>
    </row>
    <row r="2245" spans="1:29">
      <c r="A2245" s="83" t="str">
        <f t="shared" si="245"/>
        <v/>
      </c>
      <c r="B2245" s="83" t="str">
        <f t="shared" si="246"/>
        <v/>
      </c>
      <c r="U2245" s="83" t="str">
        <f t="shared" si="247"/>
        <v/>
      </c>
      <c r="V2245" s="83" t="str">
        <f t="shared" si="248"/>
        <v/>
      </c>
      <c r="AA2245" s="60">
        <f t="shared" si="249"/>
        <v>0</v>
      </c>
      <c r="AB2245" s="49">
        <f t="shared" si="250"/>
        <v>0</v>
      </c>
      <c r="AC2245" s="60">
        <f t="shared" si="251"/>
        <v>0</v>
      </c>
    </row>
    <row r="2246" spans="1:29">
      <c r="A2246" s="83" t="str">
        <f t="shared" si="245"/>
        <v/>
      </c>
      <c r="B2246" s="83" t="str">
        <f t="shared" si="246"/>
        <v/>
      </c>
      <c r="U2246" s="83" t="str">
        <f t="shared" si="247"/>
        <v/>
      </c>
      <c r="V2246" s="83" t="str">
        <f t="shared" si="248"/>
        <v/>
      </c>
      <c r="AA2246" s="60">
        <f t="shared" si="249"/>
        <v>0</v>
      </c>
      <c r="AB2246" s="49">
        <f t="shared" si="250"/>
        <v>0</v>
      </c>
      <c r="AC2246" s="60">
        <f t="shared" si="251"/>
        <v>0</v>
      </c>
    </row>
    <row r="2247" spans="1:29">
      <c r="A2247" s="83" t="str">
        <f t="shared" si="245"/>
        <v/>
      </c>
      <c r="B2247" s="83" t="str">
        <f t="shared" si="246"/>
        <v/>
      </c>
      <c r="U2247" s="83" t="str">
        <f t="shared" si="247"/>
        <v/>
      </c>
      <c r="V2247" s="83" t="str">
        <f t="shared" si="248"/>
        <v/>
      </c>
      <c r="AA2247" s="60">
        <f t="shared" si="249"/>
        <v>0</v>
      </c>
      <c r="AB2247" s="49">
        <f t="shared" si="250"/>
        <v>0</v>
      </c>
      <c r="AC2247" s="60">
        <f t="shared" si="251"/>
        <v>0</v>
      </c>
    </row>
    <row r="2248" spans="1:29">
      <c r="A2248" s="83" t="str">
        <f t="shared" si="245"/>
        <v/>
      </c>
      <c r="B2248" s="83" t="str">
        <f t="shared" si="246"/>
        <v/>
      </c>
      <c r="U2248" s="83" t="str">
        <f t="shared" si="247"/>
        <v/>
      </c>
      <c r="V2248" s="83" t="str">
        <f t="shared" si="248"/>
        <v/>
      </c>
      <c r="AA2248" s="60">
        <f t="shared" si="249"/>
        <v>0</v>
      </c>
      <c r="AB2248" s="49">
        <f t="shared" si="250"/>
        <v>0</v>
      </c>
      <c r="AC2248" s="60">
        <f t="shared" si="251"/>
        <v>0</v>
      </c>
    </row>
    <row r="2249" spans="1:29">
      <c r="A2249" s="83" t="str">
        <f t="shared" si="245"/>
        <v/>
      </c>
      <c r="B2249" s="83" t="str">
        <f t="shared" si="246"/>
        <v/>
      </c>
      <c r="U2249" s="83" t="str">
        <f t="shared" si="247"/>
        <v/>
      </c>
      <c r="V2249" s="83" t="str">
        <f t="shared" si="248"/>
        <v/>
      </c>
      <c r="AA2249" s="60">
        <f t="shared" si="249"/>
        <v>0</v>
      </c>
      <c r="AB2249" s="49">
        <f t="shared" si="250"/>
        <v>0</v>
      </c>
      <c r="AC2249" s="60">
        <f t="shared" si="251"/>
        <v>0</v>
      </c>
    </row>
    <row r="2250" spans="1:29">
      <c r="A2250" s="83" t="str">
        <f t="shared" si="245"/>
        <v/>
      </c>
      <c r="B2250" s="83" t="str">
        <f t="shared" si="246"/>
        <v/>
      </c>
      <c r="U2250" s="83" t="str">
        <f t="shared" si="247"/>
        <v/>
      </c>
      <c r="V2250" s="83" t="str">
        <f t="shared" si="248"/>
        <v/>
      </c>
      <c r="AA2250" s="60">
        <f t="shared" si="249"/>
        <v>0</v>
      </c>
      <c r="AB2250" s="49">
        <f t="shared" si="250"/>
        <v>0</v>
      </c>
      <c r="AC2250" s="60">
        <f t="shared" si="251"/>
        <v>0</v>
      </c>
    </row>
    <row r="2251" spans="1:29">
      <c r="A2251" s="83" t="str">
        <f t="shared" si="245"/>
        <v/>
      </c>
      <c r="B2251" s="83" t="str">
        <f t="shared" si="246"/>
        <v/>
      </c>
      <c r="U2251" s="83" t="str">
        <f t="shared" si="247"/>
        <v/>
      </c>
      <c r="V2251" s="83" t="str">
        <f t="shared" si="248"/>
        <v/>
      </c>
      <c r="AA2251" s="60">
        <f t="shared" si="249"/>
        <v>0</v>
      </c>
      <c r="AB2251" s="49">
        <f t="shared" si="250"/>
        <v>0</v>
      </c>
      <c r="AC2251" s="60">
        <f t="shared" si="251"/>
        <v>0</v>
      </c>
    </row>
    <row r="2252" spans="1:29">
      <c r="A2252" s="83" t="str">
        <f t="shared" si="245"/>
        <v/>
      </c>
      <c r="B2252" s="83" t="str">
        <f t="shared" si="246"/>
        <v/>
      </c>
      <c r="U2252" s="83" t="str">
        <f t="shared" si="247"/>
        <v/>
      </c>
      <c r="V2252" s="83" t="str">
        <f t="shared" si="248"/>
        <v/>
      </c>
      <c r="AA2252" s="60">
        <f t="shared" si="249"/>
        <v>0</v>
      </c>
      <c r="AB2252" s="49">
        <f t="shared" si="250"/>
        <v>0</v>
      </c>
      <c r="AC2252" s="60">
        <f t="shared" si="251"/>
        <v>0</v>
      </c>
    </row>
    <row r="2253" spans="1:29">
      <c r="A2253" s="83" t="str">
        <f t="shared" si="245"/>
        <v/>
      </c>
      <c r="B2253" s="83" t="str">
        <f t="shared" si="246"/>
        <v/>
      </c>
      <c r="U2253" s="83" t="str">
        <f t="shared" si="247"/>
        <v/>
      </c>
      <c r="V2253" s="83" t="str">
        <f t="shared" si="248"/>
        <v/>
      </c>
      <c r="AA2253" s="60">
        <f t="shared" si="249"/>
        <v>0</v>
      </c>
      <c r="AB2253" s="49">
        <f t="shared" si="250"/>
        <v>0</v>
      </c>
      <c r="AC2253" s="60">
        <f t="shared" si="251"/>
        <v>0</v>
      </c>
    </row>
    <row r="2254" spans="1:29">
      <c r="A2254" s="83" t="str">
        <f t="shared" si="245"/>
        <v/>
      </c>
      <c r="B2254" s="83" t="str">
        <f t="shared" si="246"/>
        <v/>
      </c>
      <c r="U2254" s="83" t="str">
        <f t="shared" si="247"/>
        <v/>
      </c>
      <c r="V2254" s="83" t="str">
        <f t="shared" si="248"/>
        <v/>
      </c>
      <c r="AA2254" s="60">
        <f t="shared" si="249"/>
        <v>0</v>
      </c>
      <c r="AB2254" s="49">
        <f t="shared" si="250"/>
        <v>0</v>
      </c>
      <c r="AC2254" s="60">
        <f t="shared" si="251"/>
        <v>0</v>
      </c>
    </row>
    <row r="2255" spans="1:29">
      <c r="A2255" s="83" t="str">
        <f t="shared" si="245"/>
        <v/>
      </c>
      <c r="B2255" s="83" t="str">
        <f t="shared" si="246"/>
        <v/>
      </c>
      <c r="U2255" s="83" t="str">
        <f t="shared" si="247"/>
        <v/>
      </c>
      <c r="V2255" s="83" t="str">
        <f t="shared" si="248"/>
        <v/>
      </c>
      <c r="AA2255" s="60">
        <f t="shared" si="249"/>
        <v>0</v>
      </c>
      <c r="AB2255" s="49">
        <f t="shared" si="250"/>
        <v>0</v>
      </c>
      <c r="AC2255" s="60">
        <f t="shared" si="251"/>
        <v>0</v>
      </c>
    </row>
    <row r="2256" spans="1:29">
      <c r="A2256" s="83" t="str">
        <f t="shared" si="245"/>
        <v/>
      </c>
      <c r="B2256" s="83" t="str">
        <f t="shared" si="246"/>
        <v/>
      </c>
      <c r="U2256" s="83" t="str">
        <f t="shared" si="247"/>
        <v/>
      </c>
      <c r="V2256" s="83" t="str">
        <f t="shared" si="248"/>
        <v/>
      </c>
      <c r="AA2256" s="60">
        <f t="shared" si="249"/>
        <v>0</v>
      </c>
      <c r="AB2256" s="49">
        <f t="shared" si="250"/>
        <v>0</v>
      </c>
      <c r="AC2256" s="60">
        <f t="shared" si="251"/>
        <v>0</v>
      </c>
    </row>
    <row r="2257" spans="1:29">
      <c r="A2257" s="83" t="str">
        <f t="shared" si="245"/>
        <v/>
      </c>
      <c r="B2257" s="83" t="str">
        <f t="shared" si="246"/>
        <v/>
      </c>
      <c r="U2257" s="83" t="str">
        <f t="shared" si="247"/>
        <v/>
      </c>
      <c r="V2257" s="83" t="str">
        <f t="shared" si="248"/>
        <v/>
      </c>
      <c r="AA2257" s="60">
        <f t="shared" si="249"/>
        <v>0</v>
      </c>
      <c r="AB2257" s="49">
        <f t="shared" si="250"/>
        <v>0</v>
      </c>
      <c r="AC2257" s="60">
        <f t="shared" si="251"/>
        <v>0</v>
      </c>
    </row>
    <row r="2258" spans="1:29">
      <c r="A2258" s="83" t="str">
        <f t="shared" si="245"/>
        <v/>
      </c>
      <c r="B2258" s="83" t="str">
        <f t="shared" si="246"/>
        <v/>
      </c>
      <c r="U2258" s="83" t="str">
        <f t="shared" si="247"/>
        <v/>
      </c>
      <c r="V2258" s="83" t="str">
        <f t="shared" si="248"/>
        <v/>
      </c>
      <c r="AA2258" s="60">
        <f t="shared" si="249"/>
        <v>0</v>
      </c>
      <c r="AB2258" s="49">
        <f t="shared" si="250"/>
        <v>0</v>
      </c>
      <c r="AC2258" s="60">
        <f t="shared" si="251"/>
        <v>0</v>
      </c>
    </row>
    <row r="2259" spans="1:29">
      <c r="A2259" s="83" t="str">
        <f t="shared" si="245"/>
        <v/>
      </c>
      <c r="B2259" s="83" t="str">
        <f t="shared" si="246"/>
        <v/>
      </c>
      <c r="U2259" s="83" t="str">
        <f t="shared" si="247"/>
        <v/>
      </c>
      <c r="V2259" s="83" t="str">
        <f t="shared" si="248"/>
        <v/>
      </c>
      <c r="AA2259" s="60">
        <f t="shared" si="249"/>
        <v>0</v>
      </c>
      <c r="AB2259" s="49">
        <f t="shared" si="250"/>
        <v>0</v>
      </c>
      <c r="AC2259" s="60">
        <f t="shared" si="251"/>
        <v>0</v>
      </c>
    </row>
    <row r="2260" spans="1:29">
      <c r="A2260" s="83" t="str">
        <f t="shared" si="245"/>
        <v/>
      </c>
      <c r="B2260" s="83" t="str">
        <f t="shared" si="246"/>
        <v/>
      </c>
      <c r="U2260" s="83" t="str">
        <f t="shared" si="247"/>
        <v/>
      </c>
      <c r="V2260" s="83" t="str">
        <f t="shared" si="248"/>
        <v/>
      </c>
      <c r="AA2260" s="60">
        <f t="shared" si="249"/>
        <v>0</v>
      </c>
      <c r="AB2260" s="49">
        <f t="shared" si="250"/>
        <v>0</v>
      </c>
      <c r="AC2260" s="60">
        <f t="shared" si="251"/>
        <v>0</v>
      </c>
    </row>
    <row r="2261" spans="1:29">
      <c r="A2261" s="83" t="str">
        <f t="shared" si="245"/>
        <v/>
      </c>
      <c r="B2261" s="83" t="str">
        <f t="shared" si="246"/>
        <v/>
      </c>
      <c r="U2261" s="83" t="str">
        <f t="shared" si="247"/>
        <v/>
      </c>
      <c r="V2261" s="83" t="str">
        <f t="shared" si="248"/>
        <v/>
      </c>
      <c r="AA2261" s="60">
        <f t="shared" si="249"/>
        <v>0</v>
      </c>
      <c r="AB2261" s="49">
        <f t="shared" si="250"/>
        <v>0</v>
      </c>
      <c r="AC2261" s="60">
        <f t="shared" si="251"/>
        <v>0</v>
      </c>
    </row>
    <row r="2262" spans="1:29">
      <c r="A2262" s="83" t="str">
        <f t="shared" si="245"/>
        <v/>
      </c>
      <c r="B2262" s="83" t="str">
        <f t="shared" si="246"/>
        <v/>
      </c>
      <c r="U2262" s="83" t="str">
        <f t="shared" si="247"/>
        <v/>
      </c>
      <c r="V2262" s="83" t="str">
        <f t="shared" si="248"/>
        <v/>
      </c>
      <c r="AA2262" s="60">
        <f t="shared" si="249"/>
        <v>0</v>
      </c>
      <c r="AB2262" s="49">
        <f t="shared" si="250"/>
        <v>0</v>
      </c>
      <c r="AC2262" s="60">
        <f t="shared" si="251"/>
        <v>0</v>
      </c>
    </row>
    <row r="2263" spans="1:29">
      <c r="A2263" s="83" t="str">
        <f t="shared" si="245"/>
        <v/>
      </c>
      <c r="B2263" s="83" t="str">
        <f t="shared" si="246"/>
        <v/>
      </c>
      <c r="U2263" s="83" t="str">
        <f t="shared" si="247"/>
        <v/>
      </c>
      <c r="V2263" s="83" t="str">
        <f t="shared" si="248"/>
        <v/>
      </c>
      <c r="AA2263" s="60">
        <f t="shared" si="249"/>
        <v>0</v>
      </c>
      <c r="AB2263" s="49">
        <f t="shared" si="250"/>
        <v>0</v>
      </c>
      <c r="AC2263" s="60">
        <f t="shared" si="251"/>
        <v>0</v>
      </c>
    </row>
    <row r="2264" spans="1:29">
      <c r="A2264" s="83" t="str">
        <f t="shared" si="245"/>
        <v/>
      </c>
      <c r="B2264" s="83" t="str">
        <f t="shared" si="246"/>
        <v/>
      </c>
      <c r="U2264" s="83" t="str">
        <f t="shared" si="247"/>
        <v/>
      </c>
      <c r="V2264" s="83" t="str">
        <f t="shared" si="248"/>
        <v/>
      </c>
      <c r="AA2264" s="60">
        <f t="shared" si="249"/>
        <v>0</v>
      </c>
      <c r="AB2264" s="49">
        <f t="shared" si="250"/>
        <v>0</v>
      </c>
      <c r="AC2264" s="60">
        <f t="shared" si="251"/>
        <v>0</v>
      </c>
    </row>
    <row r="2265" spans="1:29">
      <c r="A2265" s="83" t="str">
        <f t="shared" si="245"/>
        <v/>
      </c>
      <c r="B2265" s="83" t="str">
        <f t="shared" si="246"/>
        <v/>
      </c>
      <c r="U2265" s="83" t="str">
        <f t="shared" si="247"/>
        <v/>
      </c>
      <c r="V2265" s="83" t="str">
        <f t="shared" si="248"/>
        <v/>
      </c>
      <c r="AA2265" s="60">
        <f t="shared" si="249"/>
        <v>0</v>
      </c>
      <c r="AB2265" s="49">
        <f t="shared" si="250"/>
        <v>0</v>
      </c>
      <c r="AC2265" s="60">
        <f t="shared" si="251"/>
        <v>0</v>
      </c>
    </row>
    <row r="2266" spans="1:29">
      <c r="A2266" s="83" t="str">
        <f t="shared" si="245"/>
        <v/>
      </c>
      <c r="B2266" s="83" t="str">
        <f t="shared" si="246"/>
        <v/>
      </c>
      <c r="U2266" s="83" t="str">
        <f t="shared" si="247"/>
        <v/>
      </c>
      <c r="V2266" s="83" t="str">
        <f t="shared" si="248"/>
        <v/>
      </c>
      <c r="AA2266" s="60">
        <f t="shared" si="249"/>
        <v>0</v>
      </c>
      <c r="AB2266" s="49">
        <f t="shared" si="250"/>
        <v>0</v>
      </c>
      <c r="AC2266" s="60">
        <f t="shared" si="251"/>
        <v>0</v>
      </c>
    </row>
    <row r="2267" spans="1:29">
      <c r="A2267" s="83" t="str">
        <f t="shared" si="245"/>
        <v/>
      </c>
      <c r="B2267" s="83" t="str">
        <f t="shared" si="246"/>
        <v/>
      </c>
      <c r="U2267" s="83" t="str">
        <f t="shared" si="247"/>
        <v/>
      </c>
      <c r="V2267" s="83" t="str">
        <f t="shared" si="248"/>
        <v/>
      </c>
      <c r="AA2267" s="60">
        <f t="shared" si="249"/>
        <v>0</v>
      </c>
      <c r="AB2267" s="49">
        <f t="shared" si="250"/>
        <v>0</v>
      </c>
      <c r="AC2267" s="60">
        <f t="shared" si="251"/>
        <v>0</v>
      </c>
    </row>
    <row r="2268" spans="1:29">
      <c r="A2268" s="83" t="str">
        <f t="shared" si="245"/>
        <v/>
      </c>
      <c r="B2268" s="83" t="str">
        <f t="shared" si="246"/>
        <v/>
      </c>
      <c r="U2268" s="83" t="str">
        <f t="shared" si="247"/>
        <v/>
      </c>
      <c r="V2268" s="83" t="str">
        <f t="shared" si="248"/>
        <v/>
      </c>
      <c r="AA2268" s="60">
        <f t="shared" si="249"/>
        <v>0</v>
      </c>
      <c r="AB2268" s="49">
        <f t="shared" si="250"/>
        <v>0</v>
      </c>
      <c r="AC2268" s="60">
        <f t="shared" si="251"/>
        <v>0</v>
      </c>
    </row>
    <row r="2269" spans="1:29">
      <c r="A2269" s="83" t="str">
        <f t="shared" si="245"/>
        <v/>
      </c>
      <c r="B2269" s="83" t="str">
        <f t="shared" si="246"/>
        <v/>
      </c>
      <c r="U2269" s="83" t="str">
        <f t="shared" si="247"/>
        <v/>
      </c>
      <c r="V2269" s="83" t="str">
        <f t="shared" si="248"/>
        <v/>
      </c>
      <c r="AA2269" s="60">
        <f t="shared" si="249"/>
        <v>0</v>
      </c>
      <c r="AB2269" s="49">
        <f t="shared" si="250"/>
        <v>0</v>
      </c>
      <c r="AC2269" s="60">
        <f t="shared" si="251"/>
        <v>0</v>
      </c>
    </row>
    <row r="2270" spans="1:29">
      <c r="A2270" s="83" t="str">
        <f t="shared" si="245"/>
        <v/>
      </c>
      <c r="B2270" s="83" t="str">
        <f t="shared" si="246"/>
        <v/>
      </c>
      <c r="U2270" s="83" t="str">
        <f t="shared" si="247"/>
        <v/>
      </c>
      <c r="V2270" s="83" t="str">
        <f t="shared" si="248"/>
        <v/>
      </c>
      <c r="AA2270" s="60">
        <f t="shared" si="249"/>
        <v>0</v>
      </c>
      <c r="AB2270" s="49">
        <f t="shared" si="250"/>
        <v>0</v>
      </c>
      <c r="AC2270" s="60">
        <f t="shared" si="251"/>
        <v>0</v>
      </c>
    </row>
    <row r="2271" spans="1:29">
      <c r="A2271" s="83" t="str">
        <f t="shared" si="245"/>
        <v/>
      </c>
      <c r="B2271" s="83" t="str">
        <f t="shared" si="246"/>
        <v/>
      </c>
      <c r="U2271" s="83" t="str">
        <f t="shared" si="247"/>
        <v/>
      </c>
      <c r="V2271" s="83" t="str">
        <f t="shared" si="248"/>
        <v/>
      </c>
      <c r="AA2271" s="60">
        <f t="shared" si="249"/>
        <v>0</v>
      </c>
      <c r="AB2271" s="49">
        <f t="shared" si="250"/>
        <v>0</v>
      </c>
      <c r="AC2271" s="60">
        <f t="shared" si="251"/>
        <v>0</v>
      </c>
    </row>
    <row r="2272" spans="1:29">
      <c r="A2272" s="83" t="str">
        <f t="shared" si="245"/>
        <v/>
      </c>
      <c r="B2272" s="83" t="str">
        <f t="shared" si="246"/>
        <v/>
      </c>
      <c r="U2272" s="83" t="str">
        <f t="shared" si="247"/>
        <v/>
      </c>
      <c r="V2272" s="83" t="str">
        <f t="shared" si="248"/>
        <v/>
      </c>
      <c r="AA2272" s="60">
        <f t="shared" si="249"/>
        <v>0</v>
      </c>
      <c r="AB2272" s="49">
        <f t="shared" si="250"/>
        <v>0</v>
      </c>
      <c r="AC2272" s="60">
        <f t="shared" si="251"/>
        <v>0</v>
      </c>
    </row>
    <row r="2273" spans="1:29">
      <c r="A2273" s="83" t="str">
        <f t="shared" si="245"/>
        <v/>
      </c>
      <c r="B2273" s="83" t="str">
        <f t="shared" si="246"/>
        <v/>
      </c>
      <c r="U2273" s="83" t="str">
        <f t="shared" si="247"/>
        <v/>
      </c>
      <c r="V2273" s="83" t="str">
        <f t="shared" si="248"/>
        <v/>
      </c>
      <c r="AA2273" s="60">
        <f t="shared" si="249"/>
        <v>0</v>
      </c>
      <c r="AB2273" s="49">
        <f t="shared" si="250"/>
        <v>0</v>
      </c>
      <c r="AC2273" s="60">
        <f t="shared" si="251"/>
        <v>0</v>
      </c>
    </row>
    <row r="2274" spans="1:29">
      <c r="A2274" s="83" t="str">
        <f t="shared" si="245"/>
        <v/>
      </c>
      <c r="B2274" s="83" t="str">
        <f t="shared" si="246"/>
        <v/>
      </c>
      <c r="U2274" s="83" t="str">
        <f t="shared" si="247"/>
        <v/>
      </c>
      <c r="V2274" s="83" t="str">
        <f t="shared" si="248"/>
        <v/>
      </c>
      <c r="AA2274" s="60">
        <f t="shared" si="249"/>
        <v>0</v>
      </c>
      <c r="AB2274" s="49">
        <f t="shared" si="250"/>
        <v>0</v>
      </c>
      <c r="AC2274" s="60">
        <f t="shared" si="251"/>
        <v>0</v>
      </c>
    </row>
    <row r="2275" spans="1:29">
      <c r="A2275" s="83" t="str">
        <f t="shared" si="245"/>
        <v/>
      </c>
      <c r="B2275" s="83" t="str">
        <f t="shared" si="246"/>
        <v/>
      </c>
      <c r="U2275" s="83" t="str">
        <f t="shared" si="247"/>
        <v/>
      </c>
      <c r="V2275" s="83" t="str">
        <f t="shared" si="248"/>
        <v/>
      </c>
      <c r="AA2275" s="60">
        <f t="shared" si="249"/>
        <v>0</v>
      </c>
      <c r="AB2275" s="49">
        <f t="shared" si="250"/>
        <v>0</v>
      </c>
      <c r="AC2275" s="60">
        <f t="shared" si="251"/>
        <v>0</v>
      </c>
    </row>
    <row r="2276" spans="1:29">
      <c r="A2276" s="83" t="str">
        <f t="shared" si="245"/>
        <v/>
      </c>
      <c r="B2276" s="83" t="str">
        <f t="shared" si="246"/>
        <v/>
      </c>
      <c r="U2276" s="83" t="str">
        <f t="shared" si="247"/>
        <v/>
      </c>
      <c r="V2276" s="83" t="str">
        <f t="shared" si="248"/>
        <v/>
      </c>
      <c r="AA2276" s="60">
        <f t="shared" si="249"/>
        <v>0</v>
      </c>
      <c r="AB2276" s="49">
        <f t="shared" si="250"/>
        <v>0</v>
      </c>
      <c r="AC2276" s="60">
        <f t="shared" si="251"/>
        <v>0</v>
      </c>
    </row>
    <row r="2277" spans="1:29">
      <c r="A2277" s="83" t="str">
        <f t="shared" si="245"/>
        <v/>
      </c>
      <c r="B2277" s="83" t="str">
        <f t="shared" si="246"/>
        <v/>
      </c>
      <c r="U2277" s="83" t="str">
        <f t="shared" si="247"/>
        <v/>
      </c>
      <c r="V2277" s="83" t="str">
        <f t="shared" si="248"/>
        <v/>
      </c>
      <c r="AA2277" s="60">
        <f t="shared" si="249"/>
        <v>0</v>
      </c>
      <c r="AB2277" s="49">
        <f t="shared" si="250"/>
        <v>0</v>
      </c>
      <c r="AC2277" s="60">
        <f t="shared" si="251"/>
        <v>0</v>
      </c>
    </row>
    <row r="2278" spans="1:29">
      <c r="A2278" s="83" t="str">
        <f t="shared" si="245"/>
        <v/>
      </c>
      <c r="B2278" s="83" t="str">
        <f t="shared" si="246"/>
        <v/>
      </c>
      <c r="U2278" s="83" t="str">
        <f t="shared" si="247"/>
        <v/>
      </c>
      <c r="V2278" s="83" t="str">
        <f t="shared" si="248"/>
        <v/>
      </c>
      <c r="AA2278" s="60">
        <f t="shared" si="249"/>
        <v>0</v>
      </c>
      <c r="AB2278" s="49">
        <f t="shared" si="250"/>
        <v>0</v>
      </c>
      <c r="AC2278" s="60">
        <f t="shared" si="251"/>
        <v>0</v>
      </c>
    </row>
    <row r="2279" spans="1:29">
      <c r="A2279" s="83" t="str">
        <f t="shared" si="245"/>
        <v/>
      </c>
      <c r="B2279" s="83" t="str">
        <f t="shared" si="246"/>
        <v/>
      </c>
      <c r="U2279" s="83" t="str">
        <f t="shared" si="247"/>
        <v/>
      </c>
      <c r="V2279" s="83" t="str">
        <f t="shared" si="248"/>
        <v/>
      </c>
      <c r="AA2279" s="60">
        <f t="shared" si="249"/>
        <v>0</v>
      </c>
      <c r="AB2279" s="49">
        <f t="shared" si="250"/>
        <v>0</v>
      </c>
      <c r="AC2279" s="60">
        <f t="shared" si="251"/>
        <v>0</v>
      </c>
    </row>
    <row r="2280" spans="1:29">
      <c r="A2280" s="83" t="str">
        <f t="shared" si="245"/>
        <v/>
      </c>
      <c r="B2280" s="83" t="str">
        <f t="shared" si="246"/>
        <v/>
      </c>
      <c r="U2280" s="83" t="str">
        <f t="shared" si="247"/>
        <v/>
      </c>
      <c r="V2280" s="83" t="str">
        <f t="shared" si="248"/>
        <v/>
      </c>
      <c r="AA2280" s="60">
        <f t="shared" si="249"/>
        <v>0</v>
      </c>
      <c r="AB2280" s="49">
        <f t="shared" si="250"/>
        <v>0</v>
      </c>
      <c r="AC2280" s="60">
        <f t="shared" si="251"/>
        <v>0</v>
      </c>
    </row>
    <row r="2281" spans="1:29">
      <c r="A2281" s="83" t="str">
        <f t="shared" si="245"/>
        <v/>
      </c>
      <c r="B2281" s="83" t="str">
        <f t="shared" si="246"/>
        <v/>
      </c>
      <c r="U2281" s="83" t="str">
        <f t="shared" si="247"/>
        <v/>
      </c>
      <c r="V2281" s="83" t="str">
        <f t="shared" si="248"/>
        <v/>
      </c>
      <c r="AA2281" s="60">
        <f t="shared" si="249"/>
        <v>0</v>
      </c>
      <c r="AB2281" s="49">
        <f t="shared" si="250"/>
        <v>0</v>
      </c>
      <c r="AC2281" s="60">
        <f t="shared" si="251"/>
        <v>0</v>
      </c>
    </row>
    <row r="2282" spans="1:29">
      <c r="A2282" s="83" t="str">
        <f t="shared" si="245"/>
        <v/>
      </c>
      <c r="B2282" s="83" t="str">
        <f t="shared" si="246"/>
        <v/>
      </c>
      <c r="U2282" s="83" t="str">
        <f t="shared" si="247"/>
        <v/>
      </c>
      <c r="V2282" s="83" t="str">
        <f t="shared" si="248"/>
        <v/>
      </c>
      <c r="AA2282" s="60">
        <f t="shared" si="249"/>
        <v>0</v>
      </c>
      <c r="AB2282" s="49">
        <f t="shared" si="250"/>
        <v>0</v>
      </c>
      <c r="AC2282" s="60">
        <f t="shared" si="251"/>
        <v>0</v>
      </c>
    </row>
    <row r="2283" spans="1:29">
      <c r="A2283" s="83" t="str">
        <f t="shared" si="245"/>
        <v/>
      </c>
      <c r="B2283" s="83" t="str">
        <f t="shared" si="246"/>
        <v/>
      </c>
      <c r="U2283" s="83" t="str">
        <f t="shared" si="247"/>
        <v/>
      </c>
      <c r="V2283" s="83" t="str">
        <f t="shared" si="248"/>
        <v/>
      </c>
      <c r="AA2283" s="60">
        <f t="shared" si="249"/>
        <v>0</v>
      </c>
      <c r="AB2283" s="49">
        <f t="shared" si="250"/>
        <v>0</v>
      </c>
      <c r="AC2283" s="60">
        <f t="shared" si="251"/>
        <v>0</v>
      </c>
    </row>
    <row r="2284" spans="1:29">
      <c r="A2284" s="83" t="str">
        <f t="shared" si="245"/>
        <v/>
      </c>
      <c r="B2284" s="83" t="str">
        <f t="shared" si="246"/>
        <v/>
      </c>
      <c r="U2284" s="83" t="str">
        <f t="shared" si="247"/>
        <v/>
      </c>
      <c r="V2284" s="83" t="str">
        <f t="shared" si="248"/>
        <v/>
      </c>
      <c r="AA2284" s="60">
        <f t="shared" si="249"/>
        <v>0</v>
      </c>
      <c r="AB2284" s="49">
        <f t="shared" si="250"/>
        <v>0</v>
      </c>
      <c r="AC2284" s="60">
        <f t="shared" si="251"/>
        <v>0</v>
      </c>
    </row>
    <row r="2285" spans="1:29">
      <c r="A2285" s="83" t="str">
        <f t="shared" si="245"/>
        <v/>
      </c>
      <c r="B2285" s="83" t="str">
        <f t="shared" si="246"/>
        <v/>
      </c>
      <c r="U2285" s="83" t="str">
        <f t="shared" si="247"/>
        <v/>
      </c>
      <c r="V2285" s="83" t="str">
        <f t="shared" si="248"/>
        <v/>
      </c>
      <c r="AA2285" s="60">
        <f t="shared" si="249"/>
        <v>0</v>
      </c>
      <c r="AB2285" s="49">
        <f t="shared" si="250"/>
        <v>0</v>
      </c>
      <c r="AC2285" s="60">
        <f t="shared" si="251"/>
        <v>0</v>
      </c>
    </row>
    <row r="2286" spans="1:29">
      <c r="A2286" s="83" t="str">
        <f t="shared" si="245"/>
        <v/>
      </c>
      <c r="B2286" s="83" t="str">
        <f t="shared" si="246"/>
        <v/>
      </c>
      <c r="U2286" s="83" t="str">
        <f t="shared" si="247"/>
        <v/>
      </c>
      <c r="V2286" s="83" t="str">
        <f t="shared" si="248"/>
        <v/>
      </c>
      <c r="AA2286" s="60">
        <f t="shared" si="249"/>
        <v>0</v>
      </c>
      <c r="AB2286" s="49">
        <f t="shared" si="250"/>
        <v>0</v>
      </c>
      <c r="AC2286" s="60">
        <f t="shared" si="251"/>
        <v>0</v>
      </c>
    </row>
    <row r="2287" spans="1:29">
      <c r="A2287" s="83" t="str">
        <f t="shared" si="245"/>
        <v/>
      </c>
      <c r="B2287" s="83" t="str">
        <f t="shared" si="246"/>
        <v/>
      </c>
      <c r="U2287" s="83" t="str">
        <f t="shared" si="247"/>
        <v/>
      </c>
      <c r="V2287" s="83" t="str">
        <f t="shared" si="248"/>
        <v/>
      </c>
      <c r="AA2287" s="60">
        <f t="shared" si="249"/>
        <v>0</v>
      </c>
      <c r="AB2287" s="49">
        <f t="shared" si="250"/>
        <v>0</v>
      </c>
      <c r="AC2287" s="60">
        <f t="shared" si="251"/>
        <v>0</v>
      </c>
    </row>
    <row r="2288" spans="1:29">
      <c r="A2288" s="83" t="str">
        <f t="shared" si="245"/>
        <v/>
      </c>
      <c r="B2288" s="83" t="str">
        <f t="shared" si="246"/>
        <v/>
      </c>
      <c r="U2288" s="83" t="str">
        <f t="shared" si="247"/>
        <v/>
      </c>
      <c r="V2288" s="83" t="str">
        <f t="shared" si="248"/>
        <v/>
      </c>
      <c r="AA2288" s="60">
        <f t="shared" si="249"/>
        <v>0</v>
      </c>
      <c r="AB2288" s="49">
        <f t="shared" si="250"/>
        <v>0</v>
      </c>
      <c r="AC2288" s="60">
        <f t="shared" si="251"/>
        <v>0</v>
      </c>
    </row>
    <row r="2289" spans="1:29">
      <c r="A2289" s="83" t="str">
        <f t="shared" si="245"/>
        <v/>
      </c>
      <c r="B2289" s="83" t="str">
        <f t="shared" si="246"/>
        <v/>
      </c>
      <c r="U2289" s="83" t="str">
        <f t="shared" si="247"/>
        <v/>
      </c>
      <c r="V2289" s="83" t="str">
        <f t="shared" si="248"/>
        <v/>
      </c>
      <c r="AA2289" s="60">
        <f t="shared" si="249"/>
        <v>0</v>
      </c>
      <c r="AB2289" s="49">
        <f t="shared" si="250"/>
        <v>0</v>
      </c>
      <c r="AC2289" s="60">
        <f t="shared" si="251"/>
        <v>0</v>
      </c>
    </row>
    <row r="2290" spans="1:29">
      <c r="A2290" s="83" t="str">
        <f t="shared" si="245"/>
        <v/>
      </c>
      <c r="B2290" s="83" t="str">
        <f t="shared" si="246"/>
        <v/>
      </c>
      <c r="U2290" s="83" t="str">
        <f t="shared" si="247"/>
        <v/>
      </c>
      <c r="V2290" s="83" t="str">
        <f t="shared" si="248"/>
        <v/>
      </c>
      <c r="AA2290" s="60">
        <f t="shared" si="249"/>
        <v>0</v>
      </c>
      <c r="AB2290" s="49">
        <f t="shared" si="250"/>
        <v>0</v>
      </c>
      <c r="AC2290" s="60">
        <f t="shared" si="251"/>
        <v>0</v>
      </c>
    </row>
    <row r="2291" spans="1:29">
      <c r="A2291" s="83" t="str">
        <f t="shared" si="245"/>
        <v/>
      </c>
      <c r="B2291" s="83" t="str">
        <f t="shared" si="246"/>
        <v/>
      </c>
      <c r="U2291" s="83" t="str">
        <f t="shared" si="247"/>
        <v/>
      </c>
      <c r="V2291" s="83" t="str">
        <f t="shared" si="248"/>
        <v/>
      </c>
      <c r="AA2291" s="60">
        <f t="shared" si="249"/>
        <v>0</v>
      </c>
      <c r="AB2291" s="49">
        <f t="shared" si="250"/>
        <v>0</v>
      </c>
      <c r="AC2291" s="60">
        <f t="shared" si="251"/>
        <v>0</v>
      </c>
    </row>
    <row r="2292" spans="1:29">
      <c r="A2292" s="83" t="str">
        <f t="shared" si="245"/>
        <v/>
      </c>
      <c r="B2292" s="83" t="str">
        <f t="shared" si="246"/>
        <v/>
      </c>
      <c r="U2292" s="83" t="str">
        <f t="shared" si="247"/>
        <v/>
      </c>
      <c r="V2292" s="83" t="str">
        <f t="shared" si="248"/>
        <v/>
      </c>
      <c r="AA2292" s="60">
        <f t="shared" si="249"/>
        <v>0</v>
      </c>
      <c r="AB2292" s="49">
        <f t="shared" si="250"/>
        <v>0</v>
      </c>
      <c r="AC2292" s="60">
        <f t="shared" si="251"/>
        <v>0</v>
      </c>
    </row>
    <row r="2293" spans="1:29">
      <c r="A2293" s="83" t="str">
        <f t="shared" si="245"/>
        <v/>
      </c>
      <c r="B2293" s="83" t="str">
        <f t="shared" si="246"/>
        <v/>
      </c>
      <c r="U2293" s="83" t="str">
        <f t="shared" si="247"/>
        <v/>
      </c>
      <c r="V2293" s="83" t="str">
        <f t="shared" si="248"/>
        <v/>
      </c>
      <c r="AA2293" s="60">
        <f t="shared" si="249"/>
        <v>0</v>
      </c>
      <c r="AB2293" s="49">
        <f t="shared" si="250"/>
        <v>0</v>
      </c>
      <c r="AC2293" s="60">
        <f t="shared" si="251"/>
        <v>0</v>
      </c>
    </row>
    <row r="2294" spans="1:29">
      <c r="A2294" s="83" t="str">
        <f t="shared" si="245"/>
        <v/>
      </c>
      <c r="B2294" s="83" t="str">
        <f t="shared" si="246"/>
        <v/>
      </c>
      <c r="U2294" s="83" t="str">
        <f t="shared" si="247"/>
        <v/>
      </c>
      <c r="V2294" s="83" t="str">
        <f t="shared" si="248"/>
        <v/>
      </c>
      <c r="AA2294" s="60">
        <f t="shared" si="249"/>
        <v>0</v>
      </c>
      <c r="AB2294" s="49">
        <f t="shared" si="250"/>
        <v>0</v>
      </c>
      <c r="AC2294" s="60">
        <f t="shared" si="251"/>
        <v>0</v>
      </c>
    </row>
    <row r="2295" spans="1:29">
      <c r="A2295" s="83" t="str">
        <f t="shared" si="245"/>
        <v/>
      </c>
      <c r="B2295" s="83" t="str">
        <f t="shared" si="246"/>
        <v/>
      </c>
      <c r="U2295" s="83" t="str">
        <f t="shared" si="247"/>
        <v/>
      </c>
      <c r="V2295" s="83" t="str">
        <f t="shared" si="248"/>
        <v/>
      </c>
      <c r="AA2295" s="60">
        <f t="shared" si="249"/>
        <v>0</v>
      </c>
      <c r="AB2295" s="49">
        <f t="shared" si="250"/>
        <v>0</v>
      </c>
      <c r="AC2295" s="60">
        <f t="shared" si="251"/>
        <v>0</v>
      </c>
    </row>
    <row r="2296" spans="1:29">
      <c r="A2296" s="83" t="str">
        <f t="shared" si="245"/>
        <v/>
      </c>
      <c r="B2296" s="83" t="str">
        <f t="shared" si="246"/>
        <v/>
      </c>
      <c r="U2296" s="83" t="str">
        <f t="shared" si="247"/>
        <v/>
      </c>
      <c r="V2296" s="83" t="str">
        <f t="shared" si="248"/>
        <v/>
      </c>
      <c r="AA2296" s="60">
        <f t="shared" si="249"/>
        <v>0</v>
      </c>
      <c r="AB2296" s="49">
        <f t="shared" si="250"/>
        <v>0</v>
      </c>
      <c r="AC2296" s="60">
        <f t="shared" si="251"/>
        <v>0</v>
      </c>
    </row>
    <row r="2297" spans="1:29">
      <c r="A2297" s="83" t="str">
        <f t="shared" si="245"/>
        <v/>
      </c>
      <c r="B2297" s="83" t="str">
        <f t="shared" si="246"/>
        <v/>
      </c>
      <c r="U2297" s="83" t="str">
        <f t="shared" si="247"/>
        <v/>
      </c>
      <c r="V2297" s="83" t="str">
        <f t="shared" si="248"/>
        <v/>
      </c>
      <c r="AA2297" s="60">
        <f t="shared" si="249"/>
        <v>0</v>
      </c>
      <c r="AB2297" s="49">
        <f t="shared" si="250"/>
        <v>0</v>
      </c>
      <c r="AC2297" s="60">
        <f t="shared" si="251"/>
        <v>0</v>
      </c>
    </row>
    <row r="2298" spans="1:29">
      <c r="A2298" s="83" t="str">
        <f t="shared" si="245"/>
        <v/>
      </c>
      <c r="B2298" s="83" t="str">
        <f t="shared" si="246"/>
        <v/>
      </c>
      <c r="U2298" s="83" t="str">
        <f t="shared" si="247"/>
        <v/>
      </c>
      <c r="V2298" s="83" t="str">
        <f t="shared" si="248"/>
        <v/>
      </c>
      <c r="AA2298" s="60">
        <f t="shared" si="249"/>
        <v>0</v>
      </c>
      <c r="AB2298" s="49">
        <f t="shared" si="250"/>
        <v>0</v>
      </c>
      <c r="AC2298" s="60">
        <f t="shared" si="251"/>
        <v>0</v>
      </c>
    </row>
    <row r="2299" spans="1:29">
      <c r="A2299" s="83" t="str">
        <f t="shared" si="245"/>
        <v/>
      </c>
      <c r="B2299" s="83" t="str">
        <f t="shared" si="246"/>
        <v/>
      </c>
      <c r="U2299" s="83" t="str">
        <f t="shared" si="247"/>
        <v/>
      </c>
      <c r="V2299" s="83" t="str">
        <f t="shared" si="248"/>
        <v/>
      </c>
      <c r="AA2299" s="60">
        <f t="shared" si="249"/>
        <v>0</v>
      </c>
      <c r="AB2299" s="49">
        <f t="shared" si="250"/>
        <v>0</v>
      </c>
      <c r="AC2299" s="60">
        <f t="shared" si="251"/>
        <v>0</v>
      </c>
    </row>
    <row r="2300" spans="1:29">
      <c r="A2300" s="83" t="str">
        <f t="shared" si="245"/>
        <v/>
      </c>
      <c r="B2300" s="83" t="str">
        <f t="shared" si="246"/>
        <v/>
      </c>
      <c r="U2300" s="83" t="str">
        <f t="shared" si="247"/>
        <v/>
      </c>
      <c r="V2300" s="83" t="str">
        <f t="shared" si="248"/>
        <v/>
      </c>
      <c r="AA2300" s="60">
        <f t="shared" si="249"/>
        <v>0</v>
      </c>
      <c r="AB2300" s="49">
        <f t="shared" si="250"/>
        <v>0</v>
      </c>
      <c r="AC2300" s="60">
        <f t="shared" si="251"/>
        <v>0</v>
      </c>
    </row>
    <row r="2301" spans="1:29">
      <c r="A2301" s="83" t="str">
        <f t="shared" si="245"/>
        <v/>
      </c>
      <c r="B2301" s="83" t="str">
        <f t="shared" si="246"/>
        <v/>
      </c>
      <c r="U2301" s="83" t="str">
        <f t="shared" si="247"/>
        <v/>
      </c>
      <c r="V2301" s="83" t="str">
        <f t="shared" si="248"/>
        <v/>
      </c>
      <c r="AA2301" s="60">
        <f t="shared" si="249"/>
        <v>0</v>
      </c>
      <c r="AB2301" s="49">
        <f t="shared" si="250"/>
        <v>0</v>
      </c>
      <c r="AC2301" s="60">
        <f t="shared" si="251"/>
        <v>0</v>
      </c>
    </row>
    <row r="2302" spans="1:29">
      <c r="A2302" s="83" t="str">
        <f t="shared" si="245"/>
        <v/>
      </c>
      <c r="B2302" s="83" t="str">
        <f t="shared" si="246"/>
        <v/>
      </c>
      <c r="U2302" s="83" t="str">
        <f t="shared" si="247"/>
        <v/>
      </c>
      <c r="V2302" s="83" t="str">
        <f t="shared" si="248"/>
        <v/>
      </c>
      <c r="AA2302" s="60">
        <f t="shared" si="249"/>
        <v>0</v>
      </c>
      <c r="AB2302" s="49">
        <f t="shared" si="250"/>
        <v>0</v>
      </c>
      <c r="AC2302" s="60">
        <f t="shared" si="251"/>
        <v>0</v>
      </c>
    </row>
    <row r="2303" spans="1:29">
      <c r="A2303" s="83" t="str">
        <f t="shared" si="245"/>
        <v/>
      </c>
      <c r="B2303" s="83" t="str">
        <f t="shared" si="246"/>
        <v/>
      </c>
      <c r="U2303" s="83" t="str">
        <f t="shared" si="247"/>
        <v/>
      </c>
      <c r="V2303" s="83" t="str">
        <f t="shared" si="248"/>
        <v/>
      </c>
      <c r="AA2303" s="60">
        <f t="shared" si="249"/>
        <v>0</v>
      </c>
      <c r="AB2303" s="49">
        <f t="shared" si="250"/>
        <v>0</v>
      </c>
      <c r="AC2303" s="60">
        <f t="shared" si="251"/>
        <v>0</v>
      </c>
    </row>
    <row r="2304" spans="1:29">
      <c r="A2304" s="83" t="str">
        <f t="shared" si="245"/>
        <v/>
      </c>
      <c r="B2304" s="83" t="str">
        <f t="shared" si="246"/>
        <v/>
      </c>
      <c r="U2304" s="83" t="str">
        <f t="shared" si="247"/>
        <v/>
      </c>
      <c r="V2304" s="83" t="str">
        <f t="shared" si="248"/>
        <v/>
      </c>
      <c r="AA2304" s="60">
        <f t="shared" si="249"/>
        <v>0</v>
      </c>
      <c r="AB2304" s="49">
        <f t="shared" si="250"/>
        <v>0</v>
      </c>
      <c r="AC2304" s="60">
        <f t="shared" si="251"/>
        <v>0</v>
      </c>
    </row>
    <row r="2305" spans="1:29">
      <c r="A2305" s="83" t="str">
        <f t="shared" si="245"/>
        <v/>
      </c>
      <c r="B2305" s="83" t="str">
        <f t="shared" si="246"/>
        <v/>
      </c>
      <c r="U2305" s="83" t="str">
        <f t="shared" si="247"/>
        <v/>
      </c>
      <c r="V2305" s="83" t="str">
        <f t="shared" si="248"/>
        <v/>
      </c>
      <c r="AA2305" s="60">
        <f t="shared" si="249"/>
        <v>0</v>
      </c>
      <c r="AB2305" s="49">
        <f t="shared" si="250"/>
        <v>0</v>
      </c>
      <c r="AC2305" s="60">
        <f t="shared" si="251"/>
        <v>0</v>
      </c>
    </row>
    <row r="2306" spans="1:29">
      <c r="A2306" s="83" t="str">
        <f t="shared" si="245"/>
        <v/>
      </c>
      <c r="B2306" s="83" t="str">
        <f t="shared" si="246"/>
        <v/>
      </c>
      <c r="U2306" s="83" t="str">
        <f t="shared" si="247"/>
        <v/>
      </c>
      <c r="V2306" s="83" t="str">
        <f t="shared" si="248"/>
        <v/>
      </c>
      <c r="AA2306" s="60">
        <f t="shared" si="249"/>
        <v>0</v>
      </c>
      <c r="AB2306" s="49">
        <f t="shared" si="250"/>
        <v>0</v>
      </c>
      <c r="AC2306" s="60">
        <f t="shared" si="251"/>
        <v>0</v>
      </c>
    </row>
    <row r="2307" spans="1:29">
      <c r="A2307" s="83" t="str">
        <f t="shared" ref="A2307:A2370" si="252">IF(G2307&amp;Q2307&lt;&gt;"",U2307&amp;Q2307,"")</f>
        <v/>
      </c>
      <c r="B2307" s="83" t="str">
        <f t="shared" ref="B2307:B2370" si="253">IF(C2307&lt;&gt;"",LEFT(C2307,9),"")</f>
        <v/>
      </c>
      <c r="U2307" s="83" t="str">
        <f t="shared" ref="U2307:U2370" si="254">IF(G2307&lt;&gt;"",IF(StyleSpaceSplit,IFERROR(IF(FIND(" ",G2307)&gt;=1,MID(G2307,1,FIND(" ",G2307)-1),G2307),G2307),G2307),"")</f>
        <v/>
      </c>
      <c r="V2307" s="83" t="str">
        <f t="shared" ref="V2307:V2370" si="255">IF(A2307&lt;&gt;"",IFERROR(IF(FIND(" ",G2307)&gt;=1,MID(G2307,FIND(" ",G2307)+1,LEN(G2307)),""),G2307),"")</f>
        <v/>
      </c>
      <c r="AA2307" s="60">
        <f t="shared" ref="AA2307:AA2370" si="256">IFERROR(VALUE(MID($C2307,1,2)),0)</f>
        <v>0</v>
      </c>
      <c r="AB2307" s="49">
        <f t="shared" ref="AB2307:AB2370" si="257">IFERROR(VALUE(MID($C2307,4,3)),0)</f>
        <v>0</v>
      </c>
      <c r="AC2307" s="60">
        <f t="shared" ref="AC2307:AC2370" si="258">VALUE(RIGHT("00"&amp;AA2307,2)&amp;RIGHT("000"&amp;AB2307,3))</f>
        <v>0</v>
      </c>
    </row>
    <row r="2308" spans="1:29">
      <c r="A2308" s="83" t="str">
        <f t="shared" si="252"/>
        <v/>
      </c>
      <c r="B2308" s="83" t="str">
        <f t="shared" si="253"/>
        <v/>
      </c>
      <c r="U2308" s="83" t="str">
        <f t="shared" si="254"/>
        <v/>
      </c>
      <c r="V2308" s="83" t="str">
        <f t="shared" si="255"/>
        <v/>
      </c>
      <c r="AA2308" s="60">
        <f t="shared" si="256"/>
        <v>0</v>
      </c>
      <c r="AB2308" s="49">
        <f t="shared" si="257"/>
        <v>0</v>
      </c>
      <c r="AC2308" s="60">
        <f t="shared" si="258"/>
        <v>0</v>
      </c>
    </row>
    <row r="2309" spans="1:29">
      <c r="A2309" s="83" t="str">
        <f t="shared" si="252"/>
        <v/>
      </c>
      <c r="B2309" s="83" t="str">
        <f t="shared" si="253"/>
        <v/>
      </c>
      <c r="U2309" s="83" t="str">
        <f t="shared" si="254"/>
        <v/>
      </c>
      <c r="V2309" s="83" t="str">
        <f t="shared" si="255"/>
        <v/>
      </c>
      <c r="AA2309" s="60">
        <f t="shared" si="256"/>
        <v>0</v>
      </c>
      <c r="AB2309" s="49">
        <f t="shared" si="257"/>
        <v>0</v>
      </c>
      <c r="AC2309" s="60">
        <f t="shared" si="258"/>
        <v>0</v>
      </c>
    </row>
    <row r="2310" spans="1:29">
      <c r="A2310" s="83" t="str">
        <f t="shared" si="252"/>
        <v/>
      </c>
      <c r="B2310" s="83" t="str">
        <f t="shared" si="253"/>
        <v/>
      </c>
      <c r="U2310" s="83" t="str">
        <f t="shared" si="254"/>
        <v/>
      </c>
      <c r="V2310" s="83" t="str">
        <f t="shared" si="255"/>
        <v/>
      </c>
      <c r="AA2310" s="60">
        <f t="shared" si="256"/>
        <v>0</v>
      </c>
      <c r="AB2310" s="49">
        <f t="shared" si="257"/>
        <v>0</v>
      </c>
      <c r="AC2310" s="60">
        <f t="shared" si="258"/>
        <v>0</v>
      </c>
    </row>
    <row r="2311" spans="1:29">
      <c r="A2311" s="83" t="str">
        <f t="shared" si="252"/>
        <v/>
      </c>
      <c r="B2311" s="83" t="str">
        <f t="shared" si="253"/>
        <v/>
      </c>
      <c r="U2311" s="83" t="str">
        <f t="shared" si="254"/>
        <v/>
      </c>
      <c r="V2311" s="83" t="str">
        <f t="shared" si="255"/>
        <v/>
      </c>
      <c r="AA2311" s="60">
        <f t="shared" si="256"/>
        <v>0</v>
      </c>
      <c r="AB2311" s="49">
        <f t="shared" si="257"/>
        <v>0</v>
      </c>
      <c r="AC2311" s="60">
        <f t="shared" si="258"/>
        <v>0</v>
      </c>
    </row>
    <row r="2312" spans="1:29">
      <c r="A2312" s="83" t="str">
        <f t="shared" si="252"/>
        <v/>
      </c>
      <c r="B2312" s="83" t="str">
        <f t="shared" si="253"/>
        <v/>
      </c>
      <c r="U2312" s="83" t="str">
        <f t="shared" si="254"/>
        <v/>
      </c>
      <c r="V2312" s="83" t="str">
        <f t="shared" si="255"/>
        <v/>
      </c>
      <c r="AA2312" s="60">
        <f t="shared" si="256"/>
        <v>0</v>
      </c>
      <c r="AB2312" s="49">
        <f t="shared" si="257"/>
        <v>0</v>
      </c>
      <c r="AC2312" s="60">
        <f t="shared" si="258"/>
        <v>0</v>
      </c>
    </row>
    <row r="2313" spans="1:29">
      <c r="A2313" s="83" t="str">
        <f t="shared" si="252"/>
        <v/>
      </c>
      <c r="B2313" s="83" t="str">
        <f t="shared" si="253"/>
        <v/>
      </c>
      <c r="U2313" s="83" t="str">
        <f t="shared" si="254"/>
        <v/>
      </c>
      <c r="V2313" s="83" t="str">
        <f t="shared" si="255"/>
        <v/>
      </c>
      <c r="AA2313" s="60">
        <f t="shared" si="256"/>
        <v>0</v>
      </c>
      <c r="AB2313" s="49">
        <f t="shared" si="257"/>
        <v>0</v>
      </c>
      <c r="AC2313" s="60">
        <f t="shared" si="258"/>
        <v>0</v>
      </c>
    </row>
    <row r="2314" spans="1:29">
      <c r="A2314" s="83" t="str">
        <f t="shared" si="252"/>
        <v/>
      </c>
      <c r="B2314" s="83" t="str">
        <f t="shared" si="253"/>
        <v/>
      </c>
      <c r="U2314" s="83" t="str">
        <f t="shared" si="254"/>
        <v/>
      </c>
      <c r="V2314" s="83" t="str">
        <f t="shared" si="255"/>
        <v/>
      </c>
      <c r="AA2314" s="60">
        <f t="shared" si="256"/>
        <v>0</v>
      </c>
      <c r="AB2314" s="49">
        <f t="shared" si="257"/>
        <v>0</v>
      </c>
      <c r="AC2314" s="60">
        <f t="shared" si="258"/>
        <v>0</v>
      </c>
    </row>
    <row r="2315" spans="1:29">
      <c r="A2315" s="83" t="str">
        <f t="shared" si="252"/>
        <v/>
      </c>
      <c r="B2315" s="83" t="str">
        <f t="shared" si="253"/>
        <v/>
      </c>
      <c r="U2315" s="83" t="str">
        <f t="shared" si="254"/>
        <v/>
      </c>
      <c r="V2315" s="83" t="str">
        <f t="shared" si="255"/>
        <v/>
      </c>
      <c r="AA2315" s="60">
        <f t="shared" si="256"/>
        <v>0</v>
      </c>
      <c r="AB2315" s="49">
        <f t="shared" si="257"/>
        <v>0</v>
      </c>
      <c r="AC2315" s="60">
        <f t="shared" si="258"/>
        <v>0</v>
      </c>
    </row>
    <row r="2316" spans="1:29">
      <c r="A2316" s="83" t="str">
        <f t="shared" si="252"/>
        <v/>
      </c>
      <c r="B2316" s="83" t="str">
        <f t="shared" si="253"/>
        <v/>
      </c>
      <c r="U2316" s="83" t="str">
        <f t="shared" si="254"/>
        <v/>
      </c>
      <c r="V2316" s="83" t="str">
        <f t="shared" si="255"/>
        <v/>
      </c>
      <c r="AA2316" s="60">
        <f t="shared" si="256"/>
        <v>0</v>
      </c>
      <c r="AB2316" s="49">
        <f t="shared" si="257"/>
        <v>0</v>
      </c>
      <c r="AC2316" s="60">
        <f t="shared" si="258"/>
        <v>0</v>
      </c>
    </row>
    <row r="2317" spans="1:29">
      <c r="A2317" s="83" t="str">
        <f t="shared" si="252"/>
        <v/>
      </c>
      <c r="B2317" s="83" t="str">
        <f t="shared" si="253"/>
        <v/>
      </c>
      <c r="U2317" s="83" t="str">
        <f t="shared" si="254"/>
        <v/>
      </c>
      <c r="V2317" s="83" t="str">
        <f t="shared" si="255"/>
        <v/>
      </c>
      <c r="AA2317" s="60">
        <f t="shared" si="256"/>
        <v>0</v>
      </c>
      <c r="AB2317" s="49">
        <f t="shared" si="257"/>
        <v>0</v>
      </c>
      <c r="AC2317" s="60">
        <f t="shared" si="258"/>
        <v>0</v>
      </c>
    </row>
    <row r="2318" spans="1:29">
      <c r="A2318" s="83" t="str">
        <f t="shared" si="252"/>
        <v/>
      </c>
      <c r="B2318" s="83" t="str">
        <f t="shared" si="253"/>
        <v/>
      </c>
      <c r="U2318" s="83" t="str">
        <f t="shared" si="254"/>
        <v/>
      </c>
      <c r="V2318" s="83" t="str">
        <f t="shared" si="255"/>
        <v/>
      </c>
      <c r="AA2318" s="60">
        <f t="shared" si="256"/>
        <v>0</v>
      </c>
      <c r="AB2318" s="49">
        <f t="shared" si="257"/>
        <v>0</v>
      </c>
      <c r="AC2318" s="60">
        <f t="shared" si="258"/>
        <v>0</v>
      </c>
    </row>
    <row r="2319" spans="1:29">
      <c r="A2319" s="83" t="str">
        <f t="shared" si="252"/>
        <v/>
      </c>
      <c r="B2319" s="83" t="str">
        <f t="shared" si="253"/>
        <v/>
      </c>
      <c r="U2319" s="83" t="str">
        <f t="shared" si="254"/>
        <v/>
      </c>
      <c r="V2319" s="83" t="str">
        <f t="shared" si="255"/>
        <v/>
      </c>
      <c r="AA2319" s="60">
        <f t="shared" si="256"/>
        <v>0</v>
      </c>
      <c r="AB2319" s="49">
        <f t="shared" si="257"/>
        <v>0</v>
      </c>
      <c r="AC2319" s="60">
        <f t="shared" si="258"/>
        <v>0</v>
      </c>
    </row>
    <row r="2320" spans="1:29">
      <c r="A2320" s="83" t="str">
        <f t="shared" si="252"/>
        <v/>
      </c>
      <c r="B2320" s="83" t="str">
        <f t="shared" si="253"/>
        <v/>
      </c>
      <c r="U2320" s="83" t="str">
        <f t="shared" si="254"/>
        <v/>
      </c>
      <c r="V2320" s="83" t="str">
        <f t="shared" si="255"/>
        <v/>
      </c>
      <c r="AA2320" s="60">
        <f t="shared" si="256"/>
        <v>0</v>
      </c>
      <c r="AB2320" s="49">
        <f t="shared" si="257"/>
        <v>0</v>
      </c>
      <c r="AC2320" s="60">
        <f t="shared" si="258"/>
        <v>0</v>
      </c>
    </row>
    <row r="2321" spans="1:29">
      <c r="A2321" s="83" t="str">
        <f t="shared" si="252"/>
        <v/>
      </c>
      <c r="B2321" s="83" t="str">
        <f t="shared" si="253"/>
        <v/>
      </c>
      <c r="U2321" s="83" t="str">
        <f t="shared" si="254"/>
        <v/>
      </c>
      <c r="V2321" s="83" t="str">
        <f t="shared" si="255"/>
        <v/>
      </c>
      <c r="AA2321" s="60">
        <f t="shared" si="256"/>
        <v>0</v>
      </c>
      <c r="AB2321" s="49">
        <f t="shared" si="257"/>
        <v>0</v>
      </c>
      <c r="AC2321" s="60">
        <f t="shared" si="258"/>
        <v>0</v>
      </c>
    </row>
    <row r="2322" spans="1:29">
      <c r="A2322" s="83" t="str">
        <f t="shared" si="252"/>
        <v/>
      </c>
      <c r="B2322" s="83" t="str">
        <f t="shared" si="253"/>
        <v/>
      </c>
      <c r="U2322" s="83" t="str">
        <f t="shared" si="254"/>
        <v/>
      </c>
      <c r="V2322" s="83" t="str">
        <f t="shared" si="255"/>
        <v/>
      </c>
      <c r="AA2322" s="60">
        <f t="shared" si="256"/>
        <v>0</v>
      </c>
      <c r="AB2322" s="49">
        <f t="shared" si="257"/>
        <v>0</v>
      </c>
      <c r="AC2322" s="60">
        <f t="shared" si="258"/>
        <v>0</v>
      </c>
    </row>
    <row r="2323" spans="1:29">
      <c r="A2323" s="83" t="str">
        <f t="shared" si="252"/>
        <v/>
      </c>
      <c r="B2323" s="83" t="str">
        <f t="shared" si="253"/>
        <v/>
      </c>
      <c r="U2323" s="83" t="str">
        <f t="shared" si="254"/>
        <v/>
      </c>
      <c r="V2323" s="83" t="str">
        <f t="shared" si="255"/>
        <v/>
      </c>
      <c r="AA2323" s="60">
        <f t="shared" si="256"/>
        <v>0</v>
      </c>
      <c r="AB2323" s="49">
        <f t="shared" si="257"/>
        <v>0</v>
      </c>
      <c r="AC2323" s="60">
        <f t="shared" si="258"/>
        <v>0</v>
      </c>
    </row>
    <row r="2324" spans="1:29">
      <c r="A2324" s="83" t="str">
        <f t="shared" si="252"/>
        <v/>
      </c>
      <c r="B2324" s="83" t="str">
        <f t="shared" si="253"/>
        <v/>
      </c>
      <c r="U2324" s="83" t="str">
        <f t="shared" si="254"/>
        <v/>
      </c>
      <c r="V2324" s="83" t="str">
        <f t="shared" si="255"/>
        <v/>
      </c>
      <c r="AA2324" s="60">
        <f t="shared" si="256"/>
        <v>0</v>
      </c>
      <c r="AB2324" s="49">
        <f t="shared" si="257"/>
        <v>0</v>
      </c>
      <c r="AC2324" s="60">
        <f t="shared" si="258"/>
        <v>0</v>
      </c>
    </row>
    <row r="2325" spans="1:29">
      <c r="A2325" s="83" t="str">
        <f t="shared" si="252"/>
        <v/>
      </c>
      <c r="B2325" s="83" t="str">
        <f t="shared" si="253"/>
        <v/>
      </c>
      <c r="U2325" s="83" t="str">
        <f t="shared" si="254"/>
        <v/>
      </c>
      <c r="V2325" s="83" t="str">
        <f t="shared" si="255"/>
        <v/>
      </c>
      <c r="AA2325" s="60">
        <f t="shared" si="256"/>
        <v>0</v>
      </c>
      <c r="AB2325" s="49">
        <f t="shared" si="257"/>
        <v>0</v>
      </c>
      <c r="AC2325" s="60">
        <f t="shared" si="258"/>
        <v>0</v>
      </c>
    </row>
    <row r="2326" spans="1:29">
      <c r="A2326" s="83" t="str">
        <f t="shared" si="252"/>
        <v/>
      </c>
      <c r="B2326" s="83" t="str">
        <f t="shared" si="253"/>
        <v/>
      </c>
      <c r="U2326" s="83" t="str">
        <f t="shared" si="254"/>
        <v/>
      </c>
      <c r="V2326" s="83" t="str">
        <f t="shared" si="255"/>
        <v/>
      </c>
      <c r="AA2326" s="60">
        <f t="shared" si="256"/>
        <v>0</v>
      </c>
      <c r="AB2326" s="49">
        <f t="shared" si="257"/>
        <v>0</v>
      </c>
      <c r="AC2326" s="60">
        <f t="shared" si="258"/>
        <v>0</v>
      </c>
    </row>
    <row r="2327" spans="1:29">
      <c r="A2327" s="83" t="str">
        <f t="shared" si="252"/>
        <v/>
      </c>
      <c r="B2327" s="83" t="str">
        <f t="shared" si="253"/>
        <v/>
      </c>
      <c r="U2327" s="83" t="str">
        <f t="shared" si="254"/>
        <v/>
      </c>
      <c r="V2327" s="83" t="str">
        <f t="shared" si="255"/>
        <v/>
      </c>
      <c r="AA2327" s="60">
        <f t="shared" si="256"/>
        <v>0</v>
      </c>
      <c r="AB2327" s="49">
        <f t="shared" si="257"/>
        <v>0</v>
      </c>
      <c r="AC2327" s="60">
        <f t="shared" si="258"/>
        <v>0</v>
      </c>
    </row>
    <row r="2328" spans="1:29">
      <c r="A2328" s="83" t="str">
        <f t="shared" si="252"/>
        <v/>
      </c>
      <c r="B2328" s="83" t="str">
        <f t="shared" si="253"/>
        <v/>
      </c>
      <c r="U2328" s="83" t="str">
        <f t="shared" si="254"/>
        <v/>
      </c>
      <c r="V2328" s="83" t="str">
        <f t="shared" si="255"/>
        <v/>
      </c>
      <c r="AA2328" s="60">
        <f t="shared" si="256"/>
        <v>0</v>
      </c>
      <c r="AB2328" s="49">
        <f t="shared" si="257"/>
        <v>0</v>
      </c>
      <c r="AC2328" s="60">
        <f t="shared" si="258"/>
        <v>0</v>
      </c>
    </row>
    <row r="2329" spans="1:29">
      <c r="A2329" s="83" t="str">
        <f t="shared" si="252"/>
        <v/>
      </c>
      <c r="B2329" s="83" t="str">
        <f t="shared" si="253"/>
        <v/>
      </c>
      <c r="U2329" s="83" t="str">
        <f t="shared" si="254"/>
        <v/>
      </c>
      <c r="V2329" s="83" t="str">
        <f t="shared" si="255"/>
        <v/>
      </c>
      <c r="AA2329" s="60">
        <f t="shared" si="256"/>
        <v>0</v>
      </c>
      <c r="AB2329" s="49">
        <f t="shared" si="257"/>
        <v>0</v>
      </c>
      <c r="AC2329" s="60">
        <f t="shared" si="258"/>
        <v>0</v>
      </c>
    </row>
    <row r="2330" spans="1:29">
      <c r="A2330" s="83" t="str">
        <f t="shared" si="252"/>
        <v/>
      </c>
      <c r="B2330" s="83" t="str">
        <f t="shared" si="253"/>
        <v/>
      </c>
      <c r="U2330" s="83" t="str">
        <f t="shared" si="254"/>
        <v/>
      </c>
      <c r="V2330" s="83" t="str">
        <f t="shared" si="255"/>
        <v/>
      </c>
      <c r="AA2330" s="60">
        <f t="shared" si="256"/>
        <v>0</v>
      </c>
      <c r="AB2330" s="49">
        <f t="shared" si="257"/>
        <v>0</v>
      </c>
      <c r="AC2330" s="60">
        <f t="shared" si="258"/>
        <v>0</v>
      </c>
    </row>
    <row r="2331" spans="1:29">
      <c r="A2331" s="83" t="str">
        <f t="shared" si="252"/>
        <v/>
      </c>
      <c r="B2331" s="83" t="str">
        <f t="shared" si="253"/>
        <v/>
      </c>
      <c r="U2331" s="83" t="str">
        <f t="shared" si="254"/>
        <v/>
      </c>
      <c r="V2331" s="83" t="str">
        <f t="shared" si="255"/>
        <v/>
      </c>
      <c r="AA2331" s="60">
        <f t="shared" si="256"/>
        <v>0</v>
      </c>
      <c r="AB2331" s="49">
        <f t="shared" si="257"/>
        <v>0</v>
      </c>
      <c r="AC2331" s="60">
        <f t="shared" si="258"/>
        <v>0</v>
      </c>
    </row>
    <row r="2332" spans="1:29">
      <c r="A2332" s="83" t="str">
        <f t="shared" si="252"/>
        <v/>
      </c>
      <c r="B2332" s="83" t="str">
        <f t="shared" si="253"/>
        <v/>
      </c>
      <c r="U2332" s="83" t="str">
        <f t="shared" si="254"/>
        <v/>
      </c>
      <c r="V2332" s="83" t="str">
        <f t="shared" si="255"/>
        <v/>
      </c>
      <c r="AA2332" s="60">
        <f t="shared" si="256"/>
        <v>0</v>
      </c>
      <c r="AB2332" s="49">
        <f t="shared" si="257"/>
        <v>0</v>
      </c>
      <c r="AC2332" s="60">
        <f t="shared" si="258"/>
        <v>0</v>
      </c>
    </row>
    <row r="2333" spans="1:29">
      <c r="A2333" s="83" t="str">
        <f t="shared" si="252"/>
        <v/>
      </c>
      <c r="B2333" s="83" t="str">
        <f t="shared" si="253"/>
        <v/>
      </c>
      <c r="U2333" s="83" t="str">
        <f t="shared" si="254"/>
        <v/>
      </c>
      <c r="V2333" s="83" t="str">
        <f t="shared" si="255"/>
        <v/>
      </c>
      <c r="AA2333" s="60">
        <f t="shared" si="256"/>
        <v>0</v>
      </c>
      <c r="AB2333" s="49">
        <f t="shared" si="257"/>
        <v>0</v>
      </c>
      <c r="AC2333" s="60">
        <f t="shared" si="258"/>
        <v>0</v>
      </c>
    </row>
    <row r="2334" spans="1:29">
      <c r="A2334" s="83" t="str">
        <f t="shared" si="252"/>
        <v/>
      </c>
      <c r="B2334" s="83" t="str">
        <f t="shared" si="253"/>
        <v/>
      </c>
      <c r="U2334" s="83" t="str">
        <f t="shared" si="254"/>
        <v/>
      </c>
      <c r="V2334" s="83" t="str">
        <f t="shared" si="255"/>
        <v/>
      </c>
      <c r="AA2334" s="60">
        <f t="shared" si="256"/>
        <v>0</v>
      </c>
      <c r="AB2334" s="49">
        <f t="shared" si="257"/>
        <v>0</v>
      </c>
      <c r="AC2334" s="60">
        <f t="shared" si="258"/>
        <v>0</v>
      </c>
    </row>
    <row r="2335" spans="1:29">
      <c r="A2335" s="83" t="str">
        <f t="shared" si="252"/>
        <v/>
      </c>
      <c r="B2335" s="83" t="str">
        <f t="shared" si="253"/>
        <v/>
      </c>
      <c r="U2335" s="83" t="str">
        <f t="shared" si="254"/>
        <v/>
      </c>
      <c r="V2335" s="83" t="str">
        <f t="shared" si="255"/>
        <v/>
      </c>
      <c r="AA2335" s="60">
        <f t="shared" si="256"/>
        <v>0</v>
      </c>
      <c r="AB2335" s="49">
        <f t="shared" si="257"/>
        <v>0</v>
      </c>
      <c r="AC2335" s="60">
        <f t="shared" si="258"/>
        <v>0</v>
      </c>
    </row>
    <row r="2336" spans="1:29">
      <c r="A2336" s="83" t="str">
        <f t="shared" si="252"/>
        <v/>
      </c>
      <c r="B2336" s="83" t="str">
        <f t="shared" si="253"/>
        <v/>
      </c>
      <c r="U2336" s="83" t="str">
        <f t="shared" si="254"/>
        <v/>
      </c>
      <c r="V2336" s="83" t="str">
        <f t="shared" si="255"/>
        <v/>
      </c>
      <c r="AA2336" s="60">
        <f t="shared" si="256"/>
        <v>0</v>
      </c>
      <c r="AB2336" s="49">
        <f t="shared" si="257"/>
        <v>0</v>
      </c>
      <c r="AC2336" s="60">
        <f t="shared" si="258"/>
        <v>0</v>
      </c>
    </row>
    <row r="2337" spans="1:29">
      <c r="A2337" s="83" t="str">
        <f t="shared" si="252"/>
        <v/>
      </c>
      <c r="B2337" s="83" t="str">
        <f t="shared" si="253"/>
        <v/>
      </c>
      <c r="U2337" s="83" t="str">
        <f t="shared" si="254"/>
        <v/>
      </c>
      <c r="V2337" s="83" t="str">
        <f t="shared" si="255"/>
        <v/>
      </c>
      <c r="AA2337" s="60">
        <f t="shared" si="256"/>
        <v>0</v>
      </c>
      <c r="AB2337" s="49">
        <f t="shared" si="257"/>
        <v>0</v>
      </c>
      <c r="AC2337" s="60">
        <f t="shared" si="258"/>
        <v>0</v>
      </c>
    </row>
    <row r="2338" spans="1:29">
      <c r="A2338" s="83" t="str">
        <f t="shared" si="252"/>
        <v/>
      </c>
      <c r="B2338" s="83" t="str">
        <f t="shared" si="253"/>
        <v/>
      </c>
      <c r="U2338" s="83" t="str">
        <f t="shared" si="254"/>
        <v/>
      </c>
      <c r="V2338" s="83" t="str">
        <f t="shared" si="255"/>
        <v/>
      </c>
      <c r="AA2338" s="60">
        <f t="shared" si="256"/>
        <v>0</v>
      </c>
      <c r="AB2338" s="49">
        <f t="shared" si="257"/>
        <v>0</v>
      </c>
      <c r="AC2338" s="60">
        <f t="shared" si="258"/>
        <v>0</v>
      </c>
    </row>
    <row r="2339" spans="1:29">
      <c r="A2339" s="83" t="str">
        <f t="shared" si="252"/>
        <v/>
      </c>
      <c r="B2339" s="83" t="str">
        <f t="shared" si="253"/>
        <v/>
      </c>
      <c r="U2339" s="83" t="str">
        <f t="shared" si="254"/>
        <v/>
      </c>
      <c r="V2339" s="83" t="str">
        <f t="shared" si="255"/>
        <v/>
      </c>
      <c r="AA2339" s="60">
        <f t="shared" si="256"/>
        <v>0</v>
      </c>
      <c r="AB2339" s="49">
        <f t="shared" si="257"/>
        <v>0</v>
      </c>
      <c r="AC2339" s="60">
        <f t="shared" si="258"/>
        <v>0</v>
      </c>
    </row>
    <row r="2340" spans="1:29">
      <c r="A2340" s="83" t="str">
        <f t="shared" si="252"/>
        <v/>
      </c>
      <c r="B2340" s="83" t="str">
        <f t="shared" si="253"/>
        <v/>
      </c>
      <c r="U2340" s="83" t="str">
        <f t="shared" si="254"/>
        <v/>
      </c>
      <c r="V2340" s="83" t="str">
        <f t="shared" si="255"/>
        <v/>
      </c>
      <c r="AA2340" s="60">
        <f t="shared" si="256"/>
        <v>0</v>
      </c>
      <c r="AB2340" s="49">
        <f t="shared" si="257"/>
        <v>0</v>
      </c>
      <c r="AC2340" s="60">
        <f t="shared" si="258"/>
        <v>0</v>
      </c>
    </row>
    <row r="2341" spans="1:29">
      <c r="A2341" s="83" t="str">
        <f t="shared" si="252"/>
        <v/>
      </c>
      <c r="B2341" s="83" t="str">
        <f t="shared" si="253"/>
        <v/>
      </c>
      <c r="U2341" s="83" t="str">
        <f t="shared" si="254"/>
        <v/>
      </c>
      <c r="V2341" s="83" t="str">
        <f t="shared" si="255"/>
        <v/>
      </c>
      <c r="AA2341" s="60">
        <f t="shared" si="256"/>
        <v>0</v>
      </c>
      <c r="AB2341" s="49">
        <f t="shared" si="257"/>
        <v>0</v>
      </c>
      <c r="AC2341" s="60">
        <f t="shared" si="258"/>
        <v>0</v>
      </c>
    </row>
    <row r="2342" spans="1:29">
      <c r="A2342" s="83" t="str">
        <f t="shared" si="252"/>
        <v/>
      </c>
      <c r="B2342" s="83" t="str">
        <f t="shared" si="253"/>
        <v/>
      </c>
      <c r="U2342" s="83" t="str">
        <f t="shared" si="254"/>
        <v/>
      </c>
      <c r="V2342" s="83" t="str">
        <f t="shared" si="255"/>
        <v/>
      </c>
      <c r="AA2342" s="60">
        <f t="shared" si="256"/>
        <v>0</v>
      </c>
      <c r="AB2342" s="49">
        <f t="shared" si="257"/>
        <v>0</v>
      </c>
      <c r="AC2342" s="60">
        <f t="shared" si="258"/>
        <v>0</v>
      </c>
    </row>
    <row r="2343" spans="1:29">
      <c r="A2343" s="83" t="str">
        <f t="shared" si="252"/>
        <v/>
      </c>
      <c r="B2343" s="83" t="str">
        <f t="shared" si="253"/>
        <v/>
      </c>
      <c r="U2343" s="83" t="str">
        <f t="shared" si="254"/>
        <v/>
      </c>
      <c r="V2343" s="83" t="str">
        <f t="shared" si="255"/>
        <v/>
      </c>
      <c r="AA2343" s="60">
        <f t="shared" si="256"/>
        <v>0</v>
      </c>
      <c r="AB2343" s="49">
        <f t="shared" si="257"/>
        <v>0</v>
      </c>
      <c r="AC2343" s="60">
        <f t="shared" si="258"/>
        <v>0</v>
      </c>
    </row>
    <row r="2344" spans="1:29">
      <c r="A2344" s="83" t="str">
        <f t="shared" si="252"/>
        <v/>
      </c>
      <c r="B2344" s="83" t="str">
        <f t="shared" si="253"/>
        <v/>
      </c>
      <c r="U2344" s="83" t="str">
        <f t="shared" si="254"/>
        <v/>
      </c>
      <c r="V2344" s="83" t="str">
        <f t="shared" si="255"/>
        <v/>
      </c>
      <c r="AA2344" s="60">
        <f t="shared" si="256"/>
        <v>0</v>
      </c>
      <c r="AB2344" s="49">
        <f t="shared" si="257"/>
        <v>0</v>
      </c>
      <c r="AC2344" s="60">
        <f t="shared" si="258"/>
        <v>0</v>
      </c>
    </row>
    <row r="2345" spans="1:29">
      <c r="A2345" s="83" t="str">
        <f t="shared" si="252"/>
        <v/>
      </c>
      <c r="B2345" s="83" t="str">
        <f t="shared" si="253"/>
        <v/>
      </c>
      <c r="U2345" s="83" t="str">
        <f t="shared" si="254"/>
        <v/>
      </c>
      <c r="V2345" s="83" t="str">
        <f t="shared" si="255"/>
        <v/>
      </c>
      <c r="AA2345" s="60">
        <f t="shared" si="256"/>
        <v>0</v>
      </c>
      <c r="AB2345" s="49">
        <f t="shared" si="257"/>
        <v>0</v>
      </c>
      <c r="AC2345" s="60">
        <f t="shared" si="258"/>
        <v>0</v>
      </c>
    </row>
    <row r="2346" spans="1:29">
      <c r="A2346" s="83" t="str">
        <f t="shared" si="252"/>
        <v/>
      </c>
      <c r="B2346" s="83" t="str">
        <f t="shared" si="253"/>
        <v/>
      </c>
      <c r="U2346" s="83" t="str">
        <f t="shared" si="254"/>
        <v/>
      </c>
      <c r="V2346" s="83" t="str">
        <f t="shared" si="255"/>
        <v/>
      </c>
      <c r="AA2346" s="60">
        <f t="shared" si="256"/>
        <v>0</v>
      </c>
      <c r="AB2346" s="49">
        <f t="shared" si="257"/>
        <v>0</v>
      </c>
      <c r="AC2346" s="60">
        <f t="shared" si="258"/>
        <v>0</v>
      </c>
    </row>
    <row r="2347" spans="1:29">
      <c r="A2347" s="83" t="str">
        <f t="shared" si="252"/>
        <v/>
      </c>
      <c r="B2347" s="83" t="str">
        <f t="shared" si="253"/>
        <v/>
      </c>
      <c r="U2347" s="83" t="str">
        <f t="shared" si="254"/>
        <v/>
      </c>
      <c r="V2347" s="83" t="str">
        <f t="shared" si="255"/>
        <v/>
      </c>
      <c r="AA2347" s="60">
        <f t="shared" si="256"/>
        <v>0</v>
      </c>
      <c r="AB2347" s="49">
        <f t="shared" si="257"/>
        <v>0</v>
      </c>
      <c r="AC2347" s="60">
        <f t="shared" si="258"/>
        <v>0</v>
      </c>
    </row>
    <row r="2348" spans="1:29">
      <c r="A2348" s="83" t="str">
        <f t="shared" si="252"/>
        <v/>
      </c>
      <c r="B2348" s="83" t="str">
        <f t="shared" si="253"/>
        <v/>
      </c>
      <c r="U2348" s="83" t="str">
        <f t="shared" si="254"/>
        <v/>
      </c>
      <c r="V2348" s="83" t="str">
        <f t="shared" si="255"/>
        <v/>
      </c>
      <c r="AA2348" s="60">
        <f t="shared" si="256"/>
        <v>0</v>
      </c>
      <c r="AB2348" s="49">
        <f t="shared" si="257"/>
        <v>0</v>
      </c>
      <c r="AC2348" s="60">
        <f t="shared" si="258"/>
        <v>0</v>
      </c>
    </row>
    <row r="2349" spans="1:29">
      <c r="A2349" s="83" t="str">
        <f t="shared" si="252"/>
        <v/>
      </c>
      <c r="B2349" s="83" t="str">
        <f t="shared" si="253"/>
        <v/>
      </c>
      <c r="U2349" s="83" t="str">
        <f t="shared" si="254"/>
        <v/>
      </c>
      <c r="V2349" s="83" t="str">
        <f t="shared" si="255"/>
        <v/>
      </c>
      <c r="AA2349" s="60">
        <f t="shared" si="256"/>
        <v>0</v>
      </c>
      <c r="AB2349" s="49">
        <f t="shared" si="257"/>
        <v>0</v>
      </c>
      <c r="AC2349" s="60">
        <f t="shared" si="258"/>
        <v>0</v>
      </c>
    </row>
    <row r="2350" spans="1:29">
      <c r="A2350" s="83" t="str">
        <f t="shared" si="252"/>
        <v/>
      </c>
      <c r="B2350" s="83" t="str">
        <f t="shared" si="253"/>
        <v/>
      </c>
      <c r="U2350" s="83" t="str">
        <f t="shared" si="254"/>
        <v/>
      </c>
      <c r="V2350" s="83" t="str">
        <f t="shared" si="255"/>
        <v/>
      </c>
      <c r="AA2350" s="60">
        <f t="shared" si="256"/>
        <v>0</v>
      </c>
      <c r="AB2350" s="49">
        <f t="shared" si="257"/>
        <v>0</v>
      </c>
      <c r="AC2350" s="60">
        <f t="shared" si="258"/>
        <v>0</v>
      </c>
    </row>
    <row r="2351" spans="1:29">
      <c r="A2351" s="83" t="str">
        <f t="shared" si="252"/>
        <v/>
      </c>
      <c r="B2351" s="83" t="str">
        <f t="shared" si="253"/>
        <v/>
      </c>
      <c r="U2351" s="83" t="str">
        <f t="shared" si="254"/>
        <v/>
      </c>
      <c r="V2351" s="83" t="str">
        <f t="shared" si="255"/>
        <v/>
      </c>
      <c r="AA2351" s="60">
        <f t="shared" si="256"/>
        <v>0</v>
      </c>
      <c r="AB2351" s="49">
        <f t="shared" si="257"/>
        <v>0</v>
      </c>
      <c r="AC2351" s="60">
        <f t="shared" si="258"/>
        <v>0</v>
      </c>
    </row>
    <row r="2352" spans="1:29">
      <c r="A2352" s="83" t="str">
        <f t="shared" si="252"/>
        <v/>
      </c>
      <c r="B2352" s="83" t="str">
        <f t="shared" si="253"/>
        <v/>
      </c>
      <c r="U2352" s="83" t="str">
        <f t="shared" si="254"/>
        <v/>
      </c>
      <c r="V2352" s="83" t="str">
        <f t="shared" si="255"/>
        <v/>
      </c>
      <c r="AA2352" s="60">
        <f t="shared" si="256"/>
        <v>0</v>
      </c>
      <c r="AB2352" s="49">
        <f t="shared" si="257"/>
        <v>0</v>
      </c>
      <c r="AC2352" s="60">
        <f t="shared" si="258"/>
        <v>0</v>
      </c>
    </row>
    <row r="2353" spans="1:29">
      <c r="A2353" s="83" t="str">
        <f t="shared" si="252"/>
        <v/>
      </c>
      <c r="B2353" s="83" t="str">
        <f t="shared" si="253"/>
        <v/>
      </c>
      <c r="U2353" s="83" t="str">
        <f t="shared" si="254"/>
        <v/>
      </c>
      <c r="V2353" s="83" t="str">
        <f t="shared" si="255"/>
        <v/>
      </c>
      <c r="AA2353" s="60">
        <f t="shared" si="256"/>
        <v>0</v>
      </c>
      <c r="AB2353" s="49">
        <f t="shared" si="257"/>
        <v>0</v>
      </c>
      <c r="AC2353" s="60">
        <f t="shared" si="258"/>
        <v>0</v>
      </c>
    </row>
    <row r="2354" spans="1:29">
      <c r="A2354" s="83" t="str">
        <f t="shared" si="252"/>
        <v/>
      </c>
      <c r="B2354" s="83" t="str">
        <f t="shared" si="253"/>
        <v/>
      </c>
      <c r="U2354" s="83" t="str">
        <f t="shared" si="254"/>
        <v/>
      </c>
      <c r="V2354" s="83" t="str">
        <f t="shared" si="255"/>
        <v/>
      </c>
      <c r="AA2354" s="60">
        <f t="shared" si="256"/>
        <v>0</v>
      </c>
      <c r="AB2354" s="49">
        <f t="shared" si="257"/>
        <v>0</v>
      </c>
      <c r="AC2354" s="60">
        <f t="shared" si="258"/>
        <v>0</v>
      </c>
    </row>
    <row r="2355" spans="1:29">
      <c r="A2355" s="83" t="str">
        <f t="shared" si="252"/>
        <v/>
      </c>
      <c r="B2355" s="83" t="str">
        <f t="shared" si="253"/>
        <v/>
      </c>
      <c r="U2355" s="83" t="str">
        <f t="shared" si="254"/>
        <v/>
      </c>
      <c r="V2355" s="83" t="str">
        <f t="shared" si="255"/>
        <v/>
      </c>
      <c r="AA2355" s="60">
        <f t="shared" si="256"/>
        <v>0</v>
      </c>
      <c r="AB2355" s="49">
        <f t="shared" si="257"/>
        <v>0</v>
      </c>
      <c r="AC2355" s="60">
        <f t="shared" si="258"/>
        <v>0</v>
      </c>
    </row>
    <row r="2356" spans="1:29">
      <c r="A2356" s="83" t="str">
        <f t="shared" si="252"/>
        <v/>
      </c>
      <c r="B2356" s="83" t="str">
        <f t="shared" si="253"/>
        <v/>
      </c>
      <c r="U2356" s="83" t="str">
        <f t="shared" si="254"/>
        <v/>
      </c>
      <c r="V2356" s="83" t="str">
        <f t="shared" si="255"/>
        <v/>
      </c>
      <c r="AA2356" s="60">
        <f t="shared" si="256"/>
        <v>0</v>
      </c>
      <c r="AB2356" s="49">
        <f t="shared" si="257"/>
        <v>0</v>
      </c>
      <c r="AC2356" s="60">
        <f t="shared" si="258"/>
        <v>0</v>
      </c>
    </row>
    <row r="2357" spans="1:29">
      <c r="A2357" s="83" t="str">
        <f t="shared" si="252"/>
        <v/>
      </c>
      <c r="B2357" s="83" t="str">
        <f t="shared" si="253"/>
        <v/>
      </c>
      <c r="U2357" s="83" t="str">
        <f t="shared" si="254"/>
        <v/>
      </c>
      <c r="V2357" s="83" t="str">
        <f t="shared" si="255"/>
        <v/>
      </c>
      <c r="AA2357" s="60">
        <f t="shared" si="256"/>
        <v>0</v>
      </c>
      <c r="AB2357" s="49">
        <f t="shared" si="257"/>
        <v>0</v>
      </c>
      <c r="AC2357" s="60">
        <f t="shared" si="258"/>
        <v>0</v>
      </c>
    </row>
    <row r="2358" spans="1:29">
      <c r="A2358" s="83" t="str">
        <f t="shared" si="252"/>
        <v/>
      </c>
      <c r="B2358" s="83" t="str">
        <f t="shared" si="253"/>
        <v/>
      </c>
      <c r="U2358" s="83" t="str">
        <f t="shared" si="254"/>
        <v/>
      </c>
      <c r="V2358" s="83" t="str">
        <f t="shared" si="255"/>
        <v/>
      </c>
      <c r="AA2358" s="60">
        <f t="shared" si="256"/>
        <v>0</v>
      </c>
      <c r="AB2358" s="49">
        <f t="shared" si="257"/>
        <v>0</v>
      </c>
      <c r="AC2358" s="60">
        <f t="shared" si="258"/>
        <v>0</v>
      </c>
    </row>
    <row r="2359" spans="1:29">
      <c r="A2359" s="83" t="str">
        <f t="shared" si="252"/>
        <v/>
      </c>
      <c r="B2359" s="83" t="str">
        <f t="shared" si="253"/>
        <v/>
      </c>
      <c r="U2359" s="83" t="str">
        <f t="shared" si="254"/>
        <v/>
      </c>
      <c r="V2359" s="83" t="str">
        <f t="shared" si="255"/>
        <v/>
      </c>
      <c r="AA2359" s="60">
        <f t="shared" si="256"/>
        <v>0</v>
      </c>
      <c r="AB2359" s="49">
        <f t="shared" si="257"/>
        <v>0</v>
      </c>
      <c r="AC2359" s="60">
        <f t="shared" si="258"/>
        <v>0</v>
      </c>
    </row>
    <row r="2360" spans="1:29">
      <c r="A2360" s="83" t="str">
        <f t="shared" si="252"/>
        <v/>
      </c>
      <c r="B2360" s="83" t="str">
        <f t="shared" si="253"/>
        <v/>
      </c>
      <c r="U2360" s="83" t="str">
        <f t="shared" si="254"/>
        <v/>
      </c>
      <c r="V2360" s="83" t="str">
        <f t="shared" si="255"/>
        <v/>
      </c>
      <c r="AA2360" s="60">
        <f t="shared" si="256"/>
        <v>0</v>
      </c>
      <c r="AB2360" s="49">
        <f t="shared" si="257"/>
        <v>0</v>
      </c>
      <c r="AC2360" s="60">
        <f t="shared" si="258"/>
        <v>0</v>
      </c>
    </row>
    <row r="2361" spans="1:29">
      <c r="A2361" s="83" t="str">
        <f t="shared" si="252"/>
        <v/>
      </c>
      <c r="B2361" s="83" t="str">
        <f t="shared" si="253"/>
        <v/>
      </c>
      <c r="U2361" s="83" t="str">
        <f t="shared" si="254"/>
        <v/>
      </c>
      <c r="V2361" s="83" t="str">
        <f t="shared" si="255"/>
        <v/>
      </c>
      <c r="AA2361" s="60">
        <f t="shared" si="256"/>
        <v>0</v>
      </c>
      <c r="AB2361" s="49">
        <f t="shared" si="257"/>
        <v>0</v>
      </c>
      <c r="AC2361" s="60">
        <f t="shared" si="258"/>
        <v>0</v>
      </c>
    </row>
    <row r="2362" spans="1:29">
      <c r="A2362" s="83" t="str">
        <f t="shared" si="252"/>
        <v/>
      </c>
      <c r="B2362" s="83" t="str">
        <f t="shared" si="253"/>
        <v/>
      </c>
      <c r="U2362" s="83" t="str">
        <f t="shared" si="254"/>
        <v/>
      </c>
      <c r="V2362" s="83" t="str">
        <f t="shared" si="255"/>
        <v/>
      </c>
      <c r="AA2362" s="60">
        <f t="shared" si="256"/>
        <v>0</v>
      </c>
      <c r="AB2362" s="49">
        <f t="shared" si="257"/>
        <v>0</v>
      </c>
      <c r="AC2362" s="60">
        <f t="shared" si="258"/>
        <v>0</v>
      </c>
    </row>
    <row r="2363" spans="1:29">
      <c r="A2363" s="83" t="str">
        <f t="shared" si="252"/>
        <v/>
      </c>
      <c r="B2363" s="83" t="str">
        <f t="shared" si="253"/>
        <v/>
      </c>
      <c r="U2363" s="83" t="str">
        <f t="shared" si="254"/>
        <v/>
      </c>
      <c r="V2363" s="83" t="str">
        <f t="shared" si="255"/>
        <v/>
      </c>
      <c r="AA2363" s="60">
        <f t="shared" si="256"/>
        <v>0</v>
      </c>
      <c r="AB2363" s="49">
        <f t="shared" si="257"/>
        <v>0</v>
      </c>
      <c r="AC2363" s="60">
        <f t="shared" si="258"/>
        <v>0</v>
      </c>
    </row>
    <row r="2364" spans="1:29">
      <c r="A2364" s="83" t="str">
        <f t="shared" si="252"/>
        <v/>
      </c>
      <c r="B2364" s="83" t="str">
        <f t="shared" si="253"/>
        <v/>
      </c>
      <c r="U2364" s="83" t="str">
        <f t="shared" si="254"/>
        <v/>
      </c>
      <c r="V2364" s="83" t="str">
        <f t="shared" si="255"/>
        <v/>
      </c>
      <c r="AA2364" s="60">
        <f t="shared" si="256"/>
        <v>0</v>
      </c>
      <c r="AB2364" s="49">
        <f t="shared" si="257"/>
        <v>0</v>
      </c>
      <c r="AC2364" s="60">
        <f t="shared" si="258"/>
        <v>0</v>
      </c>
    </row>
    <row r="2365" spans="1:29">
      <c r="A2365" s="83" t="str">
        <f t="shared" si="252"/>
        <v/>
      </c>
      <c r="B2365" s="83" t="str">
        <f t="shared" si="253"/>
        <v/>
      </c>
      <c r="U2365" s="83" t="str">
        <f t="shared" si="254"/>
        <v/>
      </c>
      <c r="V2365" s="83" t="str">
        <f t="shared" si="255"/>
        <v/>
      </c>
      <c r="AA2365" s="60">
        <f t="shared" si="256"/>
        <v>0</v>
      </c>
      <c r="AB2365" s="49">
        <f t="shared" si="257"/>
        <v>0</v>
      </c>
      <c r="AC2365" s="60">
        <f t="shared" si="258"/>
        <v>0</v>
      </c>
    </row>
    <row r="2366" spans="1:29">
      <c r="A2366" s="83" t="str">
        <f t="shared" si="252"/>
        <v/>
      </c>
      <c r="B2366" s="83" t="str">
        <f t="shared" si="253"/>
        <v/>
      </c>
      <c r="U2366" s="83" t="str">
        <f t="shared" si="254"/>
        <v/>
      </c>
      <c r="V2366" s="83" t="str">
        <f t="shared" si="255"/>
        <v/>
      </c>
      <c r="AA2366" s="60">
        <f t="shared" si="256"/>
        <v>0</v>
      </c>
      <c r="AB2366" s="49">
        <f t="shared" si="257"/>
        <v>0</v>
      </c>
      <c r="AC2366" s="60">
        <f t="shared" si="258"/>
        <v>0</v>
      </c>
    </row>
    <row r="2367" spans="1:29">
      <c r="A2367" s="83" t="str">
        <f t="shared" si="252"/>
        <v/>
      </c>
      <c r="B2367" s="83" t="str">
        <f t="shared" si="253"/>
        <v/>
      </c>
      <c r="U2367" s="83" t="str">
        <f t="shared" si="254"/>
        <v/>
      </c>
      <c r="V2367" s="83" t="str">
        <f t="shared" si="255"/>
        <v/>
      </c>
      <c r="AA2367" s="60">
        <f t="shared" si="256"/>
        <v>0</v>
      </c>
      <c r="AB2367" s="49">
        <f t="shared" si="257"/>
        <v>0</v>
      </c>
      <c r="AC2367" s="60">
        <f t="shared" si="258"/>
        <v>0</v>
      </c>
    </row>
    <row r="2368" spans="1:29">
      <c r="A2368" s="83" t="str">
        <f t="shared" si="252"/>
        <v/>
      </c>
      <c r="B2368" s="83" t="str">
        <f t="shared" si="253"/>
        <v/>
      </c>
      <c r="U2368" s="83" t="str">
        <f t="shared" si="254"/>
        <v/>
      </c>
      <c r="V2368" s="83" t="str">
        <f t="shared" si="255"/>
        <v/>
      </c>
      <c r="AA2368" s="60">
        <f t="shared" si="256"/>
        <v>0</v>
      </c>
      <c r="AB2368" s="49">
        <f t="shared" si="257"/>
        <v>0</v>
      </c>
      <c r="AC2368" s="60">
        <f t="shared" si="258"/>
        <v>0</v>
      </c>
    </row>
    <row r="2369" spans="1:29">
      <c r="A2369" s="83" t="str">
        <f t="shared" si="252"/>
        <v/>
      </c>
      <c r="B2369" s="83" t="str">
        <f t="shared" si="253"/>
        <v/>
      </c>
      <c r="U2369" s="83" t="str">
        <f t="shared" si="254"/>
        <v/>
      </c>
      <c r="V2369" s="83" t="str">
        <f t="shared" si="255"/>
        <v/>
      </c>
      <c r="AA2369" s="60">
        <f t="shared" si="256"/>
        <v>0</v>
      </c>
      <c r="AB2369" s="49">
        <f t="shared" si="257"/>
        <v>0</v>
      </c>
      <c r="AC2369" s="60">
        <f t="shared" si="258"/>
        <v>0</v>
      </c>
    </row>
    <row r="2370" spans="1:29">
      <c r="A2370" s="83" t="str">
        <f t="shared" si="252"/>
        <v/>
      </c>
      <c r="B2370" s="83" t="str">
        <f t="shared" si="253"/>
        <v/>
      </c>
      <c r="U2370" s="83" t="str">
        <f t="shared" si="254"/>
        <v/>
      </c>
      <c r="V2370" s="83" t="str">
        <f t="shared" si="255"/>
        <v/>
      </c>
      <c r="AA2370" s="60">
        <f t="shared" si="256"/>
        <v>0</v>
      </c>
      <c r="AB2370" s="49">
        <f t="shared" si="257"/>
        <v>0</v>
      </c>
      <c r="AC2370" s="60">
        <f t="shared" si="258"/>
        <v>0</v>
      </c>
    </row>
    <row r="2371" spans="1:29">
      <c r="A2371" s="83" t="str">
        <f t="shared" ref="A2371:A2434" si="259">IF(G2371&amp;Q2371&lt;&gt;"",U2371&amp;Q2371,"")</f>
        <v/>
      </c>
      <c r="B2371" s="83" t="str">
        <f t="shared" ref="B2371:B2434" si="260">IF(C2371&lt;&gt;"",LEFT(C2371,9),"")</f>
        <v/>
      </c>
      <c r="U2371" s="83" t="str">
        <f t="shared" ref="U2371:U2434" si="261">IF(G2371&lt;&gt;"",IF(StyleSpaceSplit,IFERROR(IF(FIND(" ",G2371)&gt;=1,MID(G2371,1,FIND(" ",G2371)-1),G2371),G2371),G2371),"")</f>
        <v/>
      </c>
      <c r="V2371" s="83" t="str">
        <f t="shared" ref="V2371:V2434" si="262">IF(A2371&lt;&gt;"",IFERROR(IF(FIND(" ",G2371)&gt;=1,MID(G2371,FIND(" ",G2371)+1,LEN(G2371)),""),G2371),"")</f>
        <v/>
      </c>
      <c r="AA2371" s="60">
        <f t="shared" ref="AA2371:AA2434" si="263">IFERROR(VALUE(MID($C2371,1,2)),0)</f>
        <v>0</v>
      </c>
      <c r="AB2371" s="49">
        <f t="shared" ref="AB2371:AB2434" si="264">IFERROR(VALUE(MID($C2371,4,3)),0)</f>
        <v>0</v>
      </c>
      <c r="AC2371" s="60">
        <f t="shared" ref="AC2371:AC2434" si="265">VALUE(RIGHT("00"&amp;AA2371,2)&amp;RIGHT("000"&amp;AB2371,3))</f>
        <v>0</v>
      </c>
    </row>
    <row r="2372" spans="1:29">
      <c r="A2372" s="83" t="str">
        <f t="shared" si="259"/>
        <v/>
      </c>
      <c r="B2372" s="83" t="str">
        <f t="shared" si="260"/>
        <v/>
      </c>
      <c r="U2372" s="83" t="str">
        <f t="shared" si="261"/>
        <v/>
      </c>
      <c r="V2372" s="83" t="str">
        <f t="shared" si="262"/>
        <v/>
      </c>
      <c r="AA2372" s="60">
        <f t="shared" si="263"/>
        <v>0</v>
      </c>
      <c r="AB2372" s="49">
        <f t="shared" si="264"/>
        <v>0</v>
      </c>
      <c r="AC2372" s="60">
        <f t="shared" si="265"/>
        <v>0</v>
      </c>
    </row>
    <row r="2373" spans="1:29">
      <c r="A2373" s="83" t="str">
        <f t="shared" si="259"/>
        <v/>
      </c>
      <c r="B2373" s="83" t="str">
        <f t="shared" si="260"/>
        <v/>
      </c>
      <c r="U2373" s="83" t="str">
        <f t="shared" si="261"/>
        <v/>
      </c>
      <c r="V2373" s="83" t="str">
        <f t="shared" si="262"/>
        <v/>
      </c>
      <c r="AA2373" s="60">
        <f t="shared" si="263"/>
        <v>0</v>
      </c>
      <c r="AB2373" s="49">
        <f t="shared" si="264"/>
        <v>0</v>
      </c>
      <c r="AC2373" s="60">
        <f t="shared" si="265"/>
        <v>0</v>
      </c>
    </row>
    <row r="2374" spans="1:29">
      <c r="A2374" s="83" t="str">
        <f t="shared" si="259"/>
        <v/>
      </c>
      <c r="B2374" s="83" t="str">
        <f t="shared" si="260"/>
        <v/>
      </c>
      <c r="U2374" s="83" t="str">
        <f t="shared" si="261"/>
        <v/>
      </c>
      <c r="V2374" s="83" t="str">
        <f t="shared" si="262"/>
        <v/>
      </c>
      <c r="AA2374" s="60">
        <f t="shared" si="263"/>
        <v>0</v>
      </c>
      <c r="AB2374" s="49">
        <f t="shared" si="264"/>
        <v>0</v>
      </c>
      <c r="AC2374" s="60">
        <f t="shared" si="265"/>
        <v>0</v>
      </c>
    </row>
    <row r="2375" spans="1:29">
      <c r="A2375" s="83" t="str">
        <f t="shared" si="259"/>
        <v/>
      </c>
      <c r="B2375" s="83" t="str">
        <f t="shared" si="260"/>
        <v/>
      </c>
      <c r="U2375" s="83" t="str">
        <f t="shared" si="261"/>
        <v/>
      </c>
      <c r="V2375" s="83" t="str">
        <f t="shared" si="262"/>
        <v/>
      </c>
      <c r="AA2375" s="60">
        <f t="shared" si="263"/>
        <v>0</v>
      </c>
      <c r="AB2375" s="49">
        <f t="shared" si="264"/>
        <v>0</v>
      </c>
      <c r="AC2375" s="60">
        <f t="shared" si="265"/>
        <v>0</v>
      </c>
    </row>
    <row r="2376" spans="1:29">
      <c r="A2376" s="83" t="str">
        <f t="shared" si="259"/>
        <v/>
      </c>
      <c r="B2376" s="83" t="str">
        <f t="shared" si="260"/>
        <v/>
      </c>
      <c r="U2376" s="83" t="str">
        <f t="shared" si="261"/>
        <v/>
      </c>
      <c r="V2376" s="83" t="str">
        <f t="shared" si="262"/>
        <v/>
      </c>
      <c r="AA2376" s="60">
        <f t="shared" si="263"/>
        <v>0</v>
      </c>
      <c r="AB2376" s="49">
        <f t="shared" si="264"/>
        <v>0</v>
      </c>
      <c r="AC2376" s="60">
        <f t="shared" si="265"/>
        <v>0</v>
      </c>
    </row>
    <row r="2377" spans="1:29">
      <c r="A2377" s="83" t="str">
        <f t="shared" si="259"/>
        <v/>
      </c>
      <c r="B2377" s="83" t="str">
        <f t="shared" si="260"/>
        <v/>
      </c>
      <c r="U2377" s="83" t="str">
        <f t="shared" si="261"/>
        <v/>
      </c>
      <c r="V2377" s="83" t="str">
        <f t="shared" si="262"/>
        <v/>
      </c>
      <c r="AA2377" s="60">
        <f t="shared" si="263"/>
        <v>0</v>
      </c>
      <c r="AB2377" s="49">
        <f t="shared" si="264"/>
        <v>0</v>
      </c>
      <c r="AC2377" s="60">
        <f t="shared" si="265"/>
        <v>0</v>
      </c>
    </row>
    <row r="2378" spans="1:29">
      <c r="A2378" s="83" t="str">
        <f t="shared" si="259"/>
        <v/>
      </c>
      <c r="B2378" s="83" t="str">
        <f t="shared" si="260"/>
        <v/>
      </c>
      <c r="U2378" s="83" t="str">
        <f t="shared" si="261"/>
        <v/>
      </c>
      <c r="V2378" s="83" t="str">
        <f t="shared" si="262"/>
        <v/>
      </c>
      <c r="AA2378" s="60">
        <f t="shared" si="263"/>
        <v>0</v>
      </c>
      <c r="AB2378" s="49">
        <f t="shared" si="264"/>
        <v>0</v>
      </c>
      <c r="AC2378" s="60">
        <f t="shared" si="265"/>
        <v>0</v>
      </c>
    </row>
    <row r="2379" spans="1:29">
      <c r="A2379" s="83" t="str">
        <f t="shared" si="259"/>
        <v/>
      </c>
      <c r="B2379" s="83" t="str">
        <f t="shared" si="260"/>
        <v/>
      </c>
      <c r="U2379" s="83" t="str">
        <f t="shared" si="261"/>
        <v/>
      </c>
      <c r="V2379" s="83" t="str">
        <f t="shared" si="262"/>
        <v/>
      </c>
      <c r="AA2379" s="60">
        <f t="shared" si="263"/>
        <v>0</v>
      </c>
      <c r="AB2379" s="49">
        <f t="shared" si="264"/>
        <v>0</v>
      </c>
      <c r="AC2379" s="60">
        <f t="shared" si="265"/>
        <v>0</v>
      </c>
    </row>
    <row r="2380" spans="1:29">
      <c r="A2380" s="83" t="str">
        <f t="shared" si="259"/>
        <v/>
      </c>
      <c r="B2380" s="83" t="str">
        <f t="shared" si="260"/>
        <v/>
      </c>
      <c r="U2380" s="83" t="str">
        <f t="shared" si="261"/>
        <v/>
      </c>
      <c r="V2380" s="83" t="str">
        <f t="shared" si="262"/>
        <v/>
      </c>
      <c r="AA2380" s="60">
        <f t="shared" si="263"/>
        <v>0</v>
      </c>
      <c r="AB2380" s="49">
        <f t="shared" si="264"/>
        <v>0</v>
      </c>
      <c r="AC2380" s="60">
        <f t="shared" si="265"/>
        <v>0</v>
      </c>
    </row>
    <row r="2381" spans="1:29">
      <c r="A2381" s="83" t="str">
        <f t="shared" si="259"/>
        <v/>
      </c>
      <c r="B2381" s="83" t="str">
        <f t="shared" si="260"/>
        <v/>
      </c>
      <c r="U2381" s="83" t="str">
        <f t="shared" si="261"/>
        <v/>
      </c>
      <c r="V2381" s="83" t="str">
        <f t="shared" si="262"/>
        <v/>
      </c>
      <c r="AA2381" s="60">
        <f t="shared" si="263"/>
        <v>0</v>
      </c>
      <c r="AB2381" s="49">
        <f t="shared" si="264"/>
        <v>0</v>
      </c>
      <c r="AC2381" s="60">
        <f t="shared" si="265"/>
        <v>0</v>
      </c>
    </row>
    <row r="2382" spans="1:29">
      <c r="A2382" s="83" t="str">
        <f t="shared" si="259"/>
        <v/>
      </c>
      <c r="B2382" s="83" t="str">
        <f t="shared" si="260"/>
        <v/>
      </c>
      <c r="U2382" s="83" t="str">
        <f t="shared" si="261"/>
        <v/>
      </c>
      <c r="V2382" s="83" t="str">
        <f t="shared" si="262"/>
        <v/>
      </c>
      <c r="AA2382" s="60">
        <f t="shared" si="263"/>
        <v>0</v>
      </c>
      <c r="AB2382" s="49">
        <f t="shared" si="264"/>
        <v>0</v>
      </c>
      <c r="AC2382" s="60">
        <f t="shared" si="265"/>
        <v>0</v>
      </c>
    </row>
    <row r="2383" spans="1:29">
      <c r="A2383" s="83" t="str">
        <f t="shared" si="259"/>
        <v/>
      </c>
      <c r="B2383" s="83" t="str">
        <f t="shared" si="260"/>
        <v/>
      </c>
      <c r="U2383" s="83" t="str">
        <f t="shared" si="261"/>
        <v/>
      </c>
      <c r="V2383" s="83" t="str">
        <f t="shared" si="262"/>
        <v/>
      </c>
      <c r="AA2383" s="60">
        <f t="shared" si="263"/>
        <v>0</v>
      </c>
      <c r="AB2383" s="49">
        <f t="shared" si="264"/>
        <v>0</v>
      </c>
      <c r="AC2383" s="60">
        <f t="shared" si="265"/>
        <v>0</v>
      </c>
    </row>
    <row r="2384" spans="1:29">
      <c r="A2384" s="83" t="str">
        <f t="shared" si="259"/>
        <v/>
      </c>
      <c r="B2384" s="83" t="str">
        <f t="shared" si="260"/>
        <v/>
      </c>
      <c r="U2384" s="83" t="str">
        <f t="shared" si="261"/>
        <v/>
      </c>
      <c r="V2384" s="83" t="str">
        <f t="shared" si="262"/>
        <v/>
      </c>
      <c r="AA2384" s="60">
        <f t="shared" si="263"/>
        <v>0</v>
      </c>
      <c r="AB2384" s="49">
        <f t="shared" si="264"/>
        <v>0</v>
      </c>
      <c r="AC2384" s="60">
        <f t="shared" si="265"/>
        <v>0</v>
      </c>
    </row>
    <row r="2385" spans="1:29">
      <c r="A2385" s="83" t="str">
        <f t="shared" si="259"/>
        <v/>
      </c>
      <c r="B2385" s="83" t="str">
        <f t="shared" si="260"/>
        <v/>
      </c>
      <c r="U2385" s="83" t="str">
        <f t="shared" si="261"/>
        <v/>
      </c>
      <c r="V2385" s="83" t="str">
        <f t="shared" si="262"/>
        <v/>
      </c>
      <c r="AA2385" s="60">
        <f t="shared" si="263"/>
        <v>0</v>
      </c>
      <c r="AB2385" s="49">
        <f t="shared" si="264"/>
        <v>0</v>
      </c>
      <c r="AC2385" s="60">
        <f t="shared" si="265"/>
        <v>0</v>
      </c>
    </row>
    <row r="2386" spans="1:29">
      <c r="A2386" s="83" t="str">
        <f t="shared" si="259"/>
        <v/>
      </c>
      <c r="B2386" s="83" t="str">
        <f t="shared" si="260"/>
        <v/>
      </c>
      <c r="U2386" s="83" t="str">
        <f t="shared" si="261"/>
        <v/>
      </c>
      <c r="V2386" s="83" t="str">
        <f t="shared" si="262"/>
        <v/>
      </c>
      <c r="AA2386" s="60">
        <f t="shared" si="263"/>
        <v>0</v>
      </c>
      <c r="AB2386" s="49">
        <f t="shared" si="264"/>
        <v>0</v>
      </c>
      <c r="AC2386" s="60">
        <f t="shared" si="265"/>
        <v>0</v>
      </c>
    </row>
    <row r="2387" spans="1:29">
      <c r="A2387" s="83" t="str">
        <f t="shared" si="259"/>
        <v/>
      </c>
      <c r="B2387" s="83" t="str">
        <f t="shared" si="260"/>
        <v/>
      </c>
      <c r="U2387" s="83" t="str">
        <f t="shared" si="261"/>
        <v/>
      </c>
      <c r="V2387" s="83" t="str">
        <f t="shared" si="262"/>
        <v/>
      </c>
      <c r="AA2387" s="60">
        <f t="shared" si="263"/>
        <v>0</v>
      </c>
      <c r="AB2387" s="49">
        <f t="shared" si="264"/>
        <v>0</v>
      </c>
      <c r="AC2387" s="60">
        <f t="shared" si="265"/>
        <v>0</v>
      </c>
    </row>
    <row r="2388" spans="1:29">
      <c r="A2388" s="83" t="str">
        <f t="shared" si="259"/>
        <v/>
      </c>
      <c r="B2388" s="83" t="str">
        <f t="shared" si="260"/>
        <v/>
      </c>
      <c r="U2388" s="83" t="str">
        <f t="shared" si="261"/>
        <v/>
      </c>
      <c r="V2388" s="83" t="str">
        <f t="shared" si="262"/>
        <v/>
      </c>
      <c r="AA2388" s="60">
        <f t="shared" si="263"/>
        <v>0</v>
      </c>
      <c r="AB2388" s="49">
        <f t="shared" si="264"/>
        <v>0</v>
      </c>
      <c r="AC2388" s="60">
        <f t="shared" si="265"/>
        <v>0</v>
      </c>
    </row>
    <row r="2389" spans="1:29">
      <c r="A2389" s="83" t="str">
        <f t="shared" si="259"/>
        <v/>
      </c>
      <c r="B2389" s="83" t="str">
        <f t="shared" si="260"/>
        <v/>
      </c>
      <c r="U2389" s="83" t="str">
        <f t="shared" si="261"/>
        <v/>
      </c>
      <c r="V2389" s="83" t="str">
        <f t="shared" si="262"/>
        <v/>
      </c>
      <c r="AA2389" s="60">
        <f t="shared" si="263"/>
        <v>0</v>
      </c>
      <c r="AB2389" s="49">
        <f t="shared" si="264"/>
        <v>0</v>
      </c>
      <c r="AC2389" s="60">
        <f t="shared" si="265"/>
        <v>0</v>
      </c>
    </row>
    <row r="2390" spans="1:29">
      <c r="A2390" s="83" t="str">
        <f t="shared" si="259"/>
        <v/>
      </c>
      <c r="B2390" s="83" t="str">
        <f t="shared" si="260"/>
        <v/>
      </c>
      <c r="U2390" s="83" t="str">
        <f t="shared" si="261"/>
        <v/>
      </c>
      <c r="V2390" s="83" t="str">
        <f t="shared" si="262"/>
        <v/>
      </c>
      <c r="AA2390" s="60">
        <f t="shared" si="263"/>
        <v>0</v>
      </c>
      <c r="AB2390" s="49">
        <f t="shared" si="264"/>
        <v>0</v>
      </c>
      <c r="AC2390" s="60">
        <f t="shared" si="265"/>
        <v>0</v>
      </c>
    </row>
    <row r="2391" spans="1:29">
      <c r="A2391" s="83" t="str">
        <f t="shared" si="259"/>
        <v/>
      </c>
      <c r="B2391" s="83" t="str">
        <f t="shared" si="260"/>
        <v/>
      </c>
      <c r="U2391" s="83" t="str">
        <f t="shared" si="261"/>
        <v/>
      </c>
      <c r="V2391" s="83" t="str">
        <f t="shared" si="262"/>
        <v/>
      </c>
      <c r="AA2391" s="60">
        <f t="shared" si="263"/>
        <v>0</v>
      </c>
      <c r="AB2391" s="49">
        <f t="shared" si="264"/>
        <v>0</v>
      </c>
      <c r="AC2391" s="60">
        <f t="shared" si="265"/>
        <v>0</v>
      </c>
    </row>
    <row r="2392" spans="1:29">
      <c r="A2392" s="83" t="str">
        <f t="shared" si="259"/>
        <v/>
      </c>
      <c r="B2392" s="83" t="str">
        <f t="shared" si="260"/>
        <v/>
      </c>
      <c r="U2392" s="83" t="str">
        <f t="shared" si="261"/>
        <v/>
      </c>
      <c r="V2392" s="83" t="str">
        <f t="shared" si="262"/>
        <v/>
      </c>
      <c r="AA2392" s="60">
        <f t="shared" si="263"/>
        <v>0</v>
      </c>
      <c r="AB2392" s="49">
        <f t="shared" si="264"/>
        <v>0</v>
      </c>
      <c r="AC2392" s="60">
        <f t="shared" si="265"/>
        <v>0</v>
      </c>
    </row>
    <row r="2393" spans="1:29">
      <c r="A2393" s="83" t="str">
        <f t="shared" si="259"/>
        <v/>
      </c>
      <c r="B2393" s="83" t="str">
        <f t="shared" si="260"/>
        <v/>
      </c>
      <c r="U2393" s="83" t="str">
        <f t="shared" si="261"/>
        <v/>
      </c>
      <c r="V2393" s="83" t="str">
        <f t="shared" si="262"/>
        <v/>
      </c>
      <c r="AA2393" s="60">
        <f t="shared" si="263"/>
        <v>0</v>
      </c>
      <c r="AB2393" s="49">
        <f t="shared" si="264"/>
        <v>0</v>
      </c>
      <c r="AC2393" s="60">
        <f t="shared" si="265"/>
        <v>0</v>
      </c>
    </row>
    <row r="2394" spans="1:29">
      <c r="A2394" s="83" t="str">
        <f t="shared" si="259"/>
        <v/>
      </c>
      <c r="B2394" s="83" t="str">
        <f t="shared" si="260"/>
        <v/>
      </c>
      <c r="U2394" s="83" t="str">
        <f t="shared" si="261"/>
        <v/>
      </c>
      <c r="V2394" s="83" t="str">
        <f t="shared" si="262"/>
        <v/>
      </c>
      <c r="AA2394" s="60">
        <f t="shared" si="263"/>
        <v>0</v>
      </c>
      <c r="AB2394" s="49">
        <f t="shared" si="264"/>
        <v>0</v>
      </c>
      <c r="AC2394" s="60">
        <f t="shared" si="265"/>
        <v>0</v>
      </c>
    </row>
    <row r="2395" spans="1:29">
      <c r="A2395" s="83" t="str">
        <f t="shared" si="259"/>
        <v/>
      </c>
      <c r="B2395" s="83" t="str">
        <f t="shared" si="260"/>
        <v/>
      </c>
      <c r="U2395" s="83" t="str">
        <f t="shared" si="261"/>
        <v/>
      </c>
      <c r="V2395" s="83" t="str">
        <f t="shared" si="262"/>
        <v/>
      </c>
      <c r="AA2395" s="60">
        <f t="shared" si="263"/>
        <v>0</v>
      </c>
      <c r="AB2395" s="49">
        <f t="shared" si="264"/>
        <v>0</v>
      </c>
      <c r="AC2395" s="60">
        <f t="shared" si="265"/>
        <v>0</v>
      </c>
    </row>
    <row r="2396" spans="1:29">
      <c r="A2396" s="83" t="str">
        <f t="shared" si="259"/>
        <v/>
      </c>
      <c r="B2396" s="83" t="str">
        <f t="shared" si="260"/>
        <v/>
      </c>
      <c r="U2396" s="83" t="str">
        <f t="shared" si="261"/>
        <v/>
      </c>
      <c r="V2396" s="83" t="str">
        <f t="shared" si="262"/>
        <v/>
      </c>
      <c r="AA2396" s="60">
        <f t="shared" si="263"/>
        <v>0</v>
      </c>
      <c r="AB2396" s="49">
        <f t="shared" si="264"/>
        <v>0</v>
      </c>
      <c r="AC2396" s="60">
        <f t="shared" si="265"/>
        <v>0</v>
      </c>
    </row>
    <row r="2397" spans="1:29">
      <c r="A2397" s="83" t="str">
        <f t="shared" si="259"/>
        <v/>
      </c>
      <c r="B2397" s="83" t="str">
        <f t="shared" si="260"/>
        <v/>
      </c>
      <c r="U2397" s="83" t="str">
        <f t="shared" si="261"/>
        <v/>
      </c>
      <c r="V2397" s="83" t="str">
        <f t="shared" si="262"/>
        <v/>
      </c>
      <c r="AA2397" s="60">
        <f t="shared" si="263"/>
        <v>0</v>
      </c>
      <c r="AB2397" s="49">
        <f t="shared" si="264"/>
        <v>0</v>
      </c>
      <c r="AC2397" s="60">
        <f t="shared" si="265"/>
        <v>0</v>
      </c>
    </row>
    <row r="2398" spans="1:29">
      <c r="A2398" s="83" t="str">
        <f t="shared" si="259"/>
        <v/>
      </c>
      <c r="B2398" s="83" t="str">
        <f t="shared" si="260"/>
        <v/>
      </c>
      <c r="U2398" s="83" t="str">
        <f t="shared" si="261"/>
        <v/>
      </c>
      <c r="V2398" s="83" t="str">
        <f t="shared" si="262"/>
        <v/>
      </c>
      <c r="AA2398" s="60">
        <f t="shared" si="263"/>
        <v>0</v>
      </c>
      <c r="AB2398" s="49">
        <f t="shared" si="264"/>
        <v>0</v>
      </c>
      <c r="AC2398" s="60">
        <f t="shared" si="265"/>
        <v>0</v>
      </c>
    </row>
    <row r="2399" spans="1:29">
      <c r="A2399" s="83" t="str">
        <f t="shared" si="259"/>
        <v/>
      </c>
      <c r="B2399" s="83" t="str">
        <f t="shared" si="260"/>
        <v/>
      </c>
      <c r="U2399" s="83" t="str">
        <f t="shared" si="261"/>
        <v/>
      </c>
      <c r="V2399" s="83" t="str">
        <f t="shared" si="262"/>
        <v/>
      </c>
      <c r="AA2399" s="60">
        <f t="shared" si="263"/>
        <v>0</v>
      </c>
      <c r="AB2399" s="49">
        <f t="shared" si="264"/>
        <v>0</v>
      </c>
      <c r="AC2399" s="60">
        <f t="shared" si="265"/>
        <v>0</v>
      </c>
    </row>
    <row r="2400" spans="1:29">
      <c r="A2400" s="83" t="str">
        <f t="shared" si="259"/>
        <v/>
      </c>
      <c r="B2400" s="83" t="str">
        <f t="shared" si="260"/>
        <v/>
      </c>
      <c r="U2400" s="83" t="str">
        <f t="shared" si="261"/>
        <v/>
      </c>
      <c r="V2400" s="83" t="str">
        <f t="shared" si="262"/>
        <v/>
      </c>
      <c r="AA2400" s="60">
        <f t="shared" si="263"/>
        <v>0</v>
      </c>
      <c r="AB2400" s="49">
        <f t="shared" si="264"/>
        <v>0</v>
      </c>
      <c r="AC2400" s="60">
        <f t="shared" si="265"/>
        <v>0</v>
      </c>
    </row>
    <row r="2401" spans="1:29">
      <c r="A2401" s="83" t="str">
        <f t="shared" si="259"/>
        <v/>
      </c>
      <c r="B2401" s="83" t="str">
        <f t="shared" si="260"/>
        <v/>
      </c>
      <c r="U2401" s="83" t="str">
        <f t="shared" si="261"/>
        <v/>
      </c>
      <c r="V2401" s="83" t="str">
        <f t="shared" si="262"/>
        <v/>
      </c>
      <c r="AA2401" s="60">
        <f t="shared" si="263"/>
        <v>0</v>
      </c>
      <c r="AB2401" s="49">
        <f t="shared" si="264"/>
        <v>0</v>
      </c>
      <c r="AC2401" s="60">
        <f t="shared" si="265"/>
        <v>0</v>
      </c>
    </row>
    <row r="2402" spans="1:29">
      <c r="A2402" s="83" t="str">
        <f t="shared" si="259"/>
        <v/>
      </c>
      <c r="B2402" s="83" t="str">
        <f t="shared" si="260"/>
        <v/>
      </c>
      <c r="U2402" s="83" t="str">
        <f t="shared" si="261"/>
        <v/>
      </c>
      <c r="V2402" s="83" t="str">
        <f t="shared" si="262"/>
        <v/>
      </c>
      <c r="AA2402" s="60">
        <f t="shared" si="263"/>
        <v>0</v>
      </c>
      <c r="AB2402" s="49">
        <f t="shared" si="264"/>
        <v>0</v>
      </c>
      <c r="AC2402" s="60">
        <f t="shared" si="265"/>
        <v>0</v>
      </c>
    </row>
    <row r="2403" spans="1:29">
      <c r="A2403" s="83" t="str">
        <f t="shared" si="259"/>
        <v/>
      </c>
      <c r="B2403" s="83" t="str">
        <f t="shared" si="260"/>
        <v/>
      </c>
      <c r="U2403" s="83" t="str">
        <f t="shared" si="261"/>
        <v/>
      </c>
      <c r="V2403" s="83" t="str">
        <f t="shared" si="262"/>
        <v/>
      </c>
      <c r="AA2403" s="60">
        <f t="shared" si="263"/>
        <v>0</v>
      </c>
      <c r="AB2403" s="49">
        <f t="shared" si="264"/>
        <v>0</v>
      </c>
      <c r="AC2403" s="60">
        <f t="shared" si="265"/>
        <v>0</v>
      </c>
    </row>
    <row r="2404" spans="1:29">
      <c r="A2404" s="83" t="str">
        <f t="shared" si="259"/>
        <v/>
      </c>
      <c r="B2404" s="83" t="str">
        <f t="shared" si="260"/>
        <v/>
      </c>
      <c r="U2404" s="83" t="str">
        <f t="shared" si="261"/>
        <v/>
      </c>
      <c r="V2404" s="83" t="str">
        <f t="shared" si="262"/>
        <v/>
      </c>
      <c r="AA2404" s="60">
        <f t="shared" si="263"/>
        <v>0</v>
      </c>
      <c r="AB2404" s="49">
        <f t="shared" si="264"/>
        <v>0</v>
      </c>
      <c r="AC2404" s="60">
        <f t="shared" si="265"/>
        <v>0</v>
      </c>
    </row>
    <row r="2405" spans="1:29">
      <c r="A2405" s="83" t="str">
        <f t="shared" si="259"/>
        <v/>
      </c>
      <c r="B2405" s="83" t="str">
        <f t="shared" si="260"/>
        <v/>
      </c>
      <c r="U2405" s="83" t="str">
        <f t="shared" si="261"/>
        <v/>
      </c>
      <c r="V2405" s="83" t="str">
        <f t="shared" si="262"/>
        <v/>
      </c>
      <c r="AA2405" s="60">
        <f t="shared" si="263"/>
        <v>0</v>
      </c>
      <c r="AB2405" s="49">
        <f t="shared" si="264"/>
        <v>0</v>
      </c>
      <c r="AC2405" s="60">
        <f t="shared" si="265"/>
        <v>0</v>
      </c>
    </row>
    <row r="2406" spans="1:29">
      <c r="A2406" s="83" t="str">
        <f t="shared" si="259"/>
        <v/>
      </c>
      <c r="B2406" s="83" t="str">
        <f t="shared" si="260"/>
        <v/>
      </c>
      <c r="U2406" s="83" t="str">
        <f t="shared" si="261"/>
        <v/>
      </c>
      <c r="V2406" s="83" t="str">
        <f t="shared" si="262"/>
        <v/>
      </c>
      <c r="AA2406" s="60">
        <f t="shared" si="263"/>
        <v>0</v>
      </c>
      <c r="AB2406" s="49">
        <f t="shared" si="264"/>
        <v>0</v>
      </c>
      <c r="AC2406" s="60">
        <f t="shared" si="265"/>
        <v>0</v>
      </c>
    </row>
    <row r="2407" spans="1:29">
      <c r="A2407" s="83" t="str">
        <f t="shared" si="259"/>
        <v/>
      </c>
      <c r="B2407" s="83" t="str">
        <f t="shared" si="260"/>
        <v/>
      </c>
      <c r="U2407" s="83" t="str">
        <f t="shared" si="261"/>
        <v/>
      </c>
      <c r="V2407" s="83" t="str">
        <f t="shared" si="262"/>
        <v/>
      </c>
      <c r="AA2407" s="60">
        <f t="shared" si="263"/>
        <v>0</v>
      </c>
      <c r="AB2407" s="49">
        <f t="shared" si="264"/>
        <v>0</v>
      </c>
      <c r="AC2407" s="60">
        <f t="shared" si="265"/>
        <v>0</v>
      </c>
    </row>
    <row r="2408" spans="1:29">
      <c r="A2408" s="83" t="str">
        <f t="shared" si="259"/>
        <v/>
      </c>
      <c r="B2408" s="83" t="str">
        <f t="shared" si="260"/>
        <v/>
      </c>
      <c r="U2408" s="83" t="str">
        <f t="shared" si="261"/>
        <v/>
      </c>
      <c r="V2408" s="83" t="str">
        <f t="shared" si="262"/>
        <v/>
      </c>
      <c r="AA2408" s="60">
        <f t="shared" si="263"/>
        <v>0</v>
      </c>
      <c r="AB2408" s="49">
        <f t="shared" si="264"/>
        <v>0</v>
      </c>
      <c r="AC2408" s="60">
        <f t="shared" si="265"/>
        <v>0</v>
      </c>
    </row>
    <row r="2409" spans="1:29">
      <c r="A2409" s="83" t="str">
        <f t="shared" si="259"/>
        <v/>
      </c>
      <c r="B2409" s="83" t="str">
        <f t="shared" si="260"/>
        <v/>
      </c>
      <c r="U2409" s="83" t="str">
        <f t="shared" si="261"/>
        <v/>
      </c>
      <c r="V2409" s="83" t="str">
        <f t="shared" si="262"/>
        <v/>
      </c>
      <c r="AA2409" s="60">
        <f t="shared" si="263"/>
        <v>0</v>
      </c>
      <c r="AB2409" s="49">
        <f t="shared" si="264"/>
        <v>0</v>
      </c>
      <c r="AC2409" s="60">
        <f t="shared" si="265"/>
        <v>0</v>
      </c>
    </row>
    <row r="2410" spans="1:29">
      <c r="A2410" s="83" t="str">
        <f t="shared" si="259"/>
        <v/>
      </c>
      <c r="B2410" s="83" t="str">
        <f t="shared" si="260"/>
        <v/>
      </c>
      <c r="U2410" s="83" t="str">
        <f t="shared" si="261"/>
        <v/>
      </c>
      <c r="V2410" s="83" t="str">
        <f t="shared" si="262"/>
        <v/>
      </c>
      <c r="AA2410" s="60">
        <f t="shared" si="263"/>
        <v>0</v>
      </c>
      <c r="AB2410" s="49">
        <f t="shared" si="264"/>
        <v>0</v>
      </c>
      <c r="AC2410" s="60">
        <f t="shared" si="265"/>
        <v>0</v>
      </c>
    </row>
    <row r="2411" spans="1:29">
      <c r="A2411" s="83" t="str">
        <f t="shared" si="259"/>
        <v/>
      </c>
      <c r="B2411" s="83" t="str">
        <f t="shared" si="260"/>
        <v/>
      </c>
      <c r="U2411" s="83" t="str">
        <f t="shared" si="261"/>
        <v/>
      </c>
      <c r="V2411" s="83" t="str">
        <f t="shared" si="262"/>
        <v/>
      </c>
      <c r="AA2411" s="60">
        <f t="shared" si="263"/>
        <v>0</v>
      </c>
      <c r="AB2411" s="49">
        <f t="shared" si="264"/>
        <v>0</v>
      </c>
      <c r="AC2411" s="60">
        <f t="shared" si="265"/>
        <v>0</v>
      </c>
    </row>
    <row r="2412" spans="1:29">
      <c r="A2412" s="83" t="str">
        <f t="shared" si="259"/>
        <v/>
      </c>
      <c r="B2412" s="83" t="str">
        <f t="shared" si="260"/>
        <v/>
      </c>
      <c r="U2412" s="83" t="str">
        <f t="shared" si="261"/>
        <v/>
      </c>
      <c r="V2412" s="83" t="str">
        <f t="shared" si="262"/>
        <v/>
      </c>
      <c r="AA2412" s="60">
        <f t="shared" si="263"/>
        <v>0</v>
      </c>
      <c r="AB2412" s="49">
        <f t="shared" si="264"/>
        <v>0</v>
      </c>
      <c r="AC2412" s="60">
        <f t="shared" si="265"/>
        <v>0</v>
      </c>
    </row>
    <row r="2413" spans="1:29">
      <c r="A2413" s="83" t="str">
        <f t="shared" si="259"/>
        <v/>
      </c>
      <c r="B2413" s="83" t="str">
        <f t="shared" si="260"/>
        <v/>
      </c>
      <c r="U2413" s="83" t="str">
        <f t="shared" si="261"/>
        <v/>
      </c>
      <c r="V2413" s="83" t="str">
        <f t="shared" si="262"/>
        <v/>
      </c>
      <c r="AA2413" s="60">
        <f t="shared" si="263"/>
        <v>0</v>
      </c>
      <c r="AB2413" s="49">
        <f t="shared" si="264"/>
        <v>0</v>
      </c>
      <c r="AC2413" s="60">
        <f t="shared" si="265"/>
        <v>0</v>
      </c>
    </row>
    <row r="2414" spans="1:29">
      <c r="A2414" s="83" t="str">
        <f t="shared" si="259"/>
        <v/>
      </c>
      <c r="B2414" s="83" t="str">
        <f t="shared" si="260"/>
        <v/>
      </c>
      <c r="U2414" s="83" t="str">
        <f t="shared" si="261"/>
        <v/>
      </c>
      <c r="V2414" s="83" t="str">
        <f t="shared" si="262"/>
        <v/>
      </c>
      <c r="AA2414" s="60">
        <f t="shared" si="263"/>
        <v>0</v>
      </c>
      <c r="AB2414" s="49">
        <f t="shared" si="264"/>
        <v>0</v>
      </c>
      <c r="AC2414" s="60">
        <f t="shared" si="265"/>
        <v>0</v>
      </c>
    </row>
    <row r="2415" spans="1:29">
      <c r="A2415" s="83" t="str">
        <f t="shared" si="259"/>
        <v/>
      </c>
      <c r="B2415" s="83" t="str">
        <f t="shared" si="260"/>
        <v/>
      </c>
      <c r="U2415" s="83" t="str">
        <f t="shared" si="261"/>
        <v/>
      </c>
      <c r="V2415" s="83" t="str">
        <f t="shared" si="262"/>
        <v/>
      </c>
      <c r="AA2415" s="60">
        <f t="shared" si="263"/>
        <v>0</v>
      </c>
      <c r="AB2415" s="49">
        <f t="shared" si="264"/>
        <v>0</v>
      </c>
      <c r="AC2415" s="60">
        <f t="shared" si="265"/>
        <v>0</v>
      </c>
    </row>
    <row r="2416" spans="1:29">
      <c r="A2416" s="83" t="str">
        <f t="shared" si="259"/>
        <v/>
      </c>
      <c r="B2416" s="83" t="str">
        <f t="shared" si="260"/>
        <v/>
      </c>
      <c r="U2416" s="83" t="str">
        <f t="shared" si="261"/>
        <v/>
      </c>
      <c r="V2416" s="83" t="str">
        <f t="shared" si="262"/>
        <v/>
      </c>
      <c r="AA2416" s="60">
        <f t="shared" si="263"/>
        <v>0</v>
      </c>
      <c r="AB2416" s="49">
        <f t="shared" si="264"/>
        <v>0</v>
      </c>
      <c r="AC2416" s="60">
        <f t="shared" si="265"/>
        <v>0</v>
      </c>
    </row>
    <row r="2417" spans="1:29">
      <c r="A2417" s="83" t="str">
        <f t="shared" si="259"/>
        <v/>
      </c>
      <c r="B2417" s="83" t="str">
        <f t="shared" si="260"/>
        <v/>
      </c>
      <c r="U2417" s="83" t="str">
        <f t="shared" si="261"/>
        <v/>
      </c>
      <c r="V2417" s="83" t="str">
        <f t="shared" si="262"/>
        <v/>
      </c>
      <c r="AA2417" s="60">
        <f t="shared" si="263"/>
        <v>0</v>
      </c>
      <c r="AB2417" s="49">
        <f t="shared" si="264"/>
        <v>0</v>
      </c>
      <c r="AC2417" s="60">
        <f t="shared" si="265"/>
        <v>0</v>
      </c>
    </row>
    <row r="2418" spans="1:29">
      <c r="A2418" s="83" t="str">
        <f t="shared" si="259"/>
        <v/>
      </c>
      <c r="B2418" s="83" t="str">
        <f t="shared" si="260"/>
        <v/>
      </c>
      <c r="U2418" s="83" t="str">
        <f t="shared" si="261"/>
        <v/>
      </c>
      <c r="V2418" s="83" t="str">
        <f t="shared" si="262"/>
        <v/>
      </c>
      <c r="AA2418" s="60">
        <f t="shared" si="263"/>
        <v>0</v>
      </c>
      <c r="AB2418" s="49">
        <f t="shared" si="264"/>
        <v>0</v>
      </c>
      <c r="AC2418" s="60">
        <f t="shared" si="265"/>
        <v>0</v>
      </c>
    </row>
    <row r="2419" spans="1:29">
      <c r="A2419" s="83" t="str">
        <f t="shared" si="259"/>
        <v/>
      </c>
      <c r="B2419" s="83" t="str">
        <f t="shared" si="260"/>
        <v/>
      </c>
      <c r="U2419" s="83" t="str">
        <f t="shared" si="261"/>
        <v/>
      </c>
      <c r="V2419" s="83" t="str">
        <f t="shared" si="262"/>
        <v/>
      </c>
      <c r="AA2419" s="60">
        <f t="shared" si="263"/>
        <v>0</v>
      </c>
      <c r="AB2419" s="49">
        <f t="shared" si="264"/>
        <v>0</v>
      </c>
      <c r="AC2419" s="60">
        <f t="shared" si="265"/>
        <v>0</v>
      </c>
    </row>
    <row r="2420" spans="1:29">
      <c r="A2420" s="83" t="str">
        <f t="shared" si="259"/>
        <v/>
      </c>
      <c r="B2420" s="83" t="str">
        <f t="shared" si="260"/>
        <v/>
      </c>
      <c r="U2420" s="83" t="str">
        <f t="shared" si="261"/>
        <v/>
      </c>
      <c r="V2420" s="83" t="str">
        <f t="shared" si="262"/>
        <v/>
      </c>
      <c r="AA2420" s="60">
        <f t="shared" si="263"/>
        <v>0</v>
      </c>
      <c r="AB2420" s="49">
        <f t="shared" si="264"/>
        <v>0</v>
      </c>
      <c r="AC2420" s="60">
        <f t="shared" si="265"/>
        <v>0</v>
      </c>
    </row>
    <row r="2421" spans="1:29">
      <c r="A2421" s="83" t="str">
        <f t="shared" si="259"/>
        <v/>
      </c>
      <c r="B2421" s="83" t="str">
        <f t="shared" si="260"/>
        <v/>
      </c>
      <c r="U2421" s="83" t="str">
        <f t="shared" si="261"/>
        <v/>
      </c>
      <c r="V2421" s="83" t="str">
        <f t="shared" si="262"/>
        <v/>
      </c>
      <c r="AA2421" s="60">
        <f t="shared" si="263"/>
        <v>0</v>
      </c>
      <c r="AB2421" s="49">
        <f t="shared" si="264"/>
        <v>0</v>
      </c>
      <c r="AC2421" s="60">
        <f t="shared" si="265"/>
        <v>0</v>
      </c>
    </row>
    <row r="2422" spans="1:29">
      <c r="A2422" s="83" t="str">
        <f t="shared" si="259"/>
        <v/>
      </c>
      <c r="B2422" s="83" t="str">
        <f t="shared" si="260"/>
        <v/>
      </c>
      <c r="U2422" s="83" t="str">
        <f t="shared" si="261"/>
        <v/>
      </c>
      <c r="V2422" s="83" t="str">
        <f t="shared" si="262"/>
        <v/>
      </c>
      <c r="AA2422" s="60">
        <f t="shared" si="263"/>
        <v>0</v>
      </c>
      <c r="AB2422" s="49">
        <f t="shared" si="264"/>
        <v>0</v>
      </c>
      <c r="AC2422" s="60">
        <f t="shared" si="265"/>
        <v>0</v>
      </c>
    </row>
    <row r="2423" spans="1:29">
      <c r="A2423" s="83" t="str">
        <f t="shared" si="259"/>
        <v/>
      </c>
      <c r="B2423" s="83" t="str">
        <f t="shared" si="260"/>
        <v/>
      </c>
      <c r="U2423" s="83" t="str">
        <f t="shared" si="261"/>
        <v/>
      </c>
      <c r="V2423" s="83" t="str">
        <f t="shared" si="262"/>
        <v/>
      </c>
      <c r="AA2423" s="60">
        <f t="shared" si="263"/>
        <v>0</v>
      </c>
      <c r="AB2423" s="49">
        <f t="shared" si="264"/>
        <v>0</v>
      </c>
      <c r="AC2423" s="60">
        <f t="shared" si="265"/>
        <v>0</v>
      </c>
    </row>
    <row r="2424" spans="1:29">
      <c r="A2424" s="83" t="str">
        <f t="shared" si="259"/>
        <v/>
      </c>
      <c r="B2424" s="83" t="str">
        <f t="shared" si="260"/>
        <v/>
      </c>
      <c r="U2424" s="83" t="str">
        <f t="shared" si="261"/>
        <v/>
      </c>
      <c r="V2424" s="83" t="str">
        <f t="shared" si="262"/>
        <v/>
      </c>
      <c r="AA2424" s="60">
        <f t="shared" si="263"/>
        <v>0</v>
      </c>
      <c r="AB2424" s="49">
        <f t="shared" si="264"/>
        <v>0</v>
      </c>
      <c r="AC2424" s="60">
        <f t="shared" si="265"/>
        <v>0</v>
      </c>
    </row>
    <row r="2425" spans="1:29">
      <c r="A2425" s="83" t="str">
        <f t="shared" si="259"/>
        <v/>
      </c>
      <c r="B2425" s="83" t="str">
        <f t="shared" si="260"/>
        <v/>
      </c>
      <c r="U2425" s="83" t="str">
        <f t="shared" si="261"/>
        <v/>
      </c>
      <c r="V2425" s="83" t="str">
        <f t="shared" si="262"/>
        <v/>
      </c>
      <c r="AA2425" s="60">
        <f t="shared" si="263"/>
        <v>0</v>
      </c>
      <c r="AB2425" s="49">
        <f t="shared" si="264"/>
        <v>0</v>
      </c>
      <c r="AC2425" s="60">
        <f t="shared" si="265"/>
        <v>0</v>
      </c>
    </row>
    <row r="2426" spans="1:29">
      <c r="A2426" s="83" t="str">
        <f t="shared" si="259"/>
        <v/>
      </c>
      <c r="B2426" s="83" t="str">
        <f t="shared" si="260"/>
        <v/>
      </c>
      <c r="U2426" s="83" t="str">
        <f t="shared" si="261"/>
        <v/>
      </c>
      <c r="V2426" s="83" t="str">
        <f t="shared" si="262"/>
        <v/>
      </c>
      <c r="AA2426" s="60">
        <f t="shared" si="263"/>
        <v>0</v>
      </c>
      <c r="AB2426" s="49">
        <f t="shared" si="264"/>
        <v>0</v>
      </c>
      <c r="AC2426" s="60">
        <f t="shared" si="265"/>
        <v>0</v>
      </c>
    </row>
    <row r="2427" spans="1:29">
      <c r="A2427" s="83" t="str">
        <f t="shared" si="259"/>
        <v/>
      </c>
      <c r="B2427" s="83" t="str">
        <f t="shared" si="260"/>
        <v/>
      </c>
      <c r="U2427" s="83" t="str">
        <f t="shared" si="261"/>
        <v/>
      </c>
      <c r="V2427" s="83" t="str">
        <f t="shared" si="262"/>
        <v/>
      </c>
      <c r="AA2427" s="60">
        <f t="shared" si="263"/>
        <v>0</v>
      </c>
      <c r="AB2427" s="49">
        <f t="shared" si="264"/>
        <v>0</v>
      </c>
      <c r="AC2427" s="60">
        <f t="shared" si="265"/>
        <v>0</v>
      </c>
    </row>
    <row r="2428" spans="1:29">
      <c r="A2428" s="83" t="str">
        <f t="shared" si="259"/>
        <v/>
      </c>
      <c r="B2428" s="83" t="str">
        <f t="shared" si="260"/>
        <v/>
      </c>
      <c r="U2428" s="83" t="str">
        <f t="shared" si="261"/>
        <v/>
      </c>
      <c r="V2428" s="83" t="str">
        <f t="shared" si="262"/>
        <v/>
      </c>
      <c r="AA2428" s="60">
        <f t="shared" si="263"/>
        <v>0</v>
      </c>
      <c r="AB2428" s="49">
        <f t="shared" si="264"/>
        <v>0</v>
      </c>
      <c r="AC2428" s="60">
        <f t="shared" si="265"/>
        <v>0</v>
      </c>
    </row>
    <row r="2429" spans="1:29">
      <c r="A2429" s="83" t="str">
        <f t="shared" si="259"/>
        <v/>
      </c>
      <c r="B2429" s="83" t="str">
        <f t="shared" si="260"/>
        <v/>
      </c>
      <c r="U2429" s="83" t="str">
        <f t="shared" si="261"/>
        <v/>
      </c>
      <c r="V2429" s="83" t="str">
        <f t="shared" si="262"/>
        <v/>
      </c>
      <c r="AA2429" s="60">
        <f t="shared" si="263"/>
        <v>0</v>
      </c>
      <c r="AB2429" s="49">
        <f t="shared" si="264"/>
        <v>0</v>
      </c>
      <c r="AC2429" s="60">
        <f t="shared" si="265"/>
        <v>0</v>
      </c>
    </row>
    <row r="2430" spans="1:29">
      <c r="A2430" s="83" t="str">
        <f t="shared" si="259"/>
        <v/>
      </c>
      <c r="B2430" s="83" t="str">
        <f t="shared" si="260"/>
        <v/>
      </c>
      <c r="U2430" s="83" t="str">
        <f t="shared" si="261"/>
        <v/>
      </c>
      <c r="V2430" s="83" t="str">
        <f t="shared" si="262"/>
        <v/>
      </c>
      <c r="AA2430" s="60">
        <f t="shared" si="263"/>
        <v>0</v>
      </c>
      <c r="AB2430" s="49">
        <f t="shared" si="264"/>
        <v>0</v>
      </c>
      <c r="AC2430" s="60">
        <f t="shared" si="265"/>
        <v>0</v>
      </c>
    </row>
    <row r="2431" spans="1:29">
      <c r="A2431" s="83" t="str">
        <f t="shared" si="259"/>
        <v/>
      </c>
      <c r="B2431" s="83" t="str">
        <f t="shared" si="260"/>
        <v/>
      </c>
      <c r="U2431" s="83" t="str">
        <f t="shared" si="261"/>
        <v/>
      </c>
      <c r="V2431" s="83" t="str">
        <f t="shared" si="262"/>
        <v/>
      </c>
      <c r="AA2431" s="60">
        <f t="shared" si="263"/>
        <v>0</v>
      </c>
      <c r="AB2431" s="49">
        <f t="shared" si="264"/>
        <v>0</v>
      </c>
      <c r="AC2431" s="60">
        <f t="shared" si="265"/>
        <v>0</v>
      </c>
    </row>
    <row r="2432" spans="1:29">
      <c r="A2432" s="83" t="str">
        <f t="shared" si="259"/>
        <v/>
      </c>
      <c r="B2432" s="83" t="str">
        <f t="shared" si="260"/>
        <v/>
      </c>
      <c r="U2432" s="83" t="str">
        <f t="shared" si="261"/>
        <v/>
      </c>
      <c r="V2432" s="83" t="str">
        <f t="shared" si="262"/>
        <v/>
      </c>
      <c r="AA2432" s="60">
        <f t="shared" si="263"/>
        <v>0</v>
      </c>
      <c r="AB2432" s="49">
        <f t="shared" si="264"/>
        <v>0</v>
      </c>
      <c r="AC2432" s="60">
        <f t="shared" si="265"/>
        <v>0</v>
      </c>
    </row>
    <row r="2433" spans="1:29">
      <c r="A2433" s="83" t="str">
        <f t="shared" si="259"/>
        <v/>
      </c>
      <c r="B2433" s="83" t="str">
        <f t="shared" si="260"/>
        <v/>
      </c>
      <c r="U2433" s="83" t="str">
        <f t="shared" si="261"/>
        <v/>
      </c>
      <c r="V2433" s="83" t="str">
        <f t="shared" si="262"/>
        <v/>
      </c>
      <c r="AA2433" s="60">
        <f t="shared" si="263"/>
        <v>0</v>
      </c>
      <c r="AB2433" s="49">
        <f t="shared" si="264"/>
        <v>0</v>
      </c>
      <c r="AC2433" s="60">
        <f t="shared" si="265"/>
        <v>0</v>
      </c>
    </row>
    <row r="2434" spans="1:29">
      <c r="A2434" s="83" t="str">
        <f t="shared" si="259"/>
        <v/>
      </c>
      <c r="B2434" s="83" t="str">
        <f t="shared" si="260"/>
        <v/>
      </c>
      <c r="U2434" s="83" t="str">
        <f t="shared" si="261"/>
        <v/>
      </c>
      <c r="V2434" s="83" t="str">
        <f t="shared" si="262"/>
        <v/>
      </c>
      <c r="AA2434" s="60">
        <f t="shared" si="263"/>
        <v>0</v>
      </c>
      <c r="AB2434" s="49">
        <f t="shared" si="264"/>
        <v>0</v>
      </c>
      <c r="AC2434" s="60">
        <f t="shared" si="265"/>
        <v>0</v>
      </c>
    </row>
    <row r="2435" spans="1:29">
      <c r="A2435" s="83" t="str">
        <f t="shared" ref="A2435:A2498" si="266">IF(G2435&amp;Q2435&lt;&gt;"",U2435&amp;Q2435,"")</f>
        <v/>
      </c>
      <c r="B2435" s="83" t="str">
        <f t="shared" ref="B2435:B2498" si="267">IF(C2435&lt;&gt;"",LEFT(C2435,9),"")</f>
        <v/>
      </c>
      <c r="U2435" s="83" t="str">
        <f t="shared" ref="U2435:U2498" si="268">IF(G2435&lt;&gt;"",IF(StyleSpaceSplit,IFERROR(IF(FIND(" ",G2435)&gt;=1,MID(G2435,1,FIND(" ",G2435)-1),G2435),G2435),G2435),"")</f>
        <v/>
      </c>
      <c r="V2435" s="83" t="str">
        <f t="shared" ref="V2435:V2498" si="269">IF(A2435&lt;&gt;"",IFERROR(IF(FIND(" ",G2435)&gt;=1,MID(G2435,FIND(" ",G2435)+1,LEN(G2435)),""),G2435),"")</f>
        <v/>
      </c>
      <c r="AA2435" s="60">
        <f t="shared" ref="AA2435:AA2498" si="270">IFERROR(VALUE(MID($C2435,1,2)),0)</f>
        <v>0</v>
      </c>
      <c r="AB2435" s="49">
        <f t="shared" ref="AB2435:AB2498" si="271">IFERROR(VALUE(MID($C2435,4,3)),0)</f>
        <v>0</v>
      </c>
      <c r="AC2435" s="60">
        <f t="shared" ref="AC2435:AC2498" si="272">VALUE(RIGHT("00"&amp;AA2435,2)&amp;RIGHT("000"&amp;AB2435,3))</f>
        <v>0</v>
      </c>
    </row>
    <row r="2436" spans="1:29">
      <c r="A2436" s="83" t="str">
        <f t="shared" si="266"/>
        <v/>
      </c>
      <c r="B2436" s="83" t="str">
        <f t="shared" si="267"/>
        <v/>
      </c>
      <c r="U2436" s="83" t="str">
        <f t="shared" si="268"/>
        <v/>
      </c>
      <c r="V2436" s="83" t="str">
        <f t="shared" si="269"/>
        <v/>
      </c>
      <c r="AA2436" s="60">
        <f t="shared" si="270"/>
        <v>0</v>
      </c>
      <c r="AB2436" s="49">
        <f t="shared" si="271"/>
        <v>0</v>
      </c>
      <c r="AC2436" s="60">
        <f t="shared" si="272"/>
        <v>0</v>
      </c>
    </row>
    <row r="2437" spans="1:29">
      <c r="A2437" s="83" t="str">
        <f t="shared" si="266"/>
        <v/>
      </c>
      <c r="B2437" s="83" t="str">
        <f t="shared" si="267"/>
        <v/>
      </c>
      <c r="U2437" s="83" t="str">
        <f t="shared" si="268"/>
        <v/>
      </c>
      <c r="V2437" s="83" t="str">
        <f t="shared" si="269"/>
        <v/>
      </c>
      <c r="AA2437" s="60">
        <f t="shared" si="270"/>
        <v>0</v>
      </c>
      <c r="AB2437" s="49">
        <f t="shared" si="271"/>
        <v>0</v>
      </c>
      <c r="AC2437" s="60">
        <f t="shared" si="272"/>
        <v>0</v>
      </c>
    </row>
    <row r="2438" spans="1:29">
      <c r="A2438" s="83" t="str">
        <f t="shared" si="266"/>
        <v/>
      </c>
      <c r="B2438" s="83" t="str">
        <f t="shared" si="267"/>
        <v/>
      </c>
      <c r="U2438" s="83" t="str">
        <f t="shared" si="268"/>
        <v/>
      </c>
      <c r="V2438" s="83" t="str">
        <f t="shared" si="269"/>
        <v/>
      </c>
      <c r="AA2438" s="60">
        <f t="shared" si="270"/>
        <v>0</v>
      </c>
      <c r="AB2438" s="49">
        <f t="shared" si="271"/>
        <v>0</v>
      </c>
      <c r="AC2438" s="60">
        <f t="shared" si="272"/>
        <v>0</v>
      </c>
    </row>
    <row r="2439" spans="1:29">
      <c r="A2439" s="83" t="str">
        <f t="shared" si="266"/>
        <v/>
      </c>
      <c r="B2439" s="83" t="str">
        <f t="shared" si="267"/>
        <v/>
      </c>
      <c r="U2439" s="83" t="str">
        <f t="shared" si="268"/>
        <v/>
      </c>
      <c r="V2439" s="83" t="str">
        <f t="shared" si="269"/>
        <v/>
      </c>
      <c r="AA2439" s="60">
        <f t="shared" si="270"/>
        <v>0</v>
      </c>
      <c r="AB2439" s="49">
        <f t="shared" si="271"/>
        <v>0</v>
      </c>
      <c r="AC2439" s="60">
        <f t="shared" si="272"/>
        <v>0</v>
      </c>
    </row>
    <row r="2440" spans="1:29">
      <c r="A2440" s="83" t="str">
        <f t="shared" si="266"/>
        <v/>
      </c>
      <c r="B2440" s="83" t="str">
        <f t="shared" si="267"/>
        <v/>
      </c>
      <c r="U2440" s="83" t="str">
        <f t="shared" si="268"/>
        <v/>
      </c>
      <c r="V2440" s="83" t="str">
        <f t="shared" si="269"/>
        <v/>
      </c>
      <c r="AA2440" s="60">
        <f t="shared" si="270"/>
        <v>0</v>
      </c>
      <c r="AB2440" s="49">
        <f t="shared" si="271"/>
        <v>0</v>
      </c>
      <c r="AC2440" s="60">
        <f t="shared" si="272"/>
        <v>0</v>
      </c>
    </row>
    <row r="2441" spans="1:29">
      <c r="A2441" s="83" t="str">
        <f t="shared" si="266"/>
        <v/>
      </c>
      <c r="B2441" s="83" t="str">
        <f t="shared" si="267"/>
        <v/>
      </c>
      <c r="U2441" s="83" t="str">
        <f t="shared" si="268"/>
        <v/>
      </c>
      <c r="V2441" s="83" t="str">
        <f t="shared" si="269"/>
        <v/>
      </c>
      <c r="AA2441" s="60">
        <f t="shared" si="270"/>
        <v>0</v>
      </c>
      <c r="AB2441" s="49">
        <f t="shared" si="271"/>
        <v>0</v>
      </c>
      <c r="AC2441" s="60">
        <f t="shared" si="272"/>
        <v>0</v>
      </c>
    </row>
    <row r="2442" spans="1:29">
      <c r="A2442" s="83" t="str">
        <f t="shared" si="266"/>
        <v/>
      </c>
      <c r="B2442" s="83" t="str">
        <f t="shared" si="267"/>
        <v/>
      </c>
      <c r="U2442" s="83" t="str">
        <f t="shared" si="268"/>
        <v/>
      </c>
      <c r="V2442" s="83" t="str">
        <f t="shared" si="269"/>
        <v/>
      </c>
      <c r="AA2442" s="60">
        <f t="shared" si="270"/>
        <v>0</v>
      </c>
      <c r="AB2442" s="49">
        <f t="shared" si="271"/>
        <v>0</v>
      </c>
      <c r="AC2442" s="60">
        <f t="shared" si="272"/>
        <v>0</v>
      </c>
    </row>
    <row r="2443" spans="1:29">
      <c r="A2443" s="83" t="str">
        <f t="shared" si="266"/>
        <v/>
      </c>
      <c r="B2443" s="83" t="str">
        <f t="shared" si="267"/>
        <v/>
      </c>
      <c r="U2443" s="83" t="str">
        <f t="shared" si="268"/>
        <v/>
      </c>
      <c r="V2443" s="83" t="str">
        <f t="shared" si="269"/>
        <v/>
      </c>
      <c r="AA2443" s="60">
        <f t="shared" si="270"/>
        <v>0</v>
      </c>
      <c r="AB2443" s="49">
        <f t="shared" si="271"/>
        <v>0</v>
      </c>
      <c r="AC2443" s="60">
        <f t="shared" si="272"/>
        <v>0</v>
      </c>
    </row>
    <row r="2444" spans="1:29">
      <c r="A2444" s="83" t="str">
        <f t="shared" si="266"/>
        <v/>
      </c>
      <c r="B2444" s="83" t="str">
        <f t="shared" si="267"/>
        <v/>
      </c>
      <c r="U2444" s="83" t="str">
        <f t="shared" si="268"/>
        <v/>
      </c>
      <c r="V2444" s="83" t="str">
        <f t="shared" si="269"/>
        <v/>
      </c>
      <c r="AA2444" s="60">
        <f t="shared" si="270"/>
        <v>0</v>
      </c>
      <c r="AB2444" s="49">
        <f t="shared" si="271"/>
        <v>0</v>
      </c>
      <c r="AC2444" s="60">
        <f t="shared" si="272"/>
        <v>0</v>
      </c>
    </row>
    <row r="2445" spans="1:29">
      <c r="A2445" s="83" t="str">
        <f t="shared" si="266"/>
        <v/>
      </c>
      <c r="B2445" s="83" t="str">
        <f t="shared" si="267"/>
        <v/>
      </c>
      <c r="U2445" s="83" t="str">
        <f t="shared" si="268"/>
        <v/>
      </c>
      <c r="V2445" s="83" t="str">
        <f t="shared" si="269"/>
        <v/>
      </c>
      <c r="AA2445" s="60">
        <f t="shared" si="270"/>
        <v>0</v>
      </c>
      <c r="AB2445" s="49">
        <f t="shared" si="271"/>
        <v>0</v>
      </c>
      <c r="AC2445" s="60">
        <f t="shared" si="272"/>
        <v>0</v>
      </c>
    </row>
    <row r="2446" spans="1:29">
      <c r="A2446" s="83" t="str">
        <f t="shared" si="266"/>
        <v/>
      </c>
      <c r="B2446" s="83" t="str">
        <f t="shared" si="267"/>
        <v/>
      </c>
      <c r="U2446" s="83" t="str">
        <f t="shared" si="268"/>
        <v/>
      </c>
      <c r="V2446" s="83" t="str">
        <f t="shared" si="269"/>
        <v/>
      </c>
      <c r="AA2446" s="60">
        <f t="shared" si="270"/>
        <v>0</v>
      </c>
      <c r="AB2446" s="49">
        <f t="shared" si="271"/>
        <v>0</v>
      </c>
      <c r="AC2446" s="60">
        <f t="shared" si="272"/>
        <v>0</v>
      </c>
    </row>
    <row r="2447" spans="1:29">
      <c r="A2447" s="83" t="str">
        <f t="shared" si="266"/>
        <v/>
      </c>
      <c r="B2447" s="83" t="str">
        <f t="shared" si="267"/>
        <v/>
      </c>
      <c r="U2447" s="83" t="str">
        <f t="shared" si="268"/>
        <v/>
      </c>
      <c r="V2447" s="83" t="str">
        <f t="shared" si="269"/>
        <v/>
      </c>
      <c r="AA2447" s="60">
        <f t="shared" si="270"/>
        <v>0</v>
      </c>
      <c r="AB2447" s="49">
        <f t="shared" si="271"/>
        <v>0</v>
      </c>
      <c r="AC2447" s="60">
        <f t="shared" si="272"/>
        <v>0</v>
      </c>
    </row>
    <row r="2448" spans="1:29">
      <c r="A2448" s="83" t="str">
        <f t="shared" si="266"/>
        <v/>
      </c>
      <c r="B2448" s="83" t="str">
        <f t="shared" si="267"/>
        <v/>
      </c>
      <c r="U2448" s="83" t="str">
        <f t="shared" si="268"/>
        <v/>
      </c>
      <c r="V2448" s="83" t="str">
        <f t="shared" si="269"/>
        <v/>
      </c>
      <c r="AA2448" s="60">
        <f t="shared" si="270"/>
        <v>0</v>
      </c>
      <c r="AB2448" s="49">
        <f t="shared" si="271"/>
        <v>0</v>
      </c>
      <c r="AC2448" s="60">
        <f t="shared" si="272"/>
        <v>0</v>
      </c>
    </row>
    <row r="2449" spans="1:29">
      <c r="A2449" s="83" t="str">
        <f t="shared" si="266"/>
        <v/>
      </c>
      <c r="B2449" s="83" t="str">
        <f t="shared" si="267"/>
        <v/>
      </c>
      <c r="U2449" s="83" t="str">
        <f t="shared" si="268"/>
        <v/>
      </c>
      <c r="V2449" s="83" t="str">
        <f t="shared" si="269"/>
        <v/>
      </c>
      <c r="AA2449" s="60">
        <f t="shared" si="270"/>
        <v>0</v>
      </c>
      <c r="AB2449" s="49">
        <f t="shared" si="271"/>
        <v>0</v>
      </c>
      <c r="AC2449" s="60">
        <f t="shared" si="272"/>
        <v>0</v>
      </c>
    </row>
    <row r="2450" spans="1:29">
      <c r="A2450" s="83" t="str">
        <f t="shared" si="266"/>
        <v/>
      </c>
      <c r="B2450" s="83" t="str">
        <f t="shared" si="267"/>
        <v/>
      </c>
      <c r="U2450" s="83" t="str">
        <f t="shared" si="268"/>
        <v/>
      </c>
      <c r="V2450" s="83" t="str">
        <f t="shared" si="269"/>
        <v/>
      </c>
      <c r="AA2450" s="60">
        <f t="shared" si="270"/>
        <v>0</v>
      </c>
      <c r="AB2450" s="49">
        <f t="shared" si="271"/>
        <v>0</v>
      </c>
      <c r="AC2450" s="60">
        <f t="shared" si="272"/>
        <v>0</v>
      </c>
    </row>
    <row r="2451" spans="1:29">
      <c r="A2451" s="83" t="str">
        <f t="shared" si="266"/>
        <v/>
      </c>
      <c r="B2451" s="83" t="str">
        <f t="shared" si="267"/>
        <v/>
      </c>
      <c r="U2451" s="83" t="str">
        <f t="shared" si="268"/>
        <v/>
      </c>
      <c r="V2451" s="83" t="str">
        <f t="shared" si="269"/>
        <v/>
      </c>
      <c r="AA2451" s="60">
        <f t="shared" si="270"/>
        <v>0</v>
      </c>
      <c r="AB2451" s="49">
        <f t="shared" si="271"/>
        <v>0</v>
      </c>
      <c r="AC2451" s="60">
        <f t="shared" si="272"/>
        <v>0</v>
      </c>
    </row>
    <row r="2452" spans="1:29">
      <c r="A2452" s="83" t="str">
        <f t="shared" si="266"/>
        <v/>
      </c>
      <c r="B2452" s="83" t="str">
        <f t="shared" si="267"/>
        <v/>
      </c>
      <c r="U2452" s="83" t="str">
        <f t="shared" si="268"/>
        <v/>
      </c>
      <c r="V2452" s="83" t="str">
        <f t="shared" si="269"/>
        <v/>
      </c>
      <c r="AA2452" s="60">
        <f t="shared" si="270"/>
        <v>0</v>
      </c>
      <c r="AB2452" s="49">
        <f t="shared" si="271"/>
        <v>0</v>
      </c>
      <c r="AC2452" s="60">
        <f t="shared" si="272"/>
        <v>0</v>
      </c>
    </row>
    <row r="2453" spans="1:29">
      <c r="A2453" s="83" t="str">
        <f t="shared" si="266"/>
        <v/>
      </c>
      <c r="B2453" s="83" t="str">
        <f t="shared" si="267"/>
        <v/>
      </c>
      <c r="U2453" s="83" t="str">
        <f t="shared" si="268"/>
        <v/>
      </c>
      <c r="V2453" s="83" t="str">
        <f t="shared" si="269"/>
        <v/>
      </c>
      <c r="AA2453" s="60">
        <f t="shared" si="270"/>
        <v>0</v>
      </c>
      <c r="AB2453" s="49">
        <f t="shared" si="271"/>
        <v>0</v>
      </c>
      <c r="AC2453" s="60">
        <f t="shared" si="272"/>
        <v>0</v>
      </c>
    </row>
    <row r="2454" spans="1:29">
      <c r="A2454" s="83" t="str">
        <f t="shared" si="266"/>
        <v/>
      </c>
      <c r="B2454" s="83" t="str">
        <f t="shared" si="267"/>
        <v/>
      </c>
      <c r="U2454" s="83" t="str">
        <f t="shared" si="268"/>
        <v/>
      </c>
      <c r="V2454" s="83" t="str">
        <f t="shared" si="269"/>
        <v/>
      </c>
      <c r="AA2454" s="60">
        <f t="shared" si="270"/>
        <v>0</v>
      </c>
      <c r="AB2454" s="49">
        <f t="shared" si="271"/>
        <v>0</v>
      </c>
      <c r="AC2454" s="60">
        <f t="shared" si="272"/>
        <v>0</v>
      </c>
    </row>
    <row r="2455" spans="1:29">
      <c r="A2455" s="83" t="str">
        <f t="shared" si="266"/>
        <v/>
      </c>
      <c r="B2455" s="83" t="str">
        <f t="shared" si="267"/>
        <v/>
      </c>
      <c r="U2455" s="83" t="str">
        <f t="shared" si="268"/>
        <v/>
      </c>
      <c r="V2455" s="83" t="str">
        <f t="shared" si="269"/>
        <v/>
      </c>
      <c r="AA2455" s="60">
        <f t="shared" si="270"/>
        <v>0</v>
      </c>
      <c r="AB2455" s="49">
        <f t="shared" si="271"/>
        <v>0</v>
      </c>
      <c r="AC2455" s="60">
        <f t="shared" si="272"/>
        <v>0</v>
      </c>
    </row>
    <row r="2456" spans="1:29">
      <c r="A2456" s="83" t="str">
        <f t="shared" si="266"/>
        <v/>
      </c>
      <c r="B2456" s="83" t="str">
        <f t="shared" si="267"/>
        <v/>
      </c>
      <c r="U2456" s="83" t="str">
        <f t="shared" si="268"/>
        <v/>
      </c>
      <c r="V2456" s="83" t="str">
        <f t="shared" si="269"/>
        <v/>
      </c>
      <c r="AA2456" s="60">
        <f t="shared" si="270"/>
        <v>0</v>
      </c>
      <c r="AB2456" s="49">
        <f t="shared" si="271"/>
        <v>0</v>
      </c>
      <c r="AC2456" s="60">
        <f t="shared" si="272"/>
        <v>0</v>
      </c>
    </row>
    <row r="2457" spans="1:29">
      <c r="A2457" s="83" t="str">
        <f t="shared" si="266"/>
        <v/>
      </c>
      <c r="B2457" s="83" t="str">
        <f t="shared" si="267"/>
        <v/>
      </c>
      <c r="U2457" s="83" t="str">
        <f t="shared" si="268"/>
        <v/>
      </c>
      <c r="V2457" s="83" t="str">
        <f t="shared" si="269"/>
        <v/>
      </c>
      <c r="AA2457" s="60">
        <f t="shared" si="270"/>
        <v>0</v>
      </c>
      <c r="AB2457" s="49">
        <f t="shared" si="271"/>
        <v>0</v>
      </c>
      <c r="AC2457" s="60">
        <f t="shared" si="272"/>
        <v>0</v>
      </c>
    </row>
    <row r="2458" spans="1:29">
      <c r="A2458" s="83" t="str">
        <f t="shared" si="266"/>
        <v/>
      </c>
      <c r="B2458" s="83" t="str">
        <f t="shared" si="267"/>
        <v/>
      </c>
      <c r="U2458" s="83" t="str">
        <f t="shared" si="268"/>
        <v/>
      </c>
      <c r="V2458" s="83" t="str">
        <f t="shared" si="269"/>
        <v/>
      </c>
      <c r="AA2458" s="60">
        <f t="shared" si="270"/>
        <v>0</v>
      </c>
      <c r="AB2458" s="49">
        <f t="shared" si="271"/>
        <v>0</v>
      </c>
      <c r="AC2458" s="60">
        <f t="shared" si="272"/>
        <v>0</v>
      </c>
    </row>
    <row r="2459" spans="1:29">
      <c r="A2459" s="83" t="str">
        <f t="shared" si="266"/>
        <v/>
      </c>
      <c r="B2459" s="83" t="str">
        <f t="shared" si="267"/>
        <v/>
      </c>
      <c r="U2459" s="83" t="str">
        <f t="shared" si="268"/>
        <v/>
      </c>
      <c r="V2459" s="83" t="str">
        <f t="shared" si="269"/>
        <v/>
      </c>
      <c r="AA2459" s="60">
        <f t="shared" si="270"/>
        <v>0</v>
      </c>
      <c r="AB2459" s="49">
        <f t="shared" si="271"/>
        <v>0</v>
      </c>
      <c r="AC2459" s="60">
        <f t="shared" si="272"/>
        <v>0</v>
      </c>
    </row>
    <row r="2460" spans="1:29">
      <c r="A2460" s="83" t="str">
        <f t="shared" si="266"/>
        <v/>
      </c>
      <c r="B2460" s="83" t="str">
        <f t="shared" si="267"/>
        <v/>
      </c>
      <c r="U2460" s="83" t="str">
        <f t="shared" si="268"/>
        <v/>
      </c>
      <c r="V2460" s="83" t="str">
        <f t="shared" si="269"/>
        <v/>
      </c>
      <c r="AA2460" s="60">
        <f t="shared" si="270"/>
        <v>0</v>
      </c>
      <c r="AB2460" s="49">
        <f t="shared" si="271"/>
        <v>0</v>
      </c>
      <c r="AC2460" s="60">
        <f t="shared" si="272"/>
        <v>0</v>
      </c>
    </row>
    <row r="2461" spans="1:29">
      <c r="A2461" s="83" t="str">
        <f t="shared" si="266"/>
        <v/>
      </c>
      <c r="B2461" s="83" t="str">
        <f t="shared" si="267"/>
        <v/>
      </c>
      <c r="U2461" s="83" t="str">
        <f t="shared" si="268"/>
        <v/>
      </c>
      <c r="V2461" s="83" t="str">
        <f t="shared" si="269"/>
        <v/>
      </c>
      <c r="AA2461" s="60">
        <f t="shared" si="270"/>
        <v>0</v>
      </c>
      <c r="AB2461" s="49">
        <f t="shared" si="271"/>
        <v>0</v>
      </c>
      <c r="AC2461" s="60">
        <f t="shared" si="272"/>
        <v>0</v>
      </c>
    </row>
    <row r="2462" spans="1:29">
      <c r="A2462" s="83" t="str">
        <f t="shared" si="266"/>
        <v/>
      </c>
      <c r="B2462" s="83" t="str">
        <f t="shared" si="267"/>
        <v/>
      </c>
      <c r="U2462" s="83" t="str">
        <f t="shared" si="268"/>
        <v/>
      </c>
      <c r="V2462" s="83" t="str">
        <f t="shared" si="269"/>
        <v/>
      </c>
      <c r="AA2462" s="60">
        <f t="shared" si="270"/>
        <v>0</v>
      </c>
      <c r="AB2462" s="49">
        <f t="shared" si="271"/>
        <v>0</v>
      </c>
      <c r="AC2462" s="60">
        <f t="shared" si="272"/>
        <v>0</v>
      </c>
    </row>
    <row r="2463" spans="1:29">
      <c r="A2463" s="83" t="str">
        <f t="shared" si="266"/>
        <v/>
      </c>
      <c r="B2463" s="83" t="str">
        <f t="shared" si="267"/>
        <v/>
      </c>
      <c r="U2463" s="83" t="str">
        <f t="shared" si="268"/>
        <v/>
      </c>
      <c r="V2463" s="83" t="str">
        <f t="shared" si="269"/>
        <v/>
      </c>
      <c r="AA2463" s="60">
        <f t="shared" si="270"/>
        <v>0</v>
      </c>
      <c r="AB2463" s="49">
        <f t="shared" si="271"/>
        <v>0</v>
      </c>
      <c r="AC2463" s="60">
        <f t="shared" si="272"/>
        <v>0</v>
      </c>
    </row>
    <row r="2464" spans="1:29">
      <c r="A2464" s="83" t="str">
        <f t="shared" si="266"/>
        <v/>
      </c>
      <c r="B2464" s="83" t="str">
        <f t="shared" si="267"/>
        <v/>
      </c>
      <c r="U2464" s="83" t="str">
        <f t="shared" si="268"/>
        <v/>
      </c>
      <c r="V2464" s="83" t="str">
        <f t="shared" si="269"/>
        <v/>
      </c>
      <c r="AA2464" s="60">
        <f t="shared" si="270"/>
        <v>0</v>
      </c>
      <c r="AB2464" s="49">
        <f t="shared" si="271"/>
        <v>0</v>
      </c>
      <c r="AC2464" s="60">
        <f t="shared" si="272"/>
        <v>0</v>
      </c>
    </row>
    <row r="2465" spans="1:29">
      <c r="A2465" s="83" t="str">
        <f t="shared" si="266"/>
        <v/>
      </c>
      <c r="B2465" s="83" t="str">
        <f t="shared" si="267"/>
        <v/>
      </c>
      <c r="U2465" s="83" t="str">
        <f t="shared" si="268"/>
        <v/>
      </c>
      <c r="V2465" s="83" t="str">
        <f t="shared" si="269"/>
        <v/>
      </c>
      <c r="AA2465" s="60">
        <f t="shared" si="270"/>
        <v>0</v>
      </c>
      <c r="AB2465" s="49">
        <f t="shared" si="271"/>
        <v>0</v>
      </c>
      <c r="AC2465" s="60">
        <f t="shared" si="272"/>
        <v>0</v>
      </c>
    </row>
    <row r="2466" spans="1:29">
      <c r="A2466" s="83" t="str">
        <f t="shared" si="266"/>
        <v/>
      </c>
      <c r="B2466" s="83" t="str">
        <f t="shared" si="267"/>
        <v/>
      </c>
      <c r="U2466" s="83" t="str">
        <f t="shared" si="268"/>
        <v/>
      </c>
      <c r="V2466" s="83" t="str">
        <f t="shared" si="269"/>
        <v/>
      </c>
      <c r="AA2466" s="60">
        <f t="shared" si="270"/>
        <v>0</v>
      </c>
      <c r="AB2466" s="49">
        <f t="shared" si="271"/>
        <v>0</v>
      </c>
      <c r="AC2466" s="60">
        <f t="shared" si="272"/>
        <v>0</v>
      </c>
    </row>
    <row r="2467" spans="1:29">
      <c r="A2467" s="83" t="str">
        <f t="shared" si="266"/>
        <v/>
      </c>
      <c r="B2467" s="83" t="str">
        <f t="shared" si="267"/>
        <v/>
      </c>
      <c r="U2467" s="83" t="str">
        <f t="shared" si="268"/>
        <v/>
      </c>
      <c r="V2467" s="83" t="str">
        <f t="shared" si="269"/>
        <v/>
      </c>
      <c r="AA2467" s="60">
        <f t="shared" si="270"/>
        <v>0</v>
      </c>
      <c r="AB2467" s="49">
        <f t="shared" si="271"/>
        <v>0</v>
      </c>
      <c r="AC2467" s="60">
        <f t="shared" si="272"/>
        <v>0</v>
      </c>
    </row>
    <row r="2468" spans="1:29">
      <c r="A2468" s="83" t="str">
        <f t="shared" si="266"/>
        <v/>
      </c>
      <c r="B2468" s="83" t="str">
        <f t="shared" si="267"/>
        <v/>
      </c>
      <c r="U2468" s="83" t="str">
        <f t="shared" si="268"/>
        <v/>
      </c>
      <c r="V2468" s="83" t="str">
        <f t="shared" si="269"/>
        <v/>
      </c>
      <c r="AA2468" s="60">
        <f t="shared" si="270"/>
        <v>0</v>
      </c>
      <c r="AB2468" s="49">
        <f t="shared" si="271"/>
        <v>0</v>
      </c>
      <c r="AC2468" s="60">
        <f t="shared" si="272"/>
        <v>0</v>
      </c>
    </row>
    <row r="2469" spans="1:29">
      <c r="A2469" s="83" t="str">
        <f t="shared" si="266"/>
        <v/>
      </c>
      <c r="B2469" s="83" t="str">
        <f t="shared" si="267"/>
        <v/>
      </c>
      <c r="U2469" s="83" t="str">
        <f t="shared" si="268"/>
        <v/>
      </c>
      <c r="V2469" s="83" t="str">
        <f t="shared" si="269"/>
        <v/>
      </c>
      <c r="AA2469" s="60">
        <f t="shared" si="270"/>
        <v>0</v>
      </c>
      <c r="AB2469" s="49">
        <f t="shared" si="271"/>
        <v>0</v>
      </c>
      <c r="AC2469" s="60">
        <f t="shared" si="272"/>
        <v>0</v>
      </c>
    </row>
    <row r="2470" spans="1:29">
      <c r="A2470" s="83" t="str">
        <f t="shared" si="266"/>
        <v/>
      </c>
      <c r="B2470" s="83" t="str">
        <f t="shared" si="267"/>
        <v/>
      </c>
      <c r="U2470" s="83" t="str">
        <f t="shared" si="268"/>
        <v/>
      </c>
      <c r="V2470" s="83" t="str">
        <f t="shared" si="269"/>
        <v/>
      </c>
      <c r="AA2470" s="60">
        <f t="shared" si="270"/>
        <v>0</v>
      </c>
      <c r="AB2470" s="49">
        <f t="shared" si="271"/>
        <v>0</v>
      </c>
      <c r="AC2470" s="60">
        <f t="shared" si="272"/>
        <v>0</v>
      </c>
    </row>
    <row r="2471" spans="1:29">
      <c r="A2471" s="83" t="str">
        <f t="shared" si="266"/>
        <v/>
      </c>
      <c r="B2471" s="83" t="str">
        <f t="shared" si="267"/>
        <v/>
      </c>
      <c r="U2471" s="83" t="str">
        <f t="shared" si="268"/>
        <v/>
      </c>
      <c r="V2471" s="83" t="str">
        <f t="shared" si="269"/>
        <v/>
      </c>
      <c r="AA2471" s="60">
        <f t="shared" si="270"/>
        <v>0</v>
      </c>
      <c r="AB2471" s="49">
        <f t="shared" si="271"/>
        <v>0</v>
      </c>
      <c r="AC2471" s="60">
        <f t="shared" si="272"/>
        <v>0</v>
      </c>
    </row>
    <row r="2472" spans="1:29">
      <c r="A2472" s="83" t="str">
        <f t="shared" si="266"/>
        <v/>
      </c>
      <c r="B2472" s="83" t="str">
        <f t="shared" si="267"/>
        <v/>
      </c>
      <c r="U2472" s="83" t="str">
        <f t="shared" si="268"/>
        <v/>
      </c>
      <c r="V2472" s="83" t="str">
        <f t="shared" si="269"/>
        <v/>
      </c>
      <c r="AA2472" s="60">
        <f t="shared" si="270"/>
        <v>0</v>
      </c>
      <c r="AB2472" s="49">
        <f t="shared" si="271"/>
        <v>0</v>
      </c>
      <c r="AC2472" s="60">
        <f t="shared" si="272"/>
        <v>0</v>
      </c>
    </row>
    <row r="2473" spans="1:29">
      <c r="A2473" s="83" t="str">
        <f t="shared" si="266"/>
        <v/>
      </c>
      <c r="B2473" s="83" t="str">
        <f t="shared" si="267"/>
        <v/>
      </c>
      <c r="U2473" s="83" t="str">
        <f t="shared" si="268"/>
        <v/>
      </c>
      <c r="V2473" s="83" t="str">
        <f t="shared" si="269"/>
        <v/>
      </c>
      <c r="AA2473" s="60">
        <f t="shared" si="270"/>
        <v>0</v>
      </c>
      <c r="AB2473" s="49">
        <f t="shared" si="271"/>
        <v>0</v>
      </c>
      <c r="AC2473" s="60">
        <f t="shared" si="272"/>
        <v>0</v>
      </c>
    </row>
    <row r="2474" spans="1:29">
      <c r="A2474" s="83" t="str">
        <f t="shared" si="266"/>
        <v/>
      </c>
      <c r="B2474" s="83" t="str">
        <f t="shared" si="267"/>
        <v/>
      </c>
      <c r="U2474" s="83" t="str">
        <f t="shared" si="268"/>
        <v/>
      </c>
      <c r="V2474" s="83" t="str">
        <f t="shared" si="269"/>
        <v/>
      </c>
      <c r="AA2474" s="60">
        <f t="shared" si="270"/>
        <v>0</v>
      </c>
      <c r="AB2474" s="49">
        <f t="shared" si="271"/>
        <v>0</v>
      </c>
      <c r="AC2474" s="60">
        <f t="shared" si="272"/>
        <v>0</v>
      </c>
    </row>
    <row r="2475" spans="1:29">
      <c r="A2475" s="83" t="str">
        <f t="shared" si="266"/>
        <v/>
      </c>
      <c r="B2475" s="83" t="str">
        <f t="shared" si="267"/>
        <v/>
      </c>
      <c r="U2475" s="83" t="str">
        <f t="shared" si="268"/>
        <v/>
      </c>
      <c r="V2475" s="83" t="str">
        <f t="shared" si="269"/>
        <v/>
      </c>
      <c r="AA2475" s="60">
        <f t="shared" si="270"/>
        <v>0</v>
      </c>
      <c r="AB2475" s="49">
        <f t="shared" si="271"/>
        <v>0</v>
      </c>
      <c r="AC2475" s="60">
        <f t="shared" si="272"/>
        <v>0</v>
      </c>
    </row>
    <row r="2476" spans="1:29">
      <c r="A2476" s="83" t="str">
        <f t="shared" si="266"/>
        <v/>
      </c>
      <c r="B2476" s="83" t="str">
        <f t="shared" si="267"/>
        <v/>
      </c>
      <c r="U2476" s="83" t="str">
        <f t="shared" si="268"/>
        <v/>
      </c>
      <c r="V2476" s="83" t="str">
        <f t="shared" si="269"/>
        <v/>
      </c>
      <c r="AA2476" s="60">
        <f t="shared" si="270"/>
        <v>0</v>
      </c>
      <c r="AB2476" s="49">
        <f t="shared" si="271"/>
        <v>0</v>
      </c>
      <c r="AC2476" s="60">
        <f t="shared" si="272"/>
        <v>0</v>
      </c>
    </row>
    <row r="2477" spans="1:29">
      <c r="A2477" s="83" t="str">
        <f t="shared" si="266"/>
        <v/>
      </c>
      <c r="B2477" s="83" t="str">
        <f t="shared" si="267"/>
        <v/>
      </c>
      <c r="U2477" s="83" t="str">
        <f t="shared" si="268"/>
        <v/>
      </c>
      <c r="V2477" s="83" t="str">
        <f t="shared" si="269"/>
        <v/>
      </c>
      <c r="AA2477" s="60">
        <f t="shared" si="270"/>
        <v>0</v>
      </c>
      <c r="AB2477" s="49">
        <f t="shared" si="271"/>
        <v>0</v>
      </c>
      <c r="AC2477" s="60">
        <f t="shared" si="272"/>
        <v>0</v>
      </c>
    </row>
    <row r="2478" spans="1:29">
      <c r="A2478" s="83" t="str">
        <f t="shared" si="266"/>
        <v/>
      </c>
      <c r="B2478" s="83" t="str">
        <f t="shared" si="267"/>
        <v/>
      </c>
      <c r="U2478" s="83" t="str">
        <f t="shared" si="268"/>
        <v/>
      </c>
      <c r="V2478" s="83" t="str">
        <f t="shared" si="269"/>
        <v/>
      </c>
      <c r="AA2478" s="60">
        <f t="shared" si="270"/>
        <v>0</v>
      </c>
      <c r="AB2478" s="49">
        <f t="shared" si="271"/>
        <v>0</v>
      </c>
      <c r="AC2478" s="60">
        <f t="shared" si="272"/>
        <v>0</v>
      </c>
    </row>
    <row r="2479" spans="1:29">
      <c r="A2479" s="83" t="str">
        <f t="shared" si="266"/>
        <v/>
      </c>
      <c r="B2479" s="83" t="str">
        <f t="shared" si="267"/>
        <v/>
      </c>
      <c r="U2479" s="83" t="str">
        <f t="shared" si="268"/>
        <v/>
      </c>
      <c r="V2479" s="83" t="str">
        <f t="shared" si="269"/>
        <v/>
      </c>
      <c r="AA2479" s="60">
        <f t="shared" si="270"/>
        <v>0</v>
      </c>
      <c r="AB2479" s="49">
        <f t="shared" si="271"/>
        <v>0</v>
      </c>
      <c r="AC2479" s="60">
        <f t="shared" si="272"/>
        <v>0</v>
      </c>
    </row>
    <row r="2480" spans="1:29">
      <c r="A2480" s="83" t="str">
        <f t="shared" si="266"/>
        <v/>
      </c>
      <c r="B2480" s="83" t="str">
        <f t="shared" si="267"/>
        <v/>
      </c>
      <c r="U2480" s="83" t="str">
        <f t="shared" si="268"/>
        <v/>
      </c>
      <c r="V2480" s="83" t="str">
        <f t="shared" si="269"/>
        <v/>
      </c>
      <c r="AA2480" s="60">
        <f t="shared" si="270"/>
        <v>0</v>
      </c>
      <c r="AB2480" s="49">
        <f t="shared" si="271"/>
        <v>0</v>
      </c>
      <c r="AC2480" s="60">
        <f t="shared" si="272"/>
        <v>0</v>
      </c>
    </row>
    <row r="2481" spans="1:29">
      <c r="A2481" s="83" t="str">
        <f t="shared" si="266"/>
        <v/>
      </c>
      <c r="B2481" s="83" t="str">
        <f t="shared" si="267"/>
        <v/>
      </c>
      <c r="U2481" s="83" t="str">
        <f t="shared" si="268"/>
        <v/>
      </c>
      <c r="V2481" s="83" t="str">
        <f t="shared" si="269"/>
        <v/>
      </c>
      <c r="AA2481" s="60">
        <f t="shared" si="270"/>
        <v>0</v>
      </c>
      <c r="AB2481" s="49">
        <f t="shared" si="271"/>
        <v>0</v>
      </c>
      <c r="AC2481" s="60">
        <f t="shared" si="272"/>
        <v>0</v>
      </c>
    </row>
    <row r="2482" spans="1:29">
      <c r="A2482" s="83" t="str">
        <f t="shared" si="266"/>
        <v/>
      </c>
      <c r="B2482" s="83" t="str">
        <f t="shared" si="267"/>
        <v/>
      </c>
      <c r="U2482" s="83" t="str">
        <f t="shared" si="268"/>
        <v/>
      </c>
      <c r="V2482" s="83" t="str">
        <f t="shared" si="269"/>
        <v/>
      </c>
      <c r="AA2482" s="60">
        <f t="shared" si="270"/>
        <v>0</v>
      </c>
      <c r="AB2482" s="49">
        <f t="shared" si="271"/>
        <v>0</v>
      </c>
      <c r="AC2482" s="60">
        <f t="shared" si="272"/>
        <v>0</v>
      </c>
    </row>
    <row r="2483" spans="1:29">
      <c r="A2483" s="83" t="str">
        <f t="shared" si="266"/>
        <v/>
      </c>
      <c r="B2483" s="83" t="str">
        <f t="shared" si="267"/>
        <v/>
      </c>
      <c r="U2483" s="83" t="str">
        <f t="shared" si="268"/>
        <v/>
      </c>
      <c r="V2483" s="83" t="str">
        <f t="shared" si="269"/>
        <v/>
      </c>
      <c r="AA2483" s="60">
        <f t="shared" si="270"/>
        <v>0</v>
      </c>
      <c r="AB2483" s="49">
        <f t="shared" si="271"/>
        <v>0</v>
      </c>
      <c r="AC2483" s="60">
        <f t="shared" si="272"/>
        <v>0</v>
      </c>
    </row>
    <row r="2484" spans="1:29">
      <c r="A2484" s="83" t="str">
        <f t="shared" si="266"/>
        <v/>
      </c>
      <c r="B2484" s="83" t="str">
        <f t="shared" si="267"/>
        <v/>
      </c>
      <c r="U2484" s="83" t="str">
        <f t="shared" si="268"/>
        <v/>
      </c>
      <c r="V2484" s="83" t="str">
        <f t="shared" si="269"/>
        <v/>
      </c>
      <c r="AA2484" s="60">
        <f t="shared" si="270"/>
        <v>0</v>
      </c>
      <c r="AB2484" s="49">
        <f t="shared" si="271"/>
        <v>0</v>
      </c>
      <c r="AC2484" s="60">
        <f t="shared" si="272"/>
        <v>0</v>
      </c>
    </row>
    <row r="2485" spans="1:29">
      <c r="A2485" s="83" t="str">
        <f t="shared" si="266"/>
        <v/>
      </c>
      <c r="B2485" s="83" t="str">
        <f t="shared" si="267"/>
        <v/>
      </c>
      <c r="U2485" s="83" t="str">
        <f t="shared" si="268"/>
        <v/>
      </c>
      <c r="V2485" s="83" t="str">
        <f t="shared" si="269"/>
        <v/>
      </c>
      <c r="AA2485" s="60">
        <f t="shared" si="270"/>
        <v>0</v>
      </c>
      <c r="AB2485" s="49">
        <f t="shared" si="271"/>
        <v>0</v>
      </c>
      <c r="AC2485" s="60">
        <f t="shared" si="272"/>
        <v>0</v>
      </c>
    </row>
    <row r="2486" spans="1:29">
      <c r="A2486" s="83" t="str">
        <f t="shared" si="266"/>
        <v/>
      </c>
      <c r="B2486" s="83" t="str">
        <f t="shared" si="267"/>
        <v/>
      </c>
      <c r="U2486" s="83" t="str">
        <f t="shared" si="268"/>
        <v/>
      </c>
      <c r="V2486" s="83" t="str">
        <f t="shared" si="269"/>
        <v/>
      </c>
      <c r="AA2486" s="60">
        <f t="shared" si="270"/>
        <v>0</v>
      </c>
      <c r="AB2486" s="49">
        <f t="shared" si="271"/>
        <v>0</v>
      </c>
      <c r="AC2486" s="60">
        <f t="shared" si="272"/>
        <v>0</v>
      </c>
    </row>
    <row r="2487" spans="1:29">
      <c r="A2487" s="83" t="str">
        <f t="shared" si="266"/>
        <v/>
      </c>
      <c r="B2487" s="83" t="str">
        <f t="shared" si="267"/>
        <v/>
      </c>
      <c r="U2487" s="83" t="str">
        <f t="shared" si="268"/>
        <v/>
      </c>
      <c r="V2487" s="83" t="str">
        <f t="shared" si="269"/>
        <v/>
      </c>
      <c r="AA2487" s="60">
        <f t="shared" si="270"/>
        <v>0</v>
      </c>
      <c r="AB2487" s="49">
        <f t="shared" si="271"/>
        <v>0</v>
      </c>
      <c r="AC2487" s="60">
        <f t="shared" si="272"/>
        <v>0</v>
      </c>
    </row>
    <row r="2488" spans="1:29">
      <c r="A2488" s="83" t="str">
        <f t="shared" si="266"/>
        <v/>
      </c>
      <c r="B2488" s="83" t="str">
        <f t="shared" si="267"/>
        <v/>
      </c>
      <c r="U2488" s="83" t="str">
        <f t="shared" si="268"/>
        <v/>
      </c>
      <c r="V2488" s="83" t="str">
        <f t="shared" si="269"/>
        <v/>
      </c>
      <c r="AA2488" s="60">
        <f t="shared" si="270"/>
        <v>0</v>
      </c>
      <c r="AB2488" s="49">
        <f t="shared" si="271"/>
        <v>0</v>
      </c>
      <c r="AC2488" s="60">
        <f t="shared" si="272"/>
        <v>0</v>
      </c>
    </row>
    <row r="2489" spans="1:29">
      <c r="A2489" s="83" t="str">
        <f t="shared" si="266"/>
        <v/>
      </c>
      <c r="B2489" s="83" t="str">
        <f t="shared" si="267"/>
        <v/>
      </c>
      <c r="U2489" s="83" t="str">
        <f t="shared" si="268"/>
        <v/>
      </c>
      <c r="V2489" s="83" t="str">
        <f t="shared" si="269"/>
        <v/>
      </c>
      <c r="AA2489" s="60">
        <f t="shared" si="270"/>
        <v>0</v>
      </c>
      <c r="AB2489" s="49">
        <f t="shared" si="271"/>
        <v>0</v>
      </c>
      <c r="AC2489" s="60">
        <f t="shared" si="272"/>
        <v>0</v>
      </c>
    </row>
    <row r="2490" spans="1:29">
      <c r="A2490" s="83" t="str">
        <f t="shared" si="266"/>
        <v/>
      </c>
      <c r="B2490" s="83" t="str">
        <f t="shared" si="267"/>
        <v/>
      </c>
      <c r="U2490" s="83" t="str">
        <f t="shared" si="268"/>
        <v/>
      </c>
      <c r="V2490" s="83" t="str">
        <f t="shared" si="269"/>
        <v/>
      </c>
      <c r="AA2490" s="60">
        <f t="shared" si="270"/>
        <v>0</v>
      </c>
      <c r="AB2490" s="49">
        <f t="shared" si="271"/>
        <v>0</v>
      </c>
      <c r="AC2490" s="60">
        <f t="shared" si="272"/>
        <v>0</v>
      </c>
    </row>
    <row r="2491" spans="1:29">
      <c r="A2491" s="83" t="str">
        <f t="shared" si="266"/>
        <v/>
      </c>
      <c r="B2491" s="83" t="str">
        <f t="shared" si="267"/>
        <v/>
      </c>
      <c r="U2491" s="83" t="str">
        <f t="shared" si="268"/>
        <v/>
      </c>
      <c r="V2491" s="83" t="str">
        <f t="shared" si="269"/>
        <v/>
      </c>
      <c r="AA2491" s="60">
        <f t="shared" si="270"/>
        <v>0</v>
      </c>
      <c r="AB2491" s="49">
        <f t="shared" si="271"/>
        <v>0</v>
      </c>
      <c r="AC2491" s="60">
        <f t="shared" si="272"/>
        <v>0</v>
      </c>
    </row>
    <row r="2492" spans="1:29">
      <c r="A2492" s="83" t="str">
        <f t="shared" si="266"/>
        <v/>
      </c>
      <c r="B2492" s="83" t="str">
        <f t="shared" si="267"/>
        <v/>
      </c>
      <c r="U2492" s="83" t="str">
        <f t="shared" si="268"/>
        <v/>
      </c>
      <c r="V2492" s="83" t="str">
        <f t="shared" si="269"/>
        <v/>
      </c>
      <c r="AA2492" s="60">
        <f t="shared" si="270"/>
        <v>0</v>
      </c>
      <c r="AB2492" s="49">
        <f t="shared" si="271"/>
        <v>0</v>
      </c>
      <c r="AC2492" s="60">
        <f t="shared" si="272"/>
        <v>0</v>
      </c>
    </row>
    <row r="2493" spans="1:29">
      <c r="A2493" s="83" t="str">
        <f t="shared" si="266"/>
        <v/>
      </c>
      <c r="B2493" s="83" t="str">
        <f t="shared" si="267"/>
        <v/>
      </c>
      <c r="U2493" s="83" t="str">
        <f t="shared" si="268"/>
        <v/>
      </c>
      <c r="V2493" s="83" t="str">
        <f t="shared" si="269"/>
        <v/>
      </c>
      <c r="AA2493" s="60">
        <f t="shared" si="270"/>
        <v>0</v>
      </c>
      <c r="AB2493" s="49">
        <f t="shared" si="271"/>
        <v>0</v>
      </c>
      <c r="AC2493" s="60">
        <f t="shared" si="272"/>
        <v>0</v>
      </c>
    </row>
    <row r="2494" spans="1:29">
      <c r="A2494" s="83" t="str">
        <f t="shared" si="266"/>
        <v/>
      </c>
      <c r="B2494" s="83" t="str">
        <f t="shared" si="267"/>
        <v/>
      </c>
      <c r="U2494" s="83" t="str">
        <f t="shared" si="268"/>
        <v/>
      </c>
      <c r="V2494" s="83" t="str">
        <f t="shared" si="269"/>
        <v/>
      </c>
      <c r="AA2494" s="60">
        <f t="shared" si="270"/>
        <v>0</v>
      </c>
      <c r="AB2494" s="49">
        <f t="shared" si="271"/>
        <v>0</v>
      </c>
      <c r="AC2494" s="60">
        <f t="shared" si="272"/>
        <v>0</v>
      </c>
    </row>
    <row r="2495" spans="1:29">
      <c r="A2495" s="83" t="str">
        <f t="shared" si="266"/>
        <v/>
      </c>
      <c r="B2495" s="83" t="str">
        <f t="shared" si="267"/>
        <v/>
      </c>
      <c r="U2495" s="83" t="str">
        <f t="shared" si="268"/>
        <v/>
      </c>
      <c r="V2495" s="83" t="str">
        <f t="shared" si="269"/>
        <v/>
      </c>
      <c r="AA2495" s="60">
        <f t="shared" si="270"/>
        <v>0</v>
      </c>
      <c r="AB2495" s="49">
        <f t="shared" si="271"/>
        <v>0</v>
      </c>
      <c r="AC2495" s="60">
        <f t="shared" si="272"/>
        <v>0</v>
      </c>
    </row>
    <row r="2496" spans="1:29">
      <c r="A2496" s="83" t="str">
        <f t="shared" si="266"/>
        <v/>
      </c>
      <c r="B2496" s="83" t="str">
        <f t="shared" si="267"/>
        <v/>
      </c>
      <c r="U2496" s="83" t="str">
        <f t="shared" si="268"/>
        <v/>
      </c>
      <c r="V2496" s="83" t="str">
        <f t="shared" si="269"/>
        <v/>
      </c>
      <c r="AA2496" s="60">
        <f t="shared" si="270"/>
        <v>0</v>
      </c>
      <c r="AB2496" s="49">
        <f t="shared" si="271"/>
        <v>0</v>
      </c>
      <c r="AC2496" s="60">
        <f t="shared" si="272"/>
        <v>0</v>
      </c>
    </row>
    <row r="2497" spans="1:29">
      <c r="A2497" s="83" t="str">
        <f t="shared" si="266"/>
        <v/>
      </c>
      <c r="B2497" s="83" t="str">
        <f t="shared" si="267"/>
        <v/>
      </c>
      <c r="U2497" s="83" t="str">
        <f t="shared" si="268"/>
        <v/>
      </c>
      <c r="V2497" s="83" t="str">
        <f t="shared" si="269"/>
        <v/>
      </c>
      <c r="AA2497" s="60">
        <f t="shared" si="270"/>
        <v>0</v>
      </c>
      <c r="AB2497" s="49">
        <f t="shared" si="271"/>
        <v>0</v>
      </c>
      <c r="AC2497" s="60">
        <f t="shared" si="272"/>
        <v>0</v>
      </c>
    </row>
    <row r="2498" spans="1:29">
      <c r="A2498" s="83" t="str">
        <f t="shared" si="266"/>
        <v/>
      </c>
      <c r="B2498" s="83" t="str">
        <f t="shared" si="267"/>
        <v/>
      </c>
      <c r="U2498" s="83" t="str">
        <f t="shared" si="268"/>
        <v/>
      </c>
      <c r="V2498" s="83" t="str">
        <f t="shared" si="269"/>
        <v/>
      </c>
      <c r="AA2498" s="60">
        <f t="shared" si="270"/>
        <v>0</v>
      </c>
      <c r="AB2498" s="49">
        <f t="shared" si="271"/>
        <v>0</v>
      </c>
      <c r="AC2498" s="60">
        <f t="shared" si="272"/>
        <v>0</v>
      </c>
    </row>
    <row r="2499" spans="1:29">
      <c r="A2499" s="83" t="str">
        <f t="shared" ref="A2499:A2562" si="273">IF(G2499&amp;Q2499&lt;&gt;"",U2499&amp;Q2499,"")</f>
        <v/>
      </c>
      <c r="B2499" s="83" t="str">
        <f t="shared" ref="B2499:B2562" si="274">IF(C2499&lt;&gt;"",LEFT(C2499,9),"")</f>
        <v/>
      </c>
      <c r="U2499" s="83" t="str">
        <f t="shared" ref="U2499:U2562" si="275">IF(G2499&lt;&gt;"",IF(StyleSpaceSplit,IFERROR(IF(FIND(" ",G2499)&gt;=1,MID(G2499,1,FIND(" ",G2499)-1),G2499),G2499),G2499),"")</f>
        <v/>
      </c>
      <c r="V2499" s="83" t="str">
        <f t="shared" ref="V2499:V2562" si="276">IF(A2499&lt;&gt;"",IFERROR(IF(FIND(" ",G2499)&gt;=1,MID(G2499,FIND(" ",G2499)+1,LEN(G2499)),""),G2499),"")</f>
        <v/>
      </c>
      <c r="AA2499" s="60">
        <f t="shared" ref="AA2499:AA2562" si="277">IFERROR(VALUE(MID($C2499,1,2)),0)</f>
        <v>0</v>
      </c>
      <c r="AB2499" s="49">
        <f t="shared" ref="AB2499:AB2562" si="278">IFERROR(VALUE(MID($C2499,4,3)),0)</f>
        <v>0</v>
      </c>
      <c r="AC2499" s="60">
        <f t="shared" ref="AC2499:AC2562" si="279">VALUE(RIGHT("00"&amp;AA2499,2)&amp;RIGHT("000"&amp;AB2499,3))</f>
        <v>0</v>
      </c>
    </row>
    <row r="2500" spans="1:29">
      <c r="A2500" s="83" t="str">
        <f t="shared" si="273"/>
        <v/>
      </c>
      <c r="B2500" s="83" t="str">
        <f t="shared" si="274"/>
        <v/>
      </c>
      <c r="U2500" s="83" t="str">
        <f t="shared" si="275"/>
        <v/>
      </c>
      <c r="V2500" s="83" t="str">
        <f t="shared" si="276"/>
        <v/>
      </c>
      <c r="AA2500" s="60">
        <f t="shared" si="277"/>
        <v>0</v>
      </c>
      <c r="AB2500" s="49">
        <f t="shared" si="278"/>
        <v>0</v>
      </c>
      <c r="AC2500" s="60">
        <f t="shared" si="279"/>
        <v>0</v>
      </c>
    </row>
    <row r="2501" spans="1:29">
      <c r="A2501" s="83" t="str">
        <f t="shared" si="273"/>
        <v/>
      </c>
      <c r="B2501" s="83" t="str">
        <f t="shared" si="274"/>
        <v/>
      </c>
      <c r="U2501" s="83" t="str">
        <f t="shared" si="275"/>
        <v/>
      </c>
      <c r="V2501" s="83" t="str">
        <f t="shared" si="276"/>
        <v/>
      </c>
      <c r="AA2501" s="60">
        <f t="shared" si="277"/>
        <v>0</v>
      </c>
      <c r="AB2501" s="49">
        <f t="shared" si="278"/>
        <v>0</v>
      </c>
      <c r="AC2501" s="60">
        <f t="shared" si="279"/>
        <v>0</v>
      </c>
    </row>
    <row r="2502" spans="1:29">
      <c r="A2502" s="83" t="str">
        <f t="shared" si="273"/>
        <v/>
      </c>
      <c r="B2502" s="83" t="str">
        <f t="shared" si="274"/>
        <v/>
      </c>
      <c r="U2502" s="83" t="str">
        <f t="shared" si="275"/>
        <v/>
      </c>
      <c r="V2502" s="83" t="str">
        <f t="shared" si="276"/>
        <v/>
      </c>
      <c r="AA2502" s="60">
        <f t="shared" si="277"/>
        <v>0</v>
      </c>
      <c r="AB2502" s="49">
        <f t="shared" si="278"/>
        <v>0</v>
      </c>
      <c r="AC2502" s="60">
        <f t="shared" si="279"/>
        <v>0</v>
      </c>
    </row>
    <row r="2503" spans="1:29">
      <c r="A2503" s="83" t="str">
        <f t="shared" si="273"/>
        <v/>
      </c>
      <c r="B2503" s="83" t="str">
        <f t="shared" si="274"/>
        <v/>
      </c>
      <c r="U2503" s="83" t="str">
        <f t="shared" si="275"/>
        <v/>
      </c>
      <c r="V2503" s="83" t="str">
        <f t="shared" si="276"/>
        <v/>
      </c>
      <c r="AA2503" s="60">
        <f t="shared" si="277"/>
        <v>0</v>
      </c>
      <c r="AB2503" s="49">
        <f t="shared" si="278"/>
        <v>0</v>
      </c>
      <c r="AC2503" s="60">
        <f t="shared" si="279"/>
        <v>0</v>
      </c>
    </row>
    <row r="2504" spans="1:29">
      <c r="A2504" s="83" t="str">
        <f t="shared" si="273"/>
        <v/>
      </c>
      <c r="B2504" s="83" t="str">
        <f t="shared" si="274"/>
        <v/>
      </c>
      <c r="U2504" s="83" t="str">
        <f t="shared" si="275"/>
        <v/>
      </c>
      <c r="V2504" s="83" t="str">
        <f t="shared" si="276"/>
        <v/>
      </c>
      <c r="AA2504" s="60">
        <f t="shared" si="277"/>
        <v>0</v>
      </c>
      <c r="AB2504" s="49">
        <f t="shared" si="278"/>
        <v>0</v>
      </c>
      <c r="AC2504" s="60">
        <f t="shared" si="279"/>
        <v>0</v>
      </c>
    </row>
    <row r="2505" spans="1:29">
      <c r="A2505" s="83" t="str">
        <f t="shared" si="273"/>
        <v/>
      </c>
      <c r="B2505" s="83" t="str">
        <f t="shared" si="274"/>
        <v/>
      </c>
      <c r="U2505" s="83" t="str">
        <f t="shared" si="275"/>
        <v/>
      </c>
      <c r="V2505" s="83" t="str">
        <f t="shared" si="276"/>
        <v/>
      </c>
      <c r="AA2505" s="60">
        <f t="shared" si="277"/>
        <v>0</v>
      </c>
      <c r="AB2505" s="49">
        <f t="shared" si="278"/>
        <v>0</v>
      </c>
      <c r="AC2505" s="60">
        <f t="shared" si="279"/>
        <v>0</v>
      </c>
    </row>
    <row r="2506" spans="1:29">
      <c r="A2506" s="83" t="str">
        <f t="shared" si="273"/>
        <v/>
      </c>
      <c r="B2506" s="83" t="str">
        <f t="shared" si="274"/>
        <v/>
      </c>
      <c r="U2506" s="83" t="str">
        <f t="shared" si="275"/>
        <v/>
      </c>
      <c r="V2506" s="83" t="str">
        <f t="shared" si="276"/>
        <v/>
      </c>
      <c r="AA2506" s="60">
        <f t="shared" si="277"/>
        <v>0</v>
      </c>
      <c r="AB2506" s="49">
        <f t="shared" si="278"/>
        <v>0</v>
      </c>
      <c r="AC2506" s="60">
        <f t="shared" si="279"/>
        <v>0</v>
      </c>
    </row>
    <row r="2507" spans="1:29">
      <c r="A2507" s="83" t="str">
        <f t="shared" si="273"/>
        <v/>
      </c>
      <c r="B2507" s="83" t="str">
        <f t="shared" si="274"/>
        <v/>
      </c>
      <c r="U2507" s="83" t="str">
        <f t="shared" si="275"/>
        <v/>
      </c>
      <c r="V2507" s="83" t="str">
        <f t="shared" si="276"/>
        <v/>
      </c>
      <c r="AA2507" s="60">
        <f t="shared" si="277"/>
        <v>0</v>
      </c>
      <c r="AB2507" s="49">
        <f t="shared" si="278"/>
        <v>0</v>
      </c>
      <c r="AC2507" s="60">
        <f t="shared" si="279"/>
        <v>0</v>
      </c>
    </row>
    <row r="2508" spans="1:29">
      <c r="A2508" s="83" t="str">
        <f t="shared" si="273"/>
        <v/>
      </c>
      <c r="B2508" s="83" t="str">
        <f t="shared" si="274"/>
        <v/>
      </c>
      <c r="U2508" s="83" t="str">
        <f t="shared" si="275"/>
        <v/>
      </c>
      <c r="V2508" s="83" t="str">
        <f t="shared" si="276"/>
        <v/>
      </c>
      <c r="AA2508" s="60">
        <f t="shared" si="277"/>
        <v>0</v>
      </c>
      <c r="AB2508" s="49">
        <f t="shared" si="278"/>
        <v>0</v>
      </c>
      <c r="AC2508" s="60">
        <f t="shared" si="279"/>
        <v>0</v>
      </c>
    </row>
    <row r="2509" spans="1:29">
      <c r="A2509" s="83" t="str">
        <f t="shared" si="273"/>
        <v/>
      </c>
      <c r="B2509" s="83" t="str">
        <f t="shared" si="274"/>
        <v/>
      </c>
      <c r="U2509" s="83" t="str">
        <f t="shared" si="275"/>
        <v/>
      </c>
      <c r="V2509" s="83" t="str">
        <f t="shared" si="276"/>
        <v/>
      </c>
      <c r="AA2509" s="60">
        <f t="shared" si="277"/>
        <v>0</v>
      </c>
      <c r="AB2509" s="49">
        <f t="shared" si="278"/>
        <v>0</v>
      </c>
      <c r="AC2509" s="60">
        <f t="shared" si="279"/>
        <v>0</v>
      </c>
    </row>
    <row r="2510" spans="1:29">
      <c r="A2510" s="83" t="str">
        <f t="shared" si="273"/>
        <v/>
      </c>
      <c r="B2510" s="83" t="str">
        <f t="shared" si="274"/>
        <v/>
      </c>
      <c r="U2510" s="83" t="str">
        <f t="shared" si="275"/>
        <v/>
      </c>
      <c r="V2510" s="83" t="str">
        <f t="shared" si="276"/>
        <v/>
      </c>
      <c r="AA2510" s="60">
        <f t="shared" si="277"/>
        <v>0</v>
      </c>
      <c r="AB2510" s="49">
        <f t="shared" si="278"/>
        <v>0</v>
      </c>
      <c r="AC2510" s="60">
        <f t="shared" si="279"/>
        <v>0</v>
      </c>
    </row>
    <row r="2511" spans="1:29">
      <c r="A2511" s="83" t="str">
        <f t="shared" si="273"/>
        <v/>
      </c>
      <c r="B2511" s="83" t="str">
        <f t="shared" si="274"/>
        <v/>
      </c>
      <c r="U2511" s="83" t="str">
        <f t="shared" si="275"/>
        <v/>
      </c>
      <c r="V2511" s="83" t="str">
        <f t="shared" si="276"/>
        <v/>
      </c>
      <c r="AA2511" s="60">
        <f t="shared" si="277"/>
        <v>0</v>
      </c>
      <c r="AB2511" s="49">
        <f t="shared" si="278"/>
        <v>0</v>
      </c>
      <c r="AC2511" s="60">
        <f t="shared" si="279"/>
        <v>0</v>
      </c>
    </row>
    <row r="2512" spans="1:29">
      <c r="A2512" s="83" t="str">
        <f t="shared" si="273"/>
        <v/>
      </c>
      <c r="B2512" s="83" t="str">
        <f t="shared" si="274"/>
        <v/>
      </c>
      <c r="U2512" s="83" t="str">
        <f t="shared" si="275"/>
        <v/>
      </c>
      <c r="V2512" s="83" t="str">
        <f t="shared" si="276"/>
        <v/>
      </c>
      <c r="AA2512" s="60">
        <f t="shared" si="277"/>
        <v>0</v>
      </c>
      <c r="AB2512" s="49">
        <f t="shared" si="278"/>
        <v>0</v>
      </c>
      <c r="AC2512" s="60">
        <f t="shared" si="279"/>
        <v>0</v>
      </c>
    </row>
    <row r="2513" spans="1:29">
      <c r="A2513" s="83" t="str">
        <f t="shared" si="273"/>
        <v/>
      </c>
      <c r="B2513" s="83" t="str">
        <f t="shared" si="274"/>
        <v/>
      </c>
      <c r="U2513" s="83" t="str">
        <f t="shared" si="275"/>
        <v/>
      </c>
      <c r="V2513" s="83" t="str">
        <f t="shared" si="276"/>
        <v/>
      </c>
      <c r="AA2513" s="60">
        <f t="shared" si="277"/>
        <v>0</v>
      </c>
      <c r="AB2513" s="49">
        <f t="shared" si="278"/>
        <v>0</v>
      </c>
      <c r="AC2513" s="60">
        <f t="shared" si="279"/>
        <v>0</v>
      </c>
    </row>
    <row r="2514" spans="1:29">
      <c r="A2514" s="83" t="str">
        <f t="shared" si="273"/>
        <v/>
      </c>
      <c r="B2514" s="83" t="str">
        <f t="shared" si="274"/>
        <v/>
      </c>
      <c r="U2514" s="83" t="str">
        <f t="shared" si="275"/>
        <v/>
      </c>
      <c r="V2514" s="83" t="str">
        <f t="shared" si="276"/>
        <v/>
      </c>
      <c r="AA2514" s="60">
        <f t="shared" si="277"/>
        <v>0</v>
      </c>
      <c r="AB2514" s="49">
        <f t="shared" si="278"/>
        <v>0</v>
      </c>
      <c r="AC2514" s="60">
        <f t="shared" si="279"/>
        <v>0</v>
      </c>
    </row>
    <row r="2515" spans="1:29">
      <c r="A2515" s="83" t="str">
        <f t="shared" si="273"/>
        <v/>
      </c>
      <c r="B2515" s="83" t="str">
        <f t="shared" si="274"/>
        <v/>
      </c>
      <c r="U2515" s="83" t="str">
        <f t="shared" si="275"/>
        <v/>
      </c>
      <c r="V2515" s="83" t="str">
        <f t="shared" si="276"/>
        <v/>
      </c>
      <c r="AA2515" s="60">
        <f t="shared" si="277"/>
        <v>0</v>
      </c>
      <c r="AB2515" s="49">
        <f t="shared" si="278"/>
        <v>0</v>
      </c>
      <c r="AC2515" s="60">
        <f t="shared" si="279"/>
        <v>0</v>
      </c>
    </row>
    <row r="2516" spans="1:29">
      <c r="A2516" s="83" t="str">
        <f t="shared" si="273"/>
        <v/>
      </c>
      <c r="B2516" s="83" t="str">
        <f t="shared" si="274"/>
        <v/>
      </c>
      <c r="U2516" s="83" t="str">
        <f t="shared" si="275"/>
        <v/>
      </c>
      <c r="V2516" s="83" t="str">
        <f t="shared" si="276"/>
        <v/>
      </c>
      <c r="AA2516" s="60">
        <f t="shared" si="277"/>
        <v>0</v>
      </c>
      <c r="AB2516" s="49">
        <f t="shared" si="278"/>
        <v>0</v>
      </c>
      <c r="AC2516" s="60">
        <f t="shared" si="279"/>
        <v>0</v>
      </c>
    </row>
    <row r="2517" spans="1:29">
      <c r="A2517" s="83" t="str">
        <f t="shared" si="273"/>
        <v/>
      </c>
      <c r="B2517" s="83" t="str">
        <f t="shared" si="274"/>
        <v/>
      </c>
      <c r="U2517" s="83" t="str">
        <f t="shared" si="275"/>
        <v/>
      </c>
      <c r="V2517" s="83" t="str">
        <f t="shared" si="276"/>
        <v/>
      </c>
      <c r="AA2517" s="60">
        <f t="shared" si="277"/>
        <v>0</v>
      </c>
      <c r="AB2517" s="49">
        <f t="shared" si="278"/>
        <v>0</v>
      </c>
      <c r="AC2517" s="60">
        <f t="shared" si="279"/>
        <v>0</v>
      </c>
    </row>
    <row r="2518" spans="1:29">
      <c r="A2518" s="83" t="str">
        <f t="shared" si="273"/>
        <v/>
      </c>
      <c r="B2518" s="83" t="str">
        <f t="shared" si="274"/>
        <v/>
      </c>
      <c r="U2518" s="83" t="str">
        <f t="shared" si="275"/>
        <v/>
      </c>
      <c r="V2518" s="83" t="str">
        <f t="shared" si="276"/>
        <v/>
      </c>
      <c r="AA2518" s="60">
        <f t="shared" si="277"/>
        <v>0</v>
      </c>
      <c r="AB2518" s="49">
        <f t="shared" si="278"/>
        <v>0</v>
      </c>
      <c r="AC2518" s="60">
        <f t="shared" si="279"/>
        <v>0</v>
      </c>
    </row>
    <row r="2519" spans="1:29">
      <c r="A2519" s="83" t="str">
        <f t="shared" si="273"/>
        <v/>
      </c>
      <c r="B2519" s="83" t="str">
        <f t="shared" si="274"/>
        <v/>
      </c>
      <c r="U2519" s="83" t="str">
        <f t="shared" si="275"/>
        <v/>
      </c>
      <c r="V2519" s="83" t="str">
        <f t="shared" si="276"/>
        <v/>
      </c>
      <c r="AA2519" s="60">
        <f t="shared" si="277"/>
        <v>0</v>
      </c>
      <c r="AB2519" s="49">
        <f t="shared" si="278"/>
        <v>0</v>
      </c>
      <c r="AC2519" s="60">
        <f t="shared" si="279"/>
        <v>0</v>
      </c>
    </row>
    <row r="2520" spans="1:29">
      <c r="A2520" s="83" t="str">
        <f t="shared" si="273"/>
        <v/>
      </c>
      <c r="B2520" s="83" t="str">
        <f t="shared" si="274"/>
        <v/>
      </c>
      <c r="U2520" s="83" t="str">
        <f t="shared" si="275"/>
        <v/>
      </c>
      <c r="V2520" s="83" t="str">
        <f t="shared" si="276"/>
        <v/>
      </c>
      <c r="AA2520" s="60">
        <f t="shared" si="277"/>
        <v>0</v>
      </c>
      <c r="AB2520" s="49">
        <f t="shared" si="278"/>
        <v>0</v>
      </c>
      <c r="AC2520" s="60">
        <f t="shared" si="279"/>
        <v>0</v>
      </c>
    </row>
    <row r="2521" spans="1:29">
      <c r="A2521" s="83" t="str">
        <f t="shared" si="273"/>
        <v/>
      </c>
      <c r="B2521" s="83" t="str">
        <f t="shared" si="274"/>
        <v/>
      </c>
      <c r="U2521" s="83" t="str">
        <f t="shared" si="275"/>
        <v/>
      </c>
      <c r="V2521" s="83" t="str">
        <f t="shared" si="276"/>
        <v/>
      </c>
      <c r="AA2521" s="60">
        <f t="shared" si="277"/>
        <v>0</v>
      </c>
      <c r="AB2521" s="49">
        <f t="shared" si="278"/>
        <v>0</v>
      </c>
      <c r="AC2521" s="60">
        <f t="shared" si="279"/>
        <v>0</v>
      </c>
    </row>
    <row r="2522" spans="1:29">
      <c r="A2522" s="83" t="str">
        <f t="shared" si="273"/>
        <v/>
      </c>
      <c r="B2522" s="83" t="str">
        <f t="shared" si="274"/>
        <v/>
      </c>
      <c r="U2522" s="83" t="str">
        <f t="shared" si="275"/>
        <v/>
      </c>
      <c r="V2522" s="83" t="str">
        <f t="shared" si="276"/>
        <v/>
      </c>
      <c r="AA2522" s="60">
        <f t="shared" si="277"/>
        <v>0</v>
      </c>
      <c r="AB2522" s="49">
        <f t="shared" si="278"/>
        <v>0</v>
      </c>
      <c r="AC2522" s="60">
        <f t="shared" si="279"/>
        <v>0</v>
      </c>
    </row>
    <row r="2523" spans="1:29">
      <c r="A2523" s="83" t="str">
        <f t="shared" si="273"/>
        <v/>
      </c>
      <c r="B2523" s="83" t="str">
        <f t="shared" si="274"/>
        <v/>
      </c>
      <c r="U2523" s="83" t="str">
        <f t="shared" si="275"/>
        <v/>
      </c>
      <c r="V2523" s="83" t="str">
        <f t="shared" si="276"/>
        <v/>
      </c>
      <c r="AA2523" s="60">
        <f t="shared" si="277"/>
        <v>0</v>
      </c>
      <c r="AB2523" s="49">
        <f t="shared" si="278"/>
        <v>0</v>
      </c>
      <c r="AC2523" s="60">
        <f t="shared" si="279"/>
        <v>0</v>
      </c>
    </row>
    <row r="2524" spans="1:29">
      <c r="A2524" s="83" t="str">
        <f t="shared" si="273"/>
        <v/>
      </c>
      <c r="B2524" s="83" t="str">
        <f t="shared" si="274"/>
        <v/>
      </c>
      <c r="U2524" s="83" t="str">
        <f t="shared" si="275"/>
        <v/>
      </c>
      <c r="V2524" s="83" t="str">
        <f t="shared" si="276"/>
        <v/>
      </c>
      <c r="AA2524" s="60">
        <f t="shared" si="277"/>
        <v>0</v>
      </c>
      <c r="AB2524" s="49">
        <f t="shared" si="278"/>
        <v>0</v>
      </c>
      <c r="AC2524" s="60">
        <f t="shared" si="279"/>
        <v>0</v>
      </c>
    </row>
    <row r="2525" spans="1:29">
      <c r="A2525" s="83" t="str">
        <f t="shared" si="273"/>
        <v/>
      </c>
      <c r="B2525" s="83" t="str">
        <f t="shared" si="274"/>
        <v/>
      </c>
      <c r="U2525" s="83" t="str">
        <f t="shared" si="275"/>
        <v/>
      </c>
      <c r="V2525" s="83" t="str">
        <f t="shared" si="276"/>
        <v/>
      </c>
      <c r="AA2525" s="60">
        <f t="shared" si="277"/>
        <v>0</v>
      </c>
      <c r="AB2525" s="49">
        <f t="shared" si="278"/>
        <v>0</v>
      </c>
      <c r="AC2525" s="60">
        <f t="shared" si="279"/>
        <v>0</v>
      </c>
    </row>
    <row r="2526" spans="1:29">
      <c r="A2526" s="83" t="str">
        <f t="shared" si="273"/>
        <v/>
      </c>
      <c r="B2526" s="83" t="str">
        <f t="shared" si="274"/>
        <v/>
      </c>
      <c r="U2526" s="83" t="str">
        <f t="shared" si="275"/>
        <v/>
      </c>
      <c r="V2526" s="83" t="str">
        <f t="shared" si="276"/>
        <v/>
      </c>
      <c r="AA2526" s="60">
        <f t="shared" si="277"/>
        <v>0</v>
      </c>
      <c r="AB2526" s="49">
        <f t="shared" si="278"/>
        <v>0</v>
      </c>
      <c r="AC2526" s="60">
        <f t="shared" si="279"/>
        <v>0</v>
      </c>
    </row>
    <row r="2527" spans="1:29">
      <c r="A2527" s="83" t="str">
        <f t="shared" si="273"/>
        <v/>
      </c>
      <c r="B2527" s="83" t="str">
        <f t="shared" si="274"/>
        <v/>
      </c>
      <c r="U2527" s="83" t="str">
        <f t="shared" si="275"/>
        <v/>
      </c>
      <c r="V2527" s="83" t="str">
        <f t="shared" si="276"/>
        <v/>
      </c>
      <c r="AA2527" s="60">
        <f t="shared" si="277"/>
        <v>0</v>
      </c>
      <c r="AB2527" s="49">
        <f t="shared" si="278"/>
        <v>0</v>
      </c>
      <c r="AC2527" s="60">
        <f t="shared" si="279"/>
        <v>0</v>
      </c>
    </row>
    <row r="2528" spans="1:29">
      <c r="A2528" s="83" t="str">
        <f t="shared" si="273"/>
        <v/>
      </c>
      <c r="B2528" s="83" t="str">
        <f t="shared" si="274"/>
        <v/>
      </c>
      <c r="U2528" s="83" t="str">
        <f t="shared" si="275"/>
        <v/>
      </c>
      <c r="V2528" s="83" t="str">
        <f t="shared" si="276"/>
        <v/>
      </c>
      <c r="AA2528" s="60">
        <f t="shared" si="277"/>
        <v>0</v>
      </c>
      <c r="AB2528" s="49">
        <f t="shared" si="278"/>
        <v>0</v>
      </c>
      <c r="AC2528" s="60">
        <f t="shared" si="279"/>
        <v>0</v>
      </c>
    </row>
    <row r="2529" spans="1:29">
      <c r="A2529" s="83" t="str">
        <f t="shared" si="273"/>
        <v/>
      </c>
      <c r="B2529" s="83" t="str">
        <f t="shared" si="274"/>
        <v/>
      </c>
      <c r="U2529" s="83" t="str">
        <f t="shared" si="275"/>
        <v/>
      </c>
      <c r="V2529" s="83" t="str">
        <f t="shared" si="276"/>
        <v/>
      </c>
      <c r="AA2529" s="60">
        <f t="shared" si="277"/>
        <v>0</v>
      </c>
      <c r="AB2529" s="49">
        <f t="shared" si="278"/>
        <v>0</v>
      </c>
      <c r="AC2529" s="60">
        <f t="shared" si="279"/>
        <v>0</v>
      </c>
    </row>
    <row r="2530" spans="1:29">
      <c r="A2530" s="83" t="str">
        <f t="shared" si="273"/>
        <v/>
      </c>
      <c r="B2530" s="83" t="str">
        <f t="shared" si="274"/>
        <v/>
      </c>
      <c r="U2530" s="83" t="str">
        <f t="shared" si="275"/>
        <v/>
      </c>
      <c r="V2530" s="83" t="str">
        <f t="shared" si="276"/>
        <v/>
      </c>
      <c r="AA2530" s="60">
        <f t="shared" si="277"/>
        <v>0</v>
      </c>
      <c r="AB2530" s="49">
        <f t="shared" si="278"/>
        <v>0</v>
      </c>
      <c r="AC2530" s="60">
        <f t="shared" si="279"/>
        <v>0</v>
      </c>
    </row>
    <row r="2531" spans="1:29">
      <c r="A2531" s="83" t="str">
        <f t="shared" si="273"/>
        <v/>
      </c>
      <c r="B2531" s="83" t="str">
        <f t="shared" si="274"/>
        <v/>
      </c>
      <c r="U2531" s="83" t="str">
        <f t="shared" si="275"/>
        <v/>
      </c>
      <c r="V2531" s="83" t="str">
        <f t="shared" si="276"/>
        <v/>
      </c>
      <c r="AA2531" s="60">
        <f t="shared" si="277"/>
        <v>0</v>
      </c>
      <c r="AB2531" s="49">
        <f t="shared" si="278"/>
        <v>0</v>
      </c>
      <c r="AC2531" s="60">
        <f t="shared" si="279"/>
        <v>0</v>
      </c>
    </row>
    <row r="2532" spans="1:29">
      <c r="A2532" s="83" t="str">
        <f t="shared" si="273"/>
        <v/>
      </c>
      <c r="B2532" s="83" t="str">
        <f t="shared" si="274"/>
        <v/>
      </c>
      <c r="U2532" s="83" t="str">
        <f t="shared" si="275"/>
        <v/>
      </c>
      <c r="V2532" s="83" t="str">
        <f t="shared" si="276"/>
        <v/>
      </c>
      <c r="AA2532" s="60">
        <f t="shared" si="277"/>
        <v>0</v>
      </c>
      <c r="AB2532" s="49">
        <f t="shared" si="278"/>
        <v>0</v>
      </c>
      <c r="AC2532" s="60">
        <f t="shared" si="279"/>
        <v>0</v>
      </c>
    </row>
    <row r="2533" spans="1:29">
      <c r="A2533" s="83" t="str">
        <f t="shared" si="273"/>
        <v/>
      </c>
      <c r="B2533" s="83" t="str">
        <f t="shared" si="274"/>
        <v/>
      </c>
      <c r="U2533" s="83" t="str">
        <f t="shared" si="275"/>
        <v/>
      </c>
      <c r="V2533" s="83" t="str">
        <f t="shared" si="276"/>
        <v/>
      </c>
      <c r="AA2533" s="60">
        <f t="shared" si="277"/>
        <v>0</v>
      </c>
      <c r="AB2533" s="49">
        <f t="shared" si="278"/>
        <v>0</v>
      </c>
      <c r="AC2533" s="60">
        <f t="shared" si="279"/>
        <v>0</v>
      </c>
    </row>
    <row r="2534" spans="1:29">
      <c r="A2534" s="83" t="str">
        <f t="shared" si="273"/>
        <v/>
      </c>
      <c r="B2534" s="83" t="str">
        <f t="shared" si="274"/>
        <v/>
      </c>
      <c r="U2534" s="83" t="str">
        <f t="shared" si="275"/>
        <v/>
      </c>
      <c r="V2534" s="83" t="str">
        <f t="shared" si="276"/>
        <v/>
      </c>
      <c r="AA2534" s="60">
        <f t="shared" si="277"/>
        <v>0</v>
      </c>
      <c r="AB2534" s="49">
        <f t="shared" si="278"/>
        <v>0</v>
      </c>
      <c r="AC2534" s="60">
        <f t="shared" si="279"/>
        <v>0</v>
      </c>
    </row>
    <row r="2535" spans="1:29">
      <c r="A2535" s="83" t="str">
        <f t="shared" si="273"/>
        <v/>
      </c>
      <c r="B2535" s="83" t="str">
        <f t="shared" si="274"/>
        <v/>
      </c>
      <c r="U2535" s="83" t="str">
        <f t="shared" si="275"/>
        <v/>
      </c>
      <c r="V2535" s="83" t="str">
        <f t="shared" si="276"/>
        <v/>
      </c>
      <c r="AA2535" s="60">
        <f t="shared" si="277"/>
        <v>0</v>
      </c>
      <c r="AB2535" s="49">
        <f t="shared" si="278"/>
        <v>0</v>
      </c>
      <c r="AC2535" s="60">
        <f t="shared" si="279"/>
        <v>0</v>
      </c>
    </row>
    <row r="2536" spans="1:29">
      <c r="A2536" s="83" t="str">
        <f t="shared" si="273"/>
        <v/>
      </c>
      <c r="B2536" s="83" t="str">
        <f t="shared" si="274"/>
        <v/>
      </c>
      <c r="U2536" s="83" t="str">
        <f t="shared" si="275"/>
        <v/>
      </c>
      <c r="V2536" s="83" t="str">
        <f t="shared" si="276"/>
        <v/>
      </c>
      <c r="AA2536" s="60">
        <f t="shared" si="277"/>
        <v>0</v>
      </c>
      <c r="AB2536" s="49">
        <f t="shared" si="278"/>
        <v>0</v>
      </c>
      <c r="AC2536" s="60">
        <f t="shared" si="279"/>
        <v>0</v>
      </c>
    </row>
    <row r="2537" spans="1:29">
      <c r="A2537" s="83" t="str">
        <f t="shared" si="273"/>
        <v/>
      </c>
      <c r="B2537" s="83" t="str">
        <f t="shared" si="274"/>
        <v/>
      </c>
      <c r="U2537" s="83" t="str">
        <f t="shared" si="275"/>
        <v/>
      </c>
      <c r="V2537" s="83" t="str">
        <f t="shared" si="276"/>
        <v/>
      </c>
      <c r="AA2537" s="60">
        <f t="shared" si="277"/>
        <v>0</v>
      </c>
      <c r="AB2537" s="49">
        <f t="shared" si="278"/>
        <v>0</v>
      </c>
      <c r="AC2537" s="60">
        <f t="shared" si="279"/>
        <v>0</v>
      </c>
    </row>
    <row r="2538" spans="1:29">
      <c r="A2538" s="83" t="str">
        <f t="shared" si="273"/>
        <v/>
      </c>
      <c r="B2538" s="83" t="str">
        <f t="shared" si="274"/>
        <v/>
      </c>
      <c r="U2538" s="83" t="str">
        <f t="shared" si="275"/>
        <v/>
      </c>
      <c r="V2538" s="83" t="str">
        <f t="shared" si="276"/>
        <v/>
      </c>
      <c r="AA2538" s="60">
        <f t="shared" si="277"/>
        <v>0</v>
      </c>
      <c r="AB2538" s="49">
        <f t="shared" si="278"/>
        <v>0</v>
      </c>
      <c r="AC2538" s="60">
        <f t="shared" si="279"/>
        <v>0</v>
      </c>
    </row>
    <row r="2539" spans="1:29">
      <c r="A2539" s="83" t="str">
        <f t="shared" si="273"/>
        <v/>
      </c>
      <c r="B2539" s="83" t="str">
        <f t="shared" si="274"/>
        <v/>
      </c>
      <c r="U2539" s="83" t="str">
        <f t="shared" si="275"/>
        <v/>
      </c>
      <c r="V2539" s="83" t="str">
        <f t="shared" si="276"/>
        <v/>
      </c>
      <c r="AA2539" s="60">
        <f t="shared" si="277"/>
        <v>0</v>
      </c>
      <c r="AB2539" s="49">
        <f t="shared" si="278"/>
        <v>0</v>
      </c>
      <c r="AC2539" s="60">
        <f t="shared" si="279"/>
        <v>0</v>
      </c>
    </row>
    <row r="2540" spans="1:29">
      <c r="A2540" s="83" t="str">
        <f t="shared" si="273"/>
        <v/>
      </c>
      <c r="B2540" s="83" t="str">
        <f t="shared" si="274"/>
        <v/>
      </c>
      <c r="U2540" s="83" t="str">
        <f t="shared" si="275"/>
        <v/>
      </c>
      <c r="V2540" s="83" t="str">
        <f t="shared" si="276"/>
        <v/>
      </c>
      <c r="AA2540" s="60">
        <f t="shared" si="277"/>
        <v>0</v>
      </c>
      <c r="AB2540" s="49">
        <f t="shared" si="278"/>
        <v>0</v>
      </c>
      <c r="AC2540" s="60">
        <f t="shared" si="279"/>
        <v>0</v>
      </c>
    </row>
    <row r="2541" spans="1:29">
      <c r="A2541" s="83" t="str">
        <f t="shared" si="273"/>
        <v/>
      </c>
      <c r="B2541" s="83" t="str">
        <f t="shared" si="274"/>
        <v/>
      </c>
      <c r="U2541" s="83" t="str">
        <f t="shared" si="275"/>
        <v/>
      </c>
      <c r="V2541" s="83" t="str">
        <f t="shared" si="276"/>
        <v/>
      </c>
      <c r="AA2541" s="60">
        <f t="shared" si="277"/>
        <v>0</v>
      </c>
      <c r="AB2541" s="49">
        <f t="shared" si="278"/>
        <v>0</v>
      </c>
      <c r="AC2541" s="60">
        <f t="shared" si="279"/>
        <v>0</v>
      </c>
    </row>
    <row r="2542" spans="1:29">
      <c r="A2542" s="83" t="str">
        <f t="shared" si="273"/>
        <v/>
      </c>
      <c r="B2542" s="83" t="str">
        <f t="shared" si="274"/>
        <v/>
      </c>
      <c r="U2542" s="83" t="str">
        <f t="shared" si="275"/>
        <v/>
      </c>
      <c r="V2542" s="83" t="str">
        <f t="shared" si="276"/>
        <v/>
      </c>
      <c r="AA2542" s="60">
        <f t="shared" si="277"/>
        <v>0</v>
      </c>
      <c r="AB2542" s="49">
        <f t="shared" si="278"/>
        <v>0</v>
      </c>
      <c r="AC2542" s="60">
        <f t="shared" si="279"/>
        <v>0</v>
      </c>
    </row>
    <row r="2543" spans="1:29">
      <c r="A2543" s="83" t="str">
        <f t="shared" si="273"/>
        <v/>
      </c>
      <c r="B2543" s="83" t="str">
        <f t="shared" si="274"/>
        <v/>
      </c>
      <c r="U2543" s="83" t="str">
        <f t="shared" si="275"/>
        <v/>
      </c>
      <c r="V2543" s="83" t="str">
        <f t="shared" si="276"/>
        <v/>
      </c>
      <c r="AA2543" s="60">
        <f t="shared" si="277"/>
        <v>0</v>
      </c>
      <c r="AB2543" s="49">
        <f t="shared" si="278"/>
        <v>0</v>
      </c>
      <c r="AC2543" s="60">
        <f t="shared" si="279"/>
        <v>0</v>
      </c>
    </row>
    <row r="2544" spans="1:29">
      <c r="A2544" s="83" t="str">
        <f t="shared" si="273"/>
        <v/>
      </c>
      <c r="B2544" s="83" t="str">
        <f t="shared" si="274"/>
        <v/>
      </c>
      <c r="U2544" s="83" t="str">
        <f t="shared" si="275"/>
        <v/>
      </c>
      <c r="V2544" s="83" t="str">
        <f t="shared" si="276"/>
        <v/>
      </c>
      <c r="AA2544" s="60">
        <f t="shared" si="277"/>
        <v>0</v>
      </c>
      <c r="AB2544" s="49">
        <f t="shared" si="278"/>
        <v>0</v>
      </c>
      <c r="AC2544" s="60">
        <f t="shared" si="279"/>
        <v>0</v>
      </c>
    </row>
    <row r="2545" spans="1:29">
      <c r="A2545" s="83" t="str">
        <f t="shared" si="273"/>
        <v/>
      </c>
      <c r="B2545" s="83" t="str">
        <f t="shared" si="274"/>
        <v/>
      </c>
      <c r="U2545" s="83" t="str">
        <f t="shared" si="275"/>
        <v/>
      </c>
      <c r="V2545" s="83" t="str">
        <f t="shared" si="276"/>
        <v/>
      </c>
      <c r="AA2545" s="60">
        <f t="shared" si="277"/>
        <v>0</v>
      </c>
      <c r="AB2545" s="49">
        <f t="shared" si="278"/>
        <v>0</v>
      </c>
      <c r="AC2545" s="60">
        <f t="shared" si="279"/>
        <v>0</v>
      </c>
    </row>
    <row r="2546" spans="1:29">
      <c r="A2546" s="83" t="str">
        <f t="shared" si="273"/>
        <v/>
      </c>
      <c r="B2546" s="83" t="str">
        <f t="shared" si="274"/>
        <v/>
      </c>
      <c r="U2546" s="83" t="str">
        <f t="shared" si="275"/>
        <v/>
      </c>
      <c r="V2546" s="83" t="str">
        <f t="shared" si="276"/>
        <v/>
      </c>
      <c r="AA2546" s="60">
        <f t="shared" si="277"/>
        <v>0</v>
      </c>
      <c r="AB2546" s="49">
        <f t="shared" si="278"/>
        <v>0</v>
      </c>
      <c r="AC2546" s="60">
        <f t="shared" si="279"/>
        <v>0</v>
      </c>
    </row>
    <row r="2547" spans="1:29">
      <c r="A2547" s="83" t="str">
        <f t="shared" si="273"/>
        <v/>
      </c>
      <c r="B2547" s="83" t="str">
        <f t="shared" si="274"/>
        <v/>
      </c>
      <c r="U2547" s="83" t="str">
        <f t="shared" si="275"/>
        <v/>
      </c>
      <c r="V2547" s="83" t="str">
        <f t="shared" si="276"/>
        <v/>
      </c>
      <c r="AA2547" s="60">
        <f t="shared" si="277"/>
        <v>0</v>
      </c>
      <c r="AB2547" s="49">
        <f t="shared" si="278"/>
        <v>0</v>
      </c>
      <c r="AC2547" s="60">
        <f t="shared" si="279"/>
        <v>0</v>
      </c>
    </row>
    <row r="2548" spans="1:29">
      <c r="A2548" s="83" t="str">
        <f t="shared" si="273"/>
        <v/>
      </c>
      <c r="B2548" s="83" t="str">
        <f t="shared" si="274"/>
        <v/>
      </c>
      <c r="U2548" s="83" t="str">
        <f t="shared" si="275"/>
        <v/>
      </c>
      <c r="V2548" s="83" t="str">
        <f t="shared" si="276"/>
        <v/>
      </c>
      <c r="AA2548" s="60">
        <f t="shared" si="277"/>
        <v>0</v>
      </c>
      <c r="AB2548" s="49">
        <f t="shared" si="278"/>
        <v>0</v>
      </c>
      <c r="AC2548" s="60">
        <f t="shared" si="279"/>
        <v>0</v>
      </c>
    </row>
    <row r="2549" spans="1:29">
      <c r="A2549" s="83" t="str">
        <f t="shared" si="273"/>
        <v/>
      </c>
      <c r="B2549" s="83" t="str">
        <f t="shared" si="274"/>
        <v/>
      </c>
      <c r="U2549" s="83" t="str">
        <f t="shared" si="275"/>
        <v/>
      </c>
      <c r="V2549" s="83" t="str">
        <f t="shared" si="276"/>
        <v/>
      </c>
      <c r="AA2549" s="60">
        <f t="shared" si="277"/>
        <v>0</v>
      </c>
      <c r="AB2549" s="49">
        <f t="shared" si="278"/>
        <v>0</v>
      </c>
      <c r="AC2549" s="60">
        <f t="shared" si="279"/>
        <v>0</v>
      </c>
    </row>
    <row r="2550" spans="1:29">
      <c r="A2550" s="83" t="str">
        <f t="shared" si="273"/>
        <v/>
      </c>
      <c r="B2550" s="83" t="str">
        <f t="shared" si="274"/>
        <v/>
      </c>
      <c r="U2550" s="83" t="str">
        <f t="shared" si="275"/>
        <v/>
      </c>
      <c r="V2550" s="83" t="str">
        <f t="shared" si="276"/>
        <v/>
      </c>
      <c r="AA2550" s="60">
        <f t="shared" si="277"/>
        <v>0</v>
      </c>
      <c r="AB2550" s="49">
        <f t="shared" si="278"/>
        <v>0</v>
      </c>
      <c r="AC2550" s="60">
        <f t="shared" si="279"/>
        <v>0</v>
      </c>
    </row>
    <row r="2551" spans="1:29">
      <c r="A2551" s="83" t="str">
        <f t="shared" si="273"/>
        <v/>
      </c>
      <c r="B2551" s="83" t="str">
        <f t="shared" si="274"/>
        <v/>
      </c>
      <c r="U2551" s="83" t="str">
        <f t="shared" si="275"/>
        <v/>
      </c>
      <c r="V2551" s="83" t="str">
        <f t="shared" si="276"/>
        <v/>
      </c>
      <c r="AA2551" s="60">
        <f t="shared" si="277"/>
        <v>0</v>
      </c>
      <c r="AB2551" s="49">
        <f t="shared" si="278"/>
        <v>0</v>
      </c>
      <c r="AC2551" s="60">
        <f t="shared" si="279"/>
        <v>0</v>
      </c>
    </row>
    <row r="2552" spans="1:29">
      <c r="A2552" s="83" t="str">
        <f t="shared" si="273"/>
        <v/>
      </c>
      <c r="B2552" s="83" t="str">
        <f t="shared" si="274"/>
        <v/>
      </c>
      <c r="U2552" s="83" t="str">
        <f t="shared" si="275"/>
        <v/>
      </c>
      <c r="V2552" s="83" t="str">
        <f t="shared" si="276"/>
        <v/>
      </c>
      <c r="AA2552" s="60">
        <f t="shared" si="277"/>
        <v>0</v>
      </c>
      <c r="AB2552" s="49">
        <f t="shared" si="278"/>
        <v>0</v>
      </c>
      <c r="AC2552" s="60">
        <f t="shared" si="279"/>
        <v>0</v>
      </c>
    </row>
    <row r="2553" spans="1:29">
      <c r="A2553" s="83" t="str">
        <f t="shared" si="273"/>
        <v/>
      </c>
      <c r="B2553" s="83" t="str">
        <f t="shared" si="274"/>
        <v/>
      </c>
      <c r="U2553" s="83" t="str">
        <f t="shared" si="275"/>
        <v/>
      </c>
      <c r="V2553" s="83" t="str">
        <f t="shared" si="276"/>
        <v/>
      </c>
      <c r="AA2553" s="60">
        <f t="shared" si="277"/>
        <v>0</v>
      </c>
      <c r="AB2553" s="49">
        <f t="shared" si="278"/>
        <v>0</v>
      </c>
      <c r="AC2553" s="60">
        <f t="shared" si="279"/>
        <v>0</v>
      </c>
    </row>
    <row r="2554" spans="1:29">
      <c r="A2554" s="83" t="str">
        <f t="shared" si="273"/>
        <v/>
      </c>
      <c r="B2554" s="83" t="str">
        <f t="shared" si="274"/>
        <v/>
      </c>
      <c r="U2554" s="83" t="str">
        <f t="shared" si="275"/>
        <v/>
      </c>
      <c r="V2554" s="83" t="str">
        <f t="shared" si="276"/>
        <v/>
      </c>
      <c r="AA2554" s="60">
        <f t="shared" si="277"/>
        <v>0</v>
      </c>
      <c r="AB2554" s="49">
        <f t="shared" si="278"/>
        <v>0</v>
      </c>
      <c r="AC2554" s="60">
        <f t="shared" si="279"/>
        <v>0</v>
      </c>
    </row>
    <row r="2555" spans="1:29">
      <c r="A2555" s="83" t="str">
        <f t="shared" si="273"/>
        <v/>
      </c>
      <c r="B2555" s="83" t="str">
        <f t="shared" si="274"/>
        <v/>
      </c>
      <c r="U2555" s="83" t="str">
        <f t="shared" si="275"/>
        <v/>
      </c>
      <c r="V2555" s="83" t="str">
        <f t="shared" si="276"/>
        <v/>
      </c>
      <c r="AA2555" s="60">
        <f t="shared" si="277"/>
        <v>0</v>
      </c>
      <c r="AB2555" s="49">
        <f t="shared" si="278"/>
        <v>0</v>
      </c>
      <c r="AC2555" s="60">
        <f t="shared" si="279"/>
        <v>0</v>
      </c>
    </row>
    <row r="2556" spans="1:29">
      <c r="A2556" s="83" t="str">
        <f t="shared" si="273"/>
        <v/>
      </c>
      <c r="B2556" s="83" t="str">
        <f t="shared" si="274"/>
        <v/>
      </c>
      <c r="U2556" s="83" t="str">
        <f t="shared" si="275"/>
        <v/>
      </c>
      <c r="V2556" s="83" t="str">
        <f t="shared" si="276"/>
        <v/>
      </c>
      <c r="AA2556" s="60">
        <f t="shared" si="277"/>
        <v>0</v>
      </c>
      <c r="AB2556" s="49">
        <f t="shared" si="278"/>
        <v>0</v>
      </c>
      <c r="AC2556" s="60">
        <f t="shared" si="279"/>
        <v>0</v>
      </c>
    </row>
    <row r="2557" spans="1:29">
      <c r="A2557" s="83" t="str">
        <f t="shared" si="273"/>
        <v/>
      </c>
      <c r="B2557" s="83" t="str">
        <f t="shared" si="274"/>
        <v/>
      </c>
      <c r="U2557" s="83" t="str">
        <f t="shared" si="275"/>
        <v/>
      </c>
      <c r="V2557" s="83" t="str">
        <f t="shared" si="276"/>
        <v/>
      </c>
      <c r="AA2557" s="60">
        <f t="shared" si="277"/>
        <v>0</v>
      </c>
      <c r="AB2557" s="49">
        <f t="shared" si="278"/>
        <v>0</v>
      </c>
      <c r="AC2557" s="60">
        <f t="shared" si="279"/>
        <v>0</v>
      </c>
    </row>
    <row r="2558" spans="1:29">
      <c r="A2558" s="83" t="str">
        <f t="shared" si="273"/>
        <v/>
      </c>
      <c r="B2558" s="83" t="str">
        <f t="shared" si="274"/>
        <v/>
      </c>
      <c r="U2558" s="83" t="str">
        <f t="shared" si="275"/>
        <v/>
      </c>
      <c r="V2558" s="83" t="str">
        <f t="shared" si="276"/>
        <v/>
      </c>
      <c r="AA2558" s="60">
        <f t="shared" si="277"/>
        <v>0</v>
      </c>
      <c r="AB2558" s="49">
        <f t="shared" si="278"/>
        <v>0</v>
      </c>
      <c r="AC2558" s="60">
        <f t="shared" si="279"/>
        <v>0</v>
      </c>
    </row>
    <row r="2559" spans="1:29">
      <c r="A2559" s="83" t="str">
        <f t="shared" si="273"/>
        <v/>
      </c>
      <c r="B2559" s="83" t="str">
        <f t="shared" si="274"/>
        <v/>
      </c>
      <c r="U2559" s="83" t="str">
        <f t="shared" si="275"/>
        <v/>
      </c>
      <c r="V2559" s="83" t="str">
        <f t="shared" si="276"/>
        <v/>
      </c>
      <c r="AA2559" s="60">
        <f t="shared" si="277"/>
        <v>0</v>
      </c>
      <c r="AB2559" s="49">
        <f t="shared" si="278"/>
        <v>0</v>
      </c>
      <c r="AC2559" s="60">
        <f t="shared" si="279"/>
        <v>0</v>
      </c>
    </row>
    <row r="2560" spans="1:29">
      <c r="A2560" s="83" t="str">
        <f t="shared" si="273"/>
        <v/>
      </c>
      <c r="B2560" s="83" t="str">
        <f t="shared" si="274"/>
        <v/>
      </c>
      <c r="U2560" s="83" t="str">
        <f t="shared" si="275"/>
        <v/>
      </c>
      <c r="V2560" s="83" t="str">
        <f t="shared" si="276"/>
        <v/>
      </c>
      <c r="AA2560" s="60">
        <f t="shared" si="277"/>
        <v>0</v>
      </c>
      <c r="AB2560" s="49">
        <f t="shared" si="278"/>
        <v>0</v>
      </c>
      <c r="AC2560" s="60">
        <f t="shared" si="279"/>
        <v>0</v>
      </c>
    </row>
    <row r="2561" spans="1:29">
      <c r="A2561" s="83" t="str">
        <f t="shared" si="273"/>
        <v/>
      </c>
      <c r="B2561" s="83" t="str">
        <f t="shared" si="274"/>
        <v/>
      </c>
      <c r="U2561" s="83" t="str">
        <f t="shared" si="275"/>
        <v/>
      </c>
      <c r="V2561" s="83" t="str">
        <f t="shared" si="276"/>
        <v/>
      </c>
      <c r="AA2561" s="60">
        <f t="shared" si="277"/>
        <v>0</v>
      </c>
      <c r="AB2561" s="49">
        <f t="shared" si="278"/>
        <v>0</v>
      </c>
      <c r="AC2561" s="60">
        <f t="shared" si="279"/>
        <v>0</v>
      </c>
    </row>
    <row r="2562" spans="1:29">
      <c r="A2562" s="83" t="str">
        <f t="shared" si="273"/>
        <v/>
      </c>
      <c r="B2562" s="83" t="str">
        <f t="shared" si="274"/>
        <v/>
      </c>
      <c r="U2562" s="83" t="str">
        <f t="shared" si="275"/>
        <v/>
      </c>
      <c r="V2562" s="83" t="str">
        <f t="shared" si="276"/>
        <v/>
      </c>
      <c r="AA2562" s="60">
        <f t="shared" si="277"/>
        <v>0</v>
      </c>
      <c r="AB2562" s="49">
        <f t="shared" si="278"/>
        <v>0</v>
      </c>
      <c r="AC2562" s="60">
        <f t="shared" si="279"/>
        <v>0</v>
      </c>
    </row>
    <row r="2563" spans="1:29">
      <c r="A2563" s="83" t="str">
        <f t="shared" ref="A2563:A2626" si="280">IF(G2563&amp;Q2563&lt;&gt;"",U2563&amp;Q2563,"")</f>
        <v/>
      </c>
      <c r="B2563" s="83" t="str">
        <f t="shared" ref="B2563:B2626" si="281">IF(C2563&lt;&gt;"",LEFT(C2563,9),"")</f>
        <v/>
      </c>
      <c r="U2563" s="83" t="str">
        <f t="shared" ref="U2563:U2626" si="282">IF(G2563&lt;&gt;"",IF(StyleSpaceSplit,IFERROR(IF(FIND(" ",G2563)&gt;=1,MID(G2563,1,FIND(" ",G2563)-1),G2563),G2563),G2563),"")</f>
        <v/>
      </c>
      <c r="V2563" s="83" t="str">
        <f t="shared" ref="V2563:V2626" si="283">IF(A2563&lt;&gt;"",IFERROR(IF(FIND(" ",G2563)&gt;=1,MID(G2563,FIND(" ",G2563)+1,LEN(G2563)),""),G2563),"")</f>
        <v/>
      </c>
      <c r="AA2563" s="60">
        <f t="shared" ref="AA2563:AA2626" si="284">IFERROR(VALUE(MID($C2563,1,2)),0)</f>
        <v>0</v>
      </c>
      <c r="AB2563" s="49">
        <f t="shared" ref="AB2563:AB2626" si="285">IFERROR(VALUE(MID($C2563,4,3)),0)</f>
        <v>0</v>
      </c>
      <c r="AC2563" s="60">
        <f t="shared" ref="AC2563:AC2626" si="286">VALUE(RIGHT("00"&amp;AA2563,2)&amp;RIGHT("000"&amp;AB2563,3))</f>
        <v>0</v>
      </c>
    </row>
    <row r="2564" spans="1:29">
      <c r="A2564" s="83" t="str">
        <f t="shared" si="280"/>
        <v/>
      </c>
      <c r="B2564" s="83" t="str">
        <f t="shared" si="281"/>
        <v/>
      </c>
      <c r="U2564" s="83" t="str">
        <f t="shared" si="282"/>
        <v/>
      </c>
      <c r="V2564" s="83" t="str">
        <f t="shared" si="283"/>
        <v/>
      </c>
      <c r="AA2564" s="60">
        <f t="shared" si="284"/>
        <v>0</v>
      </c>
      <c r="AB2564" s="49">
        <f t="shared" si="285"/>
        <v>0</v>
      </c>
      <c r="AC2564" s="60">
        <f t="shared" si="286"/>
        <v>0</v>
      </c>
    </row>
    <row r="2565" spans="1:29">
      <c r="A2565" s="83" t="str">
        <f t="shared" si="280"/>
        <v/>
      </c>
      <c r="B2565" s="83" t="str">
        <f t="shared" si="281"/>
        <v/>
      </c>
      <c r="U2565" s="83" t="str">
        <f t="shared" si="282"/>
        <v/>
      </c>
      <c r="V2565" s="83" t="str">
        <f t="shared" si="283"/>
        <v/>
      </c>
      <c r="AA2565" s="60">
        <f t="shared" si="284"/>
        <v>0</v>
      </c>
      <c r="AB2565" s="49">
        <f t="shared" si="285"/>
        <v>0</v>
      </c>
      <c r="AC2565" s="60">
        <f t="shared" si="286"/>
        <v>0</v>
      </c>
    </row>
    <row r="2566" spans="1:29">
      <c r="A2566" s="83" t="str">
        <f t="shared" si="280"/>
        <v/>
      </c>
      <c r="B2566" s="83" t="str">
        <f t="shared" si="281"/>
        <v/>
      </c>
      <c r="U2566" s="83" t="str">
        <f t="shared" si="282"/>
        <v/>
      </c>
      <c r="V2566" s="83" t="str">
        <f t="shared" si="283"/>
        <v/>
      </c>
      <c r="AA2566" s="60">
        <f t="shared" si="284"/>
        <v>0</v>
      </c>
      <c r="AB2566" s="49">
        <f t="shared" si="285"/>
        <v>0</v>
      </c>
      <c r="AC2566" s="60">
        <f t="shared" si="286"/>
        <v>0</v>
      </c>
    </row>
    <row r="2567" spans="1:29">
      <c r="A2567" s="83" t="str">
        <f t="shared" si="280"/>
        <v/>
      </c>
      <c r="B2567" s="83" t="str">
        <f t="shared" si="281"/>
        <v/>
      </c>
      <c r="U2567" s="83" t="str">
        <f t="shared" si="282"/>
        <v/>
      </c>
      <c r="V2567" s="83" t="str">
        <f t="shared" si="283"/>
        <v/>
      </c>
      <c r="AA2567" s="60">
        <f t="shared" si="284"/>
        <v>0</v>
      </c>
      <c r="AB2567" s="49">
        <f t="shared" si="285"/>
        <v>0</v>
      </c>
      <c r="AC2567" s="60">
        <f t="shared" si="286"/>
        <v>0</v>
      </c>
    </row>
    <row r="2568" spans="1:29">
      <c r="A2568" s="83" t="str">
        <f t="shared" si="280"/>
        <v/>
      </c>
      <c r="B2568" s="83" t="str">
        <f t="shared" si="281"/>
        <v/>
      </c>
      <c r="U2568" s="83" t="str">
        <f t="shared" si="282"/>
        <v/>
      </c>
      <c r="V2568" s="83" t="str">
        <f t="shared" si="283"/>
        <v/>
      </c>
      <c r="AA2568" s="60">
        <f t="shared" si="284"/>
        <v>0</v>
      </c>
      <c r="AB2568" s="49">
        <f t="shared" si="285"/>
        <v>0</v>
      </c>
      <c r="AC2568" s="60">
        <f t="shared" si="286"/>
        <v>0</v>
      </c>
    </row>
    <row r="2569" spans="1:29">
      <c r="A2569" s="83" t="str">
        <f t="shared" si="280"/>
        <v/>
      </c>
      <c r="B2569" s="83" t="str">
        <f t="shared" si="281"/>
        <v/>
      </c>
      <c r="U2569" s="83" t="str">
        <f t="shared" si="282"/>
        <v/>
      </c>
      <c r="V2569" s="83" t="str">
        <f t="shared" si="283"/>
        <v/>
      </c>
      <c r="AA2569" s="60">
        <f t="shared" si="284"/>
        <v>0</v>
      </c>
      <c r="AB2569" s="49">
        <f t="shared" si="285"/>
        <v>0</v>
      </c>
      <c r="AC2569" s="60">
        <f t="shared" si="286"/>
        <v>0</v>
      </c>
    </row>
    <row r="2570" spans="1:29">
      <c r="A2570" s="83" t="str">
        <f t="shared" si="280"/>
        <v/>
      </c>
      <c r="B2570" s="83" t="str">
        <f t="shared" si="281"/>
        <v/>
      </c>
      <c r="U2570" s="83" t="str">
        <f t="shared" si="282"/>
        <v/>
      </c>
      <c r="V2570" s="83" t="str">
        <f t="shared" si="283"/>
        <v/>
      </c>
      <c r="AA2570" s="60">
        <f t="shared" si="284"/>
        <v>0</v>
      </c>
      <c r="AB2570" s="49">
        <f t="shared" si="285"/>
        <v>0</v>
      </c>
      <c r="AC2570" s="60">
        <f t="shared" si="286"/>
        <v>0</v>
      </c>
    </row>
    <row r="2571" spans="1:29">
      <c r="A2571" s="83" t="str">
        <f t="shared" si="280"/>
        <v/>
      </c>
      <c r="B2571" s="83" t="str">
        <f t="shared" si="281"/>
        <v/>
      </c>
      <c r="U2571" s="83" t="str">
        <f t="shared" si="282"/>
        <v/>
      </c>
      <c r="V2571" s="83" t="str">
        <f t="shared" si="283"/>
        <v/>
      </c>
      <c r="AA2571" s="60">
        <f t="shared" si="284"/>
        <v>0</v>
      </c>
      <c r="AB2571" s="49">
        <f t="shared" si="285"/>
        <v>0</v>
      </c>
      <c r="AC2571" s="60">
        <f t="shared" si="286"/>
        <v>0</v>
      </c>
    </row>
    <row r="2572" spans="1:29">
      <c r="A2572" s="83" t="str">
        <f t="shared" si="280"/>
        <v/>
      </c>
      <c r="B2572" s="83" t="str">
        <f t="shared" si="281"/>
        <v/>
      </c>
      <c r="U2572" s="83" t="str">
        <f t="shared" si="282"/>
        <v/>
      </c>
      <c r="V2572" s="83" t="str">
        <f t="shared" si="283"/>
        <v/>
      </c>
      <c r="AA2572" s="60">
        <f t="shared" si="284"/>
        <v>0</v>
      </c>
      <c r="AB2572" s="49">
        <f t="shared" si="285"/>
        <v>0</v>
      </c>
      <c r="AC2572" s="60">
        <f t="shared" si="286"/>
        <v>0</v>
      </c>
    </row>
    <row r="2573" spans="1:29">
      <c r="A2573" s="83" t="str">
        <f t="shared" si="280"/>
        <v/>
      </c>
      <c r="B2573" s="83" t="str">
        <f t="shared" si="281"/>
        <v/>
      </c>
      <c r="U2573" s="83" t="str">
        <f t="shared" si="282"/>
        <v/>
      </c>
      <c r="V2573" s="83" t="str">
        <f t="shared" si="283"/>
        <v/>
      </c>
      <c r="AA2573" s="60">
        <f t="shared" si="284"/>
        <v>0</v>
      </c>
      <c r="AB2573" s="49">
        <f t="shared" si="285"/>
        <v>0</v>
      </c>
      <c r="AC2573" s="60">
        <f t="shared" si="286"/>
        <v>0</v>
      </c>
    </row>
    <row r="2574" spans="1:29">
      <c r="A2574" s="83" t="str">
        <f t="shared" si="280"/>
        <v/>
      </c>
      <c r="B2574" s="83" t="str">
        <f t="shared" si="281"/>
        <v/>
      </c>
      <c r="U2574" s="83" t="str">
        <f t="shared" si="282"/>
        <v/>
      </c>
      <c r="V2574" s="83" t="str">
        <f t="shared" si="283"/>
        <v/>
      </c>
      <c r="AA2574" s="60">
        <f t="shared" si="284"/>
        <v>0</v>
      </c>
      <c r="AB2574" s="49">
        <f t="shared" si="285"/>
        <v>0</v>
      </c>
      <c r="AC2574" s="60">
        <f t="shared" si="286"/>
        <v>0</v>
      </c>
    </row>
    <row r="2575" spans="1:29">
      <c r="A2575" s="83" t="str">
        <f t="shared" si="280"/>
        <v/>
      </c>
      <c r="B2575" s="83" t="str">
        <f t="shared" si="281"/>
        <v/>
      </c>
      <c r="U2575" s="83" t="str">
        <f t="shared" si="282"/>
        <v/>
      </c>
      <c r="V2575" s="83" t="str">
        <f t="shared" si="283"/>
        <v/>
      </c>
      <c r="AA2575" s="60">
        <f t="shared" si="284"/>
        <v>0</v>
      </c>
      <c r="AB2575" s="49">
        <f t="shared" si="285"/>
        <v>0</v>
      </c>
      <c r="AC2575" s="60">
        <f t="shared" si="286"/>
        <v>0</v>
      </c>
    </row>
    <row r="2576" spans="1:29">
      <c r="A2576" s="83" t="str">
        <f t="shared" si="280"/>
        <v/>
      </c>
      <c r="B2576" s="83" t="str">
        <f t="shared" si="281"/>
        <v/>
      </c>
      <c r="U2576" s="83" t="str">
        <f t="shared" si="282"/>
        <v/>
      </c>
      <c r="V2576" s="83" t="str">
        <f t="shared" si="283"/>
        <v/>
      </c>
      <c r="AA2576" s="60">
        <f t="shared" si="284"/>
        <v>0</v>
      </c>
      <c r="AB2576" s="49">
        <f t="shared" si="285"/>
        <v>0</v>
      </c>
      <c r="AC2576" s="60">
        <f t="shared" si="286"/>
        <v>0</v>
      </c>
    </row>
    <row r="2577" spans="1:29">
      <c r="A2577" s="83" t="str">
        <f t="shared" si="280"/>
        <v/>
      </c>
      <c r="B2577" s="83" t="str">
        <f t="shared" si="281"/>
        <v/>
      </c>
      <c r="U2577" s="83" t="str">
        <f t="shared" si="282"/>
        <v/>
      </c>
      <c r="V2577" s="83" t="str">
        <f t="shared" si="283"/>
        <v/>
      </c>
      <c r="AA2577" s="60">
        <f t="shared" si="284"/>
        <v>0</v>
      </c>
      <c r="AB2577" s="49">
        <f t="shared" si="285"/>
        <v>0</v>
      </c>
      <c r="AC2577" s="60">
        <f t="shared" si="286"/>
        <v>0</v>
      </c>
    </row>
    <row r="2578" spans="1:29">
      <c r="A2578" s="83" t="str">
        <f t="shared" si="280"/>
        <v/>
      </c>
      <c r="B2578" s="83" t="str">
        <f t="shared" si="281"/>
        <v/>
      </c>
      <c r="U2578" s="83" t="str">
        <f t="shared" si="282"/>
        <v/>
      </c>
      <c r="V2578" s="83" t="str">
        <f t="shared" si="283"/>
        <v/>
      </c>
      <c r="AA2578" s="60">
        <f t="shared" si="284"/>
        <v>0</v>
      </c>
      <c r="AB2578" s="49">
        <f t="shared" si="285"/>
        <v>0</v>
      </c>
      <c r="AC2578" s="60">
        <f t="shared" si="286"/>
        <v>0</v>
      </c>
    </row>
    <row r="2579" spans="1:29">
      <c r="A2579" s="83" t="str">
        <f t="shared" si="280"/>
        <v/>
      </c>
      <c r="B2579" s="83" t="str">
        <f t="shared" si="281"/>
        <v/>
      </c>
      <c r="U2579" s="83" t="str">
        <f t="shared" si="282"/>
        <v/>
      </c>
      <c r="V2579" s="83" t="str">
        <f t="shared" si="283"/>
        <v/>
      </c>
      <c r="AA2579" s="60">
        <f t="shared" si="284"/>
        <v>0</v>
      </c>
      <c r="AB2579" s="49">
        <f t="shared" si="285"/>
        <v>0</v>
      </c>
      <c r="AC2579" s="60">
        <f t="shared" si="286"/>
        <v>0</v>
      </c>
    </row>
    <row r="2580" spans="1:29">
      <c r="A2580" s="83" t="str">
        <f t="shared" si="280"/>
        <v/>
      </c>
      <c r="B2580" s="83" t="str">
        <f t="shared" si="281"/>
        <v/>
      </c>
      <c r="U2580" s="83" t="str">
        <f t="shared" si="282"/>
        <v/>
      </c>
      <c r="V2580" s="83" t="str">
        <f t="shared" si="283"/>
        <v/>
      </c>
      <c r="AA2580" s="60">
        <f t="shared" si="284"/>
        <v>0</v>
      </c>
      <c r="AB2580" s="49">
        <f t="shared" si="285"/>
        <v>0</v>
      </c>
      <c r="AC2580" s="60">
        <f t="shared" si="286"/>
        <v>0</v>
      </c>
    </row>
    <row r="2581" spans="1:29">
      <c r="A2581" s="83" t="str">
        <f t="shared" si="280"/>
        <v/>
      </c>
      <c r="B2581" s="83" t="str">
        <f t="shared" si="281"/>
        <v/>
      </c>
      <c r="U2581" s="83" t="str">
        <f t="shared" si="282"/>
        <v/>
      </c>
      <c r="V2581" s="83" t="str">
        <f t="shared" si="283"/>
        <v/>
      </c>
      <c r="AA2581" s="60">
        <f t="shared" si="284"/>
        <v>0</v>
      </c>
      <c r="AB2581" s="49">
        <f t="shared" si="285"/>
        <v>0</v>
      </c>
      <c r="AC2581" s="60">
        <f t="shared" si="286"/>
        <v>0</v>
      </c>
    </row>
    <row r="2582" spans="1:29">
      <c r="A2582" s="83" t="str">
        <f t="shared" si="280"/>
        <v/>
      </c>
      <c r="B2582" s="83" t="str">
        <f t="shared" si="281"/>
        <v/>
      </c>
      <c r="U2582" s="83" t="str">
        <f t="shared" si="282"/>
        <v/>
      </c>
      <c r="V2582" s="83" t="str">
        <f t="shared" si="283"/>
        <v/>
      </c>
      <c r="AA2582" s="60">
        <f t="shared" si="284"/>
        <v>0</v>
      </c>
      <c r="AB2582" s="49">
        <f t="shared" si="285"/>
        <v>0</v>
      </c>
      <c r="AC2582" s="60">
        <f t="shared" si="286"/>
        <v>0</v>
      </c>
    </row>
    <row r="2583" spans="1:29">
      <c r="A2583" s="83" t="str">
        <f t="shared" si="280"/>
        <v/>
      </c>
      <c r="B2583" s="83" t="str">
        <f t="shared" si="281"/>
        <v/>
      </c>
      <c r="U2583" s="83" t="str">
        <f t="shared" si="282"/>
        <v/>
      </c>
      <c r="V2583" s="83" t="str">
        <f t="shared" si="283"/>
        <v/>
      </c>
      <c r="AA2583" s="60">
        <f t="shared" si="284"/>
        <v>0</v>
      </c>
      <c r="AB2583" s="49">
        <f t="shared" si="285"/>
        <v>0</v>
      </c>
      <c r="AC2583" s="60">
        <f t="shared" si="286"/>
        <v>0</v>
      </c>
    </row>
    <row r="2584" spans="1:29">
      <c r="A2584" s="83" t="str">
        <f t="shared" si="280"/>
        <v/>
      </c>
      <c r="B2584" s="83" t="str">
        <f t="shared" si="281"/>
        <v/>
      </c>
      <c r="U2584" s="83" t="str">
        <f t="shared" si="282"/>
        <v/>
      </c>
      <c r="V2584" s="83" t="str">
        <f t="shared" si="283"/>
        <v/>
      </c>
      <c r="AA2584" s="60">
        <f t="shared" si="284"/>
        <v>0</v>
      </c>
      <c r="AB2584" s="49">
        <f t="shared" si="285"/>
        <v>0</v>
      </c>
      <c r="AC2584" s="60">
        <f t="shared" si="286"/>
        <v>0</v>
      </c>
    </row>
    <row r="2585" spans="1:29">
      <c r="A2585" s="83" t="str">
        <f t="shared" si="280"/>
        <v/>
      </c>
      <c r="B2585" s="83" t="str">
        <f t="shared" si="281"/>
        <v/>
      </c>
      <c r="U2585" s="83" t="str">
        <f t="shared" si="282"/>
        <v/>
      </c>
      <c r="V2585" s="83" t="str">
        <f t="shared" si="283"/>
        <v/>
      </c>
      <c r="AA2585" s="60">
        <f t="shared" si="284"/>
        <v>0</v>
      </c>
      <c r="AB2585" s="49">
        <f t="shared" si="285"/>
        <v>0</v>
      </c>
      <c r="AC2585" s="60">
        <f t="shared" si="286"/>
        <v>0</v>
      </c>
    </row>
    <row r="2586" spans="1:29">
      <c r="A2586" s="83" t="str">
        <f t="shared" si="280"/>
        <v/>
      </c>
      <c r="B2586" s="83" t="str">
        <f t="shared" si="281"/>
        <v/>
      </c>
      <c r="U2586" s="83" t="str">
        <f t="shared" si="282"/>
        <v/>
      </c>
      <c r="V2586" s="83" t="str">
        <f t="shared" si="283"/>
        <v/>
      </c>
      <c r="AA2586" s="60">
        <f t="shared" si="284"/>
        <v>0</v>
      </c>
      <c r="AB2586" s="49">
        <f t="shared" si="285"/>
        <v>0</v>
      </c>
      <c r="AC2586" s="60">
        <f t="shared" si="286"/>
        <v>0</v>
      </c>
    </row>
    <row r="2587" spans="1:29">
      <c r="A2587" s="83" t="str">
        <f t="shared" si="280"/>
        <v/>
      </c>
      <c r="B2587" s="83" t="str">
        <f t="shared" si="281"/>
        <v/>
      </c>
      <c r="U2587" s="83" t="str">
        <f t="shared" si="282"/>
        <v/>
      </c>
      <c r="V2587" s="83" t="str">
        <f t="shared" si="283"/>
        <v/>
      </c>
      <c r="AA2587" s="60">
        <f t="shared" si="284"/>
        <v>0</v>
      </c>
      <c r="AB2587" s="49">
        <f t="shared" si="285"/>
        <v>0</v>
      </c>
      <c r="AC2587" s="60">
        <f t="shared" si="286"/>
        <v>0</v>
      </c>
    </row>
    <row r="2588" spans="1:29">
      <c r="A2588" s="83" t="str">
        <f t="shared" si="280"/>
        <v/>
      </c>
      <c r="B2588" s="83" t="str">
        <f t="shared" si="281"/>
        <v/>
      </c>
      <c r="U2588" s="83" t="str">
        <f t="shared" si="282"/>
        <v/>
      </c>
      <c r="V2588" s="83" t="str">
        <f t="shared" si="283"/>
        <v/>
      </c>
      <c r="AA2588" s="60">
        <f t="shared" si="284"/>
        <v>0</v>
      </c>
      <c r="AB2588" s="49">
        <f t="shared" si="285"/>
        <v>0</v>
      </c>
      <c r="AC2588" s="60">
        <f t="shared" si="286"/>
        <v>0</v>
      </c>
    </row>
    <row r="2589" spans="1:29">
      <c r="A2589" s="83" t="str">
        <f t="shared" si="280"/>
        <v/>
      </c>
      <c r="B2589" s="83" t="str">
        <f t="shared" si="281"/>
        <v/>
      </c>
      <c r="U2589" s="83" t="str">
        <f t="shared" si="282"/>
        <v/>
      </c>
      <c r="V2589" s="83" t="str">
        <f t="shared" si="283"/>
        <v/>
      </c>
      <c r="AA2589" s="60">
        <f t="shared" si="284"/>
        <v>0</v>
      </c>
      <c r="AB2589" s="49">
        <f t="shared" si="285"/>
        <v>0</v>
      </c>
      <c r="AC2589" s="60">
        <f t="shared" si="286"/>
        <v>0</v>
      </c>
    </row>
    <row r="2590" spans="1:29">
      <c r="A2590" s="83" t="str">
        <f t="shared" si="280"/>
        <v/>
      </c>
      <c r="B2590" s="83" t="str">
        <f t="shared" si="281"/>
        <v/>
      </c>
      <c r="U2590" s="83" t="str">
        <f t="shared" si="282"/>
        <v/>
      </c>
      <c r="V2590" s="83" t="str">
        <f t="shared" si="283"/>
        <v/>
      </c>
      <c r="AA2590" s="60">
        <f t="shared" si="284"/>
        <v>0</v>
      </c>
      <c r="AB2590" s="49">
        <f t="shared" si="285"/>
        <v>0</v>
      </c>
      <c r="AC2590" s="60">
        <f t="shared" si="286"/>
        <v>0</v>
      </c>
    </row>
    <row r="2591" spans="1:29">
      <c r="A2591" s="83" t="str">
        <f t="shared" si="280"/>
        <v/>
      </c>
      <c r="B2591" s="83" t="str">
        <f t="shared" si="281"/>
        <v/>
      </c>
      <c r="U2591" s="83" t="str">
        <f t="shared" si="282"/>
        <v/>
      </c>
      <c r="V2591" s="83" t="str">
        <f t="shared" si="283"/>
        <v/>
      </c>
      <c r="AA2591" s="60">
        <f t="shared" si="284"/>
        <v>0</v>
      </c>
      <c r="AB2591" s="49">
        <f t="shared" si="285"/>
        <v>0</v>
      </c>
      <c r="AC2591" s="60">
        <f t="shared" si="286"/>
        <v>0</v>
      </c>
    </row>
    <row r="2592" spans="1:29">
      <c r="A2592" s="83" t="str">
        <f t="shared" si="280"/>
        <v/>
      </c>
      <c r="B2592" s="83" t="str">
        <f t="shared" si="281"/>
        <v/>
      </c>
      <c r="U2592" s="83" t="str">
        <f t="shared" si="282"/>
        <v/>
      </c>
      <c r="V2592" s="83" t="str">
        <f t="shared" si="283"/>
        <v/>
      </c>
      <c r="AA2592" s="60">
        <f t="shared" si="284"/>
        <v>0</v>
      </c>
      <c r="AB2592" s="49">
        <f t="shared" si="285"/>
        <v>0</v>
      </c>
      <c r="AC2592" s="60">
        <f t="shared" si="286"/>
        <v>0</v>
      </c>
    </row>
    <row r="2593" spans="1:29">
      <c r="A2593" s="83" t="str">
        <f t="shared" si="280"/>
        <v/>
      </c>
      <c r="B2593" s="83" t="str">
        <f t="shared" si="281"/>
        <v/>
      </c>
      <c r="U2593" s="83" t="str">
        <f t="shared" si="282"/>
        <v/>
      </c>
      <c r="V2593" s="83" t="str">
        <f t="shared" si="283"/>
        <v/>
      </c>
      <c r="AA2593" s="60">
        <f t="shared" si="284"/>
        <v>0</v>
      </c>
      <c r="AB2593" s="49">
        <f t="shared" si="285"/>
        <v>0</v>
      </c>
      <c r="AC2593" s="60">
        <f t="shared" si="286"/>
        <v>0</v>
      </c>
    </row>
    <row r="2594" spans="1:29">
      <c r="A2594" s="83" t="str">
        <f t="shared" si="280"/>
        <v/>
      </c>
      <c r="B2594" s="83" t="str">
        <f t="shared" si="281"/>
        <v/>
      </c>
      <c r="U2594" s="83" t="str">
        <f t="shared" si="282"/>
        <v/>
      </c>
      <c r="V2594" s="83" t="str">
        <f t="shared" si="283"/>
        <v/>
      </c>
      <c r="AA2594" s="60">
        <f t="shared" si="284"/>
        <v>0</v>
      </c>
      <c r="AB2594" s="49">
        <f t="shared" si="285"/>
        <v>0</v>
      </c>
      <c r="AC2594" s="60">
        <f t="shared" si="286"/>
        <v>0</v>
      </c>
    </row>
    <row r="2595" spans="1:29">
      <c r="A2595" s="83" t="str">
        <f t="shared" si="280"/>
        <v/>
      </c>
      <c r="B2595" s="83" t="str">
        <f t="shared" si="281"/>
        <v/>
      </c>
      <c r="U2595" s="83" t="str">
        <f t="shared" si="282"/>
        <v/>
      </c>
      <c r="V2595" s="83" t="str">
        <f t="shared" si="283"/>
        <v/>
      </c>
      <c r="AA2595" s="60">
        <f t="shared" si="284"/>
        <v>0</v>
      </c>
      <c r="AB2595" s="49">
        <f t="shared" si="285"/>
        <v>0</v>
      </c>
      <c r="AC2595" s="60">
        <f t="shared" si="286"/>
        <v>0</v>
      </c>
    </row>
    <row r="2596" spans="1:29">
      <c r="A2596" s="83" t="str">
        <f t="shared" si="280"/>
        <v/>
      </c>
      <c r="B2596" s="83" t="str">
        <f t="shared" si="281"/>
        <v/>
      </c>
      <c r="U2596" s="83" t="str">
        <f t="shared" si="282"/>
        <v/>
      </c>
      <c r="V2596" s="83" t="str">
        <f t="shared" si="283"/>
        <v/>
      </c>
      <c r="AA2596" s="60">
        <f t="shared" si="284"/>
        <v>0</v>
      </c>
      <c r="AB2596" s="49">
        <f t="shared" si="285"/>
        <v>0</v>
      </c>
      <c r="AC2596" s="60">
        <f t="shared" si="286"/>
        <v>0</v>
      </c>
    </row>
    <row r="2597" spans="1:29">
      <c r="A2597" s="83" t="str">
        <f t="shared" si="280"/>
        <v/>
      </c>
      <c r="B2597" s="83" t="str">
        <f t="shared" si="281"/>
        <v/>
      </c>
      <c r="U2597" s="83" t="str">
        <f t="shared" si="282"/>
        <v/>
      </c>
      <c r="V2597" s="83" t="str">
        <f t="shared" si="283"/>
        <v/>
      </c>
      <c r="AA2597" s="60">
        <f t="shared" si="284"/>
        <v>0</v>
      </c>
      <c r="AB2597" s="49">
        <f t="shared" si="285"/>
        <v>0</v>
      </c>
      <c r="AC2597" s="60">
        <f t="shared" si="286"/>
        <v>0</v>
      </c>
    </row>
    <row r="2598" spans="1:29">
      <c r="A2598" s="83" t="str">
        <f t="shared" si="280"/>
        <v/>
      </c>
      <c r="B2598" s="83" t="str">
        <f t="shared" si="281"/>
        <v/>
      </c>
      <c r="U2598" s="83" t="str">
        <f t="shared" si="282"/>
        <v/>
      </c>
      <c r="V2598" s="83" t="str">
        <f t="shared" si="283"/>
        <v/>
      </c>
      <c r="AA2598" s="60">
        <f t="shared" si="284"/>
        <v>0</v>
      </c>
      <c r="AB2598" s="49">
        <f t="shared" si="285"/>
        <v>0</v>
      </c>
      <c r="AC2598" s="60">
        <f t="shared" si="286"/>
        <v>0</v>
      </c>
    </row>
    <row r="2599" spans="1:29">
      <c r="A2599" s="83" t="str">
        <f t="shared" si="280"/>
        <v/>
      </c>
      <c r="B2599" s="83" t="str">
        <f t="shared" si="281"/>
        <v/>
      </c>
      <c r="U2599" s="83" t="str">
        <f t="shared" si="282"/>
        <v/>
      </c>
      <c r="V2599" s="83" t="str">
        <f t="shared" si="283"/>
        <v/>
      </c>
      <c r="AA2599" s="60">
        <f t="shared" si="284"/>
        <v>0</v>
      </c>
      <c r="AB2599" s="49">
        <f t="shared" si="285"/>
        <v>0</v>
      </c>
      <c r="AC2599" s="60">
        <f t="shared" si="286"/>
        <v>0</v>
      </c>
    </row>
    <row r="2600" spans="1:29">
      <c r="A2600" s="83" t="str">
        <f t="shared" si="280"/>
        <v/>
      </c>
      <c r="B2600" s="83" t="str">
        <f t="shared" si="281"/>
        <v/>
      </c>
      <c r="U2600" s="83" t="str">
        <f t="shared" si="282"/>
        <v/>
      </c>
      <c r="V2600" s="83" t="str">
        <f t="shared" si="283"/>
        <v/>
      </c>
      <c r="AA2600" s="60">
        <f t="shared" si="284"/>
        <v>0</v>
      </c>
      <c r="AB2600" s="49">
        <f t="shared" si="285"/>
        <v>0</v>
      </c>
      <c r="AC2600" s="60">
        <f t="shared" si="286"/>
        <v>0</v>
      </c>
    </row>
    <row r="2601" spans="1:29">
      <c r="A2601" s="83" t="str">
        <f t="shared" si="280"/>
        <v/>
      </c>
      <c r="B2601" s="83" t="str">
        <f t="shared" si="281"/>
        <v/>
      </c>
      <c r="U2601" s="83" t="str">
        <f t="shared" si="282"/>
        <v/>
      </c>
      <c r="V2601" s="83" t="str">
        <f t="shared" si="283"/>
        <v/>
      </c>
      <c r="AA2601" s="60">
        <f t="shared" si="284"/>
        <v>0</v>
      </c>
      <c r="AB2601" s="49">
        <f t="shared" si="285"/>
        <v>0</v>
      </c>
      <c r="AC2601" s="60">
        <f t="shared" si="286"/>
        <v>0</v>
      </c>
    </row>
    <row r="2602" spans="1:29">
      <c r="A2602" s="83" t="str">
        <f t="shared" si="280"/>
        <v/>
      </c>
      <c r="B2602" s="83" t="str">
        <f t="shared" si="281"/>
        <v/>
      </c>
      <c r="U2602" s="83" t="str">
        <f t="shared" si="282"/>
        <v/>
      </c>
      <c r="V2602" s="83" t="str">
        <f t="shared" si="283"/>
        <v/>
      </c>
      <c r="AA2602" s="60">
        <f t="shared" si="284"/>
        <v>0</v>
      </c>
      <c r="AB2602" s="49">
        <f t="shared" si="285"/>
        <v>0</v>
      </c>
      <c r="AC2602" s="60">
        <f t="shared" si="286"/>
        <v>0</v>
      </c>
    </row>
    <row r="2603" spans="1:29">
      <c r="A2603" s="83" t="str">
        <f t="shared" si="280"/>
        <v/>
      </c>
      <c r="B2603" s="83" t="str">
        <f t="shared" si="281"/>
        <v/>
      </c>
      <c r="U2603" s="83" t="str">
        <f t="shared" si="282"/>
        <v/>
      </c>
      <c r="V2603" s="83" t="str">
        <f t="shared" si="283"/>
        <v/>
      </c>
      <c r="AA2603" s="60">
        <f t="shared" si="284"/>
        <v>0</v>
      </c>
      <c r="AB2603" s="49">
        <f t="shared" si="285"/>
        <v>0</v>
      </c>
      <c r="AC2603" s="60">
        <f t="shared" si="286"/>
        <v>0</v>
      </c>
    </row>
    <row r="2604" spans="1:29">
      <c r="A2604" s="83" t="str">
        <f t="shared" si="280"/>
        <v/>
      </c>
      <c r="B2604" s="83" t="str">
        <f t="shared" si="281"/>
        <v/>
      </c>
      <c r="U2604" s="83" t="str">
        <f t="shared" si="282"/>
        <v/>
      </c>
      <c r="V2604" s="83" t="str">
        <f t="shared" si="283"/>
        <v/>
      </c>
      <c r="AA2604" s="60">
        <f t="shared" si="284"/>
        <v>0</v>
      </c>
      <c r="AB2604" s="49">
        <f t="shared" si="285"/>
        <v>0</v>
      </c>
      <c r="AC2604" s="60">
        <f t="shared" si="286"/>
        <v>0</v>
      </c>
    </row>
    <row r="2605" spans="1:29">
      <c r="A2605" s="83" t="str">
        <f t="shared" si="280"/>
        <v/>
      </c>
      <c r="B2605" s="83" t="str">
        <f t="shared" si="281"/>
        <v/>
      </c>
      <c r="U2605" s="83" t="str">
        <f t="shared" si="282"/>
        <v/>
      </c>
      <c r="V2605" s="83" t="str">
        <f t="shared" si="283"/>
        <v/>
      </c>
      <c r="AA2605" s="60">
        <f t="shared" si="284"/>
        <v>0</v>
      </c>
      <c r="AB2605" s="49">
        <f t="shared" si="285"/>
        <v>0</v>
      </c>
      <c r="AC2605" s="60">
        <f t="shared" si="286"/>
        <v>0</v>
      </c>
    </row>
    <row r="2606" spans="1:29">
      <c r="A2606" s="83" t="str">
        <f t="shared" si="280"/>
        <v/>
      </c>
      <c r="B2606" s="83" t="str">
        <f t="shared" si="281"/>
        <v/>
      </c>
      <c r="U2606" s="83" t="str">
        <f t="shared" si="282"/>
        <v/>
      </c>
      <c r="V2606" s="83" t="str">
        <f t="shared" si="283"/>
        <v/>
      </c>
      <c r="AA2606" s="60">
        <f t="shared" si="284"/>
        <v>0</v>
      </c>
      <c r="AB2606" s="49">
        <f t="shared" si="285"/>
        <v>0</v>
      </c>
      <c r="AC2606" s="60">
        <f t="shared" si="286"/>
        <v>0</v>
      </c>
    </row>
    <row r="2607" spans="1:29">
      <c r="A2607" s="83" t="str">
        <f t="shared" si="280"/>
        <v/>
      </c>
      <c r="B2607" s="83" t="str">
        <f t="shared" si="281"/>
        <v/>
      </c>
      <c r="U2607" s="83" t="str">
        <f t="shared" si="282"/>
        <v/>
      </c>
      <c r="V2607" s="83" t="str">
        <f t="shared" si="283"/>
        <v/>
      </c>
      <c r="AA2607" s="60">
        <f t="shared" si="284"/>
        <v>0</v>
      </c>
      <c r="AB2607" s="49">
        <f t="shared" si="285"/>
        <v>0</v>
      </c>
      <c r="AC2607" s="60">
        <f t="shared" si="286"/>
        <v>0</v>
      </c>
    </row>
    <row r="2608" spans="1:29">
      <c r="A2608" s="83" t="str">
        <f t="shared" si="280"/>
        <v/>
      </c>
      <c r="B2608" s="83" t="str">
        <f t="shared" si="281"/>
        <v/>
      </c>
      <c r="U2608" s="83" t="str">
        <f t="shared" si="282"/>
        <v/>
      </c>
      <c r="V2608" s="83" t="str">
        <f t="shared" si="283"/>
        <v/>
      </c>
      <c r="AA2608" s="60">
        <f t="shared" si="284"/>
        <v>0</v>
      </c>
      <c r="AB2608" s="49">
        <f t="shared" si="285"/>
        <v>0</v>
      </c>
      <c r="AC2608" s="60">
        <f t="shared" si="286"/>
        <v>0</v>
      </c>
    </row>
    <row r="2609" spans="1:29">
      <c r="A2609" s="83" t="str">
        <f t="shared" si="280"/>
        <v/>
      </c>
      <c r="B2609" s="83" t="str">
        <f t="shared" si="281"/>
        <v/>
      </c>
      <c r="U2609" s="83" t="str">
        <f t="shared" si="282"/>
        <v/>
      </c>
      <c r="V2609" s="83" t="str">
        <f t="shared" si="283"/>
        <v/>
      </c>
      <c r="AA2609" s="60">
        <f t="shared" si="284"/>
        <v>0</v>
      </c>
      <c r="AB2609" s="49">
        <f t="shared" si="285"/>
        <v>0</v>
      </c>
      <c r="AC2609" s="60">
        <f t="shared" si="286"/>
        <v>0</v>
      </c>
    </row>
    <row r="2610" spans="1:29">
      <c r="A2610" s="83" t="str">
        <f t="shared" si="280"/>
        <v/>
      </c>
      <c r="B2610" s="83" t="str">
        <f t="shared" si="281"/>
        <v/>
      </c>
      <c r="U2610" s="83" t="str">
        <f t="shared" si="282"/>
        <v/>
      </c>
      <c r="V2610" s="83" t="str">
        <f t="shared" si="283"/>
        <v/>
      </c>
      <c r="AA2610" s="60">
        <f t="shared" si="284"/>
        <v>0</v>
      </c>
      <c r="AB2610" s="49">
        <f t="shared" si="285"/>
        <v>0</v>
      </c>
      <c r="AC2610" s="60">
        <f t="shared" si="286"/>
        <v>0</v>
      </c>
    </row>
    <row r="2611" spans="1:29">
      <c r="A2611" s="83" t="str">
        <f t="shared" si="280"/>
        <v/>
      </c>
      <c r="B2611" s="83" t="str">
        <f t="shared" si="281"/>
        <v/>
      </c>
      <c r="U2611" s="83" t="str">
        <f t="shared" si="282"/>
        <v/>
      </c>
      <c r="V2611" s="83" t="str">
        <f t="shared" si="283"/>
        <v/>
      </c>
      <c r="AA2611" s="60">
        <f t="shared" si="284"/>
        <v>0</v>
      </c>
      <c r="AB2611" s="49">
        <f t="shared" si="285"/>
        <v>0</v>
      </c>
      <c r="AC2611" s="60">
        <f t="shared" si="286"/>
        <v>0</v>
      </c>
    </row>
    <row r="2612" spans="1:29">
      <c r="A2612" s="83" t="str">
        <f t="shared" si="280"/>
        <v/>
      </c>
      <c r="B2612" s="83" t="str">
        <f t="shared" si="281"/>
        <v/>
      </c>
      <c r="U2612" s="83" t="str">
        <f t="shared" si="282"/>
        <v/>
      </c>
      <c r="V2612" s="83" t="str">
        <f t="shared" si="283"/>
        <v/>
      </c>
      <c r="AA2612" s="60">
        <f t="shared" si="284"/>
        <v>0</v>
      </c>
      <c r="AB2612" s="49">
        <f t="shared" si="285"/>
        <v>0</v>
      </c>
      <c r="AC2612" s="60">
        <f t="shared" si="286"/>
        <v>0</v>
      </c>
    </row>
    <row r="2613" spans="1:29">
      <c r="A2613" s="83" t="str">
        <f t="shared" si="280"/>
        <v/>
      </c>
      <c r="B2613" s="83" t="str">
        <f t="shared" si="281"/>
        <v/>
      </c>
      <c r="U2613" s="83" t="str">
        <f t="shared" si="282"/>
        <v/>
      </c>
      <c r="V2613" s="83" t="str">
        <f t="shared" si="283"/>
        <v/>
      </c>
      <c r="AA2613" s="60">
        <f t="shared" si="284"/>
        <v>0</v>
      </c>
      <c r="AB2613" s="49">
        <f t="shared" si="285"/>
        <v>0</v>
      </c>
      <c r="AC2613" s="60">
        <f t="shared" si="286"/>
        <v>0</v>
      </c>
    </row>
    <row r="2614" spans="1:29">
      <c r="A2614" s="83" t="str">
        <f t="shared" si="280"/>
        <v/>
      </c>
      <c r="B2614" s="83" t="str">
        <f t="shared" si="281"/>
        <v/>
      </c>
      <c r="U2614" s="83" t="str">
        <f t="shared" si="282"/>
        <v/>
      </c>
      <c r="V2614" s="83" t="str">
        <f t="shared" si="283"/>
        <v/>
      </c>
      <c r="AA2614" s="60">
        <f t="shared" si="284"/>
        <v>0</v>
      </c>
      <c r="AB2614" s="49">
        <f t="shared" si="285"/>
        <v>0</v>
      </c>
      <c r="AC2614" s="60">
        <f t="shared" si="286"/>
        <v>0</v>
      </c>
    </row>
    <row r="2615" spans="1:29">
      <c r="A2615" s="83" t="str">
        <f t="shared" si="280"/>
        <v/>
      </c>
      <c r="B2615" s="83" t="str">
        <f t="shared" si="281"/>
        <v/>
      </c>
      <c r="U2615" s="83" t="str">
        <f t="shared" si="282"/>
        <v/>
      </c>
      <c r="V2615" s="83" t="str">
        <f t="shared" si="283"/>
        <v/>
      </c>
      <c r="AA2615" s="60">
        <f t="shared" si="284"/>
        <v>0</v>
      </c>
      <c r="AB2615" s="49">
        <f t="shared" si="285"/>
        <v>0</v>
      </c>
      <c r="AC2615" s="60">
        <f t="shared" si="286"/>
        <v>0</v>
      </c>
    </row>
    <row r="2616" spans="1:29">
      <c r="A2616" s="83" t="str">
        <f t="shared" si="280"/>
        <v/>
      </c>
      <c r="B2616" s="83" t="str">
        <f t="shared" si="281"/>
        <v/>
      </c>
      <c r="U2616" s="83" t="str">
        <f t="shared" si="282"/>
        <v/>
      </c>
      <c r="V2616" s="83" t="str">
        <f t="shared" si="283"/>
        <v/>
      </c>
      <c r="AA2616" s="60">
        <f t="shared" si="284"/>
        <v>0</v>
      </c>
      <c r="AB2616" s="49">
        <f t="shared" si="285"/>
        <v>0</v>
      </c>
      <c r="AC2616" s="60">
        <f t="shared" si="286"/>
        <v>0</v>
      </c>
    </row>
    <row r="2617" spans="1:29">
      <c r="A2617" s="83" t="str">
        <f t="shared" si="280"/>
        <v/>
      </c>
      <c r="B2617" s="83" t="str">
        <f t="shared" si="281"/>
        <v/>
      </c>
      <c r="U2617" s="83" t="str">
        <f t="shared" si="282"/>
        <v/>
      </c>
      <c r="V2617" s="83" t="str">
        <f t="shared" si="283"/>
        <v/>
      </c>
      <c r="AA2617" s="60">
        <f t="shared" si="284"/>
        <v>0</v>
      </c>
      <c r="AB2617" s="49">
        <f t="shared" si="285"/>
        <v>0</v>
      </c>
      <c r="AC2617" s="60">
        <f t="shared" si="286"/>
        <v>0</v>
      </c>
    </row>
    <row r="2618" spans="1:29">
      <c r="A2618" s="83" t="str">
        <f t="shared" si="280"/>
        <v/>
      </c>
      <c r="B2618" s="83" t="str">
        <f t="shared" si="281"/>
        <v/>
      </c>
      <c r="U2618" s="83" t="str">
        <f t="shared" si="282"/>
        <v/>
      </c>
      <c r="V2618" s="83" t="str">
        <f t="shared" si="283"/>
        <v/>
      </c>
      <c r="AA2618" s="60">
        <f t="shared" si="284"/>
        <v>0</v>
      </c>
      <c r="AB2618" s="49">
        <f t="shared" si="285"/>
        <v>0</v>
      </c>
      <c r="AC2618" s="60">
        <f t="shared" si="286"/>
        <v>0</v>
      </c>
    </row>
    <row r="2619" spans="1:29">
      <c r="A2619" s="83" t="str">
        <f t="shared" si="280"/>
        <v/>
      </c>
      <c r="B2619" s="83" t="str">
        <f t="shared" si="281"/>
        <v/>
      </c>
      <c r="U2619" s="83" t="str">
        <f t="shared" si="282"/>
        <v/>
      </c>
      <c r="V2619" s="83" t="str">
        <f t="shared" si="283"/>
        <v/>
      </c>
      <c r="AA2619" s="60">
        <f t="shared" si="284"/>
        <v>0</v>
      </c>
      <c r="AB2619" s="49">
        <f t="shared" si="285"/>
        <v>0</v>
      </c>
      <c r="AC2619" s="60">
        <f t="shared" si="286"/>
        <v>0</v>
      </c>
    </row>
    <row r="2620" spans="1:29">
      <c r="A2620" s="83" t="str">
        <f t="shared" si="280"/>
        <v/>
      </c>
      <c r="B2620" s="83" t="str">
        <f t="shared" si="281"/>
        <v/>
      </c>
      <c r="U2620" s="83" t="str">
        <f t="shared" si="282"/>
        <v/>
      </c>
      <c r="V2620" s="83" t="str">
        <f t="shared" si="283"/>
        <v/>
      </c>
      <c r="AA2620" s="60">
        <f t="shared" si="284"/>
        <v>0</v>
      </c>
      <c r="AB2620" s="49">
        <f t="shared" si="285"/>
        <v>0</v>
      </c>
      <c r="AC2620" s="60">
        <f t="shared" si="286"/>
        <v>0</v>
      </c>
    </row>
    <row r="2621" spans="1:29">
      <c r="A2621" s="83" t="str">
        <f t="shared" si="280"/>
        <v/>
      </c>
      <c r="B2621" s="83" t="str">
        <f t="shared" si="281"/>
        <v/>
      </c>
      <c r="U2621" s="83" t="str">
        <f t="shared" si="282"/>
        <v/>
      </c>
      <c r="V2621" s="83" t="str">
        <f t="shared" si="283"/>
        <v/>
      </c>
      <c r="AA2621" s="60">
        <f t="shared" si="284"/>
        <v>0</v>
      </c>
      <c r="AB2621" s="49">
        <f t="shared" si="285"/>
        <v>0</v>
      </c>
      <c r="AC2621" s="60">
        <f t="shared" si="286"/>
        <v>0</v>
      </c>
    </row>
    <row r="2622" spans="1:29">
      <c r="A2622" s="83" t="str">
        <f t="shared" si="280"/>
        <v/>
      </c>
      <c r="B2622" s="83" t="str">
        <f t="shared" si="281"/>
        <v/>
      </c>
      <c r="U2622" s="83" t="str">
        <f t="shared" si="282"/>
        <v/>
      </c>
      <c r="V2622" s="83" t="str">
        <f t="shared" si="283"/>
        <v/>
      </c>
      <c r="AA2622" s="60">
        <f t="shared" si="284"/>
        <v>0</v>
      </c>
      <c r="AB2622" s="49">
        <f t="shared" si="285"/>
        <v>0</v>
      </c>
      <c r="AC2622" s="60">
        <f t="shared" si="286"/>
        <v>0</v>
      </c>
    </row>
    <row r="2623" spans="1:29">
      <c r="A2623" s="83" t="str">
        <f t="shared" si="280"/>
        <v/>
      </c>
      <c r="B2623" s="83" t="str">
        <f t="shared" si="281"/>
        <v/>
      </c>
      <c r="U2623" s="83" t="str">
        <f t="shared" si="282"/>
        <v/>
      </c>
      <c r="V2623" s="83" t="str">
        <f t="shared" si="283"/>
        <v/>
      </c>
      <c r="AA2623" s="60">
        <f t="shared" si="284"/>
        <v>0</v>
      </c>
      <c r="AB2623" s="49">
        <f t="shared" si="285"/>
        <v>0</v>
      </c>
      <c r="AC2623" s="60">
        <f t="shared" si="286"/>
        <v>0</v>
      </c>
    </row>
    <row r="2624" spans="1:29">
      <c r="A2624" s="83" t="str">
        <f t="shared" si="280"/>
        <v/>
      </c>
      <c r="B2624" s="83" t="str">
        <f t="shared" si="281"/>
        <v/>
      </c>
      <c r="U2624" s="83" t="str">
        <f t="shared" si="282"/>
        <v/>
      </c>
      <c r="V2624" s="83" t="str">
        <f t="shared" si="283"/>
        <v/>
      </c>
      <c r="AA2624" s="60">
        <f t="shared" si="284"/>
        <v>0</v>
      </c>
      <c r="AB2624" s="49">
        <f t="shared" si="285"/>
        <v>0</v>
      </c>
      <c r="AC2624" s="60">
        <f t="shared" si="286"/>
        <v>0</v>
      </c>
    </row>
    <row r="2625" spans="1:29">
      <c r="A2625" s="83" t="str">
        <f t="shared" si="280"/>
        <v/>
      </c>
      <c r="B2625" s="83" t="str">
        <f t="shared" si="281"/>
        <v/>
      </c>
      <c r="U2625" s="83" t="str">
        <f t="shared" si="282"/>
        <v/>
      </c>
      <c r="V2625" s="83" t="str">
        <f t="shared" si="283"/>
        <v/>
      </c>
      <c r="AA2625" s="60">
        <f t="shared" si="284"/>
        <v>0</v>
      </c>
      <c r="AB2625" s="49">
        <f t="shared" si="285"/>
        <v>0</v>
      </c>
      <c r="AC2625" s="60">
        <f t="shared" si="286"/>
        <v>0</v>
      </c>
    </row>
    <row r="2626" spans="1:29">
      <c r="A2626" s="83" t="str">
        <f t="shared" si="280"/>
        <v/>
      </c>
      <c r="B2626" s="83" t="str">
        <f t="shared" si="281"/>
        <v/>
      </c>
      <c r="U2626" s="83" t="str">
        <f t="shared" si="282"/>
        <v/>
      </c>
      <c r="V2626" s="83" t="str">
        <f t="shared" si="283"/>
        <v/>
      </c>
      <c r="AA2626" s="60">
        <f t="shared" si="284"/>
        <v>0</v>
      </c>
      <c r="AB2626" s="49">
        <f t="shared" si="285"/>
        <v>0</v>
      </c>
      <c r="AC2626" s="60">
        <f t="shared" si="286"/>
        <v>0</v>
      </c>
    </row>
    <row r="2627" spans="1:29">
      <c r="A2627" s="83" t="str">
        <f t="shared" ref="A2627:A2690" si="287">IF(G2627&amp;Q2627&lt;&gt;"",U2627&amp;Q2627,"")</f>
        <v/>
      </c>
      <c r="B2627" s="83" t="str">
        <f t="shared" ref="B2627:B2690" si="288">IF(C2627&lt;&gt;"",LEFT(C2627,9),"")</f>
        <v/>
      </c>
      <c r="U2627" s="83" t="str">
        <f t="shared" ref="U2627:U2690" si="289">IF(G2627&lt;&gt;"",IF(StyleSpaceSplit,IFERROR(IF(FIND(" ",G2627)&gt;=1,MID(G2627,1,FIND(" ",G2627)-1),G2627),G2627),G2627),"")</f>
        <v/>
      </c>
      <c r="V2627" s="83" t="str">
        <f t="shared" ref="V2627:V2690" si="290">IF(A2627&lt;&gt;"",IFERROR(IF(FIND(" ",G2627)&gt;=1,MID(G2627,FIND(" ",G2627)+1,LEN(G2627)),""),G2627),"")</f>
        <v/>
      </c>
      <c r="AA2627" s="60">
        <f t="shared" ref="AA2627:AA2690" si="291">IFERROR(VALUE(MID($C2627,1,2)),0)</f>
        <v>0</v>
      </c>
      <c r="AB2627" s="49">
        <f t="shared" ref="AB2627:AB2690" si="292">IFERROR(VALUE(MID($C2627,4,3)),0)</f>
        <v>0</v>
      </c>
      <c r="AC2627" s="60">
        <f t="shared" ref="AC2627:AC2690" si="293">VALUE(RIGHT("00"&amp;AA2627,2)&amp;RIGHT("000"&amp;AB2627,3))</f>
        <v>0</v>
      </c>
    </row>
    <row r="2628" spans="1:29">
      <c r="A2628" s="83" t="str">
        <f t="shared" si="287"/>
        <v/>
      </c>
      <c r="B2628" s="83" t="str">
        <f t="shared" si="288"/>
        <v/>
      </c>
      <c r="U2628" s="83" t="str">
        <f t="shared" si="289"/>
        <v/>
      </c>
      <c r="V2628" s="83" t="str">
        <f t="shared" si="290"/>
        <v/>
      </c>
      <c r="AA2628" s="60">
        <f t="shared" si="291"/>
        <v>0</v>
      </c>
      <c r="AB2628" s="49">
        <f t="shared" si="292"/>
        <v>0</v>
      </c>
      <c r="AC2628" s="60">
        <f t="shared" si="293"/>
        <v>0</v>
      </c>
    </row>
    <row r="2629" spans="1:29">
      <c r="A2629" s="83" t="str">
        <f t="shared" si="287"/>
        <v/>
      </c>
      <c r="B2629" s="83" t="str">
        <f t="shared" si="288"/>
        <v/>
      </c>
      <c r="U2629" s="83" t="str">
        <f t="shared" si="289"/>
        <v/>
      </c>
      <c r="V2629" s="83" t="str">
        <f t="shared" si="290"/>
        <v/>
      </c>
      <c r="AA2629" s="60">
        <f t="shared" si="291"/>
        <v>0</v>
      </c>
      <c r="AB2629" s="49">
        <f t="shared" si="292"/>
        <v>0</v>
      </c>
      <c r="AC2629" s="60">
        <f t="shared" si="293"/>
        <v>0</v>
      </c>
    </row>
    <row r="2630" spans="1:29">
      <c r="A2630" s="83" t="str">
        <f t="shared" si="287"/>
        <v/>
      </c>
      <c r="B2630" s="83" t="str">
        <f t="shared" si="288"/>
        <v/>
      </c>
      <c r="U2630" s="83" t="str">
        <f t="shared" si="289"/>
        <v/>
      </c>
      <c r="V2630" s="83" t="str">
        <f t="shared" si="290"/>
        <v/>
      </c>
      <c r="AA2630" s="60">
        <f t="shared" si="291"/>
        <v>0</v>
      </c>
      <c r="AB2630" s="49">
        <f t="shared" si="292"/>
        <v>0</v>
      </c>
      <c r="AC2630" s="60">
        <f t="shared" si="293"/>
        <v>0</v>
      </c>
    </row>
    <row r="2631" spans="1:29">
      <c r="A2631" s="83" t="str">
        <f t="shared" si="287"/>
        <v/>
      </c>
      <c r="B2631" s="83" t="str">
        <f t="shared" si="288"/>
        <v/>
      </c>
      <c r="U2631" s="83" t="str">
        <f t="shared" si="289"/>
        <v/>
      </c>
      <c r="V2631" s="83" t="str">
        <f t="shared" si="290"/>
        <v/>
      </c>
      <c r="AA2631" s="60">
        <f t="shared" si="291"/>
        <v>0</v>
      </c>
      <c r="AB2631" s="49">
        <f t="shared" si="292"/>
        <v>0</v>
      </c>
      <c r="AC2631" s="60">
        <f t="shared" si="293"/>
        <v>0</v>
      </c>
    </row>
    <row r="2632" spans="1:29">
      <c r="A2632" s="83" t="str">
        <f t="shared" si="287"/>
        <v/>
      </c>
      <c r="B2632" s="83" t="str">
        <f t="shared" si="288"/>
        <v/>
      </c>
      <c r="U2632" s="83" t="str">
        <f t="shared" si="289"/>
        <v/>
      </c>
      <c r="V2632" s="83" t="str">
        <f t="shared" si="290"/>
        <v/>
      </c>
      <c r="AA2632" s="60">
        <f t="shared" si="291"/>
        <v>0</v>
      </c>
      <c r="AB2632" s="49">
        <f t="shared" si="292"/>
        <v>0</v>
      </c>
      <c r="AC2632" s="60">
        <f t="shared" si="293"/>
        <v>0</v>
      </c>
    </row>
    <row r="2633" spans="1:29">
      <c r="A2633" s="83" t="str">
        <f t="shared" si="287"/>
        <v/>
      </c>
      <c r="B2633" s="83" t="str">
        <f t="shared" si="288"/>
        <v/>
      </c>
      <c r="U2633" s="83" t="str">
        <f t="shared" si="289"/>
        <v/>
      </c>
      <c r="V2633" s="83" t="str">
        <f t="shared" si="290"/>
        <v/>
      </c>
      <c r="AA2633" s="60">
        <f t="shared" si="291"/>
        <v>0</v>
      </c>
      <c r="AB2633" s="49">
        <f t="shared" si="292"/>
        <v>0</v>
      </c>
      <c r="AC2633" s="60">
        <f t="shared" si="293"/>
        <v>0</v>
      </c>
    </row>
    <row r="2634" spans="1:29">
      <c r="A2634" s="83" t="str">
        <f t="shared" si="287"/>
        <v/>
      </c>
      <c r="B2634" s="83" t="str">
        <f t="shared" si="288"/>
        <v/>
      </c>
      <c r="U2634" s="83" t="str">
        <f t="shared" si="289"/>
        <v/>
      </c>
      <c r="V2634" s="83" t="str">
        <f t="shared" si="290"/>
        <v/>
      </c>
      <c r="AA2634" s="60">
        <f t="shared" si="291"/>
        <v>0</v>
      </c>
      <c r="AB2634" s="49">
        <f t="shared" si="292"/>
        <v>0</v>
      </c>
      <c r="AC2634" s="60">
        <f t="shared" si="293"/>
        <v>0</v>
      </c>
    </row>
    <row r="2635" spans="1:29">
      <c r="A2635" s="83" t="str">
        <f t="shared" si="287"/>
        <v/>
      </c>
      <c r="B2635" s="83" t="str">
        <f t="shared" si="288"/>
        <v/>
      </c>
      <c r="U2635" s="83" t="str">
        <f t="shared" si="289"/>
        <v/>
      </c>
      <c r="V2635" s="83" t="str">
        <f t="shared" si="290"/>
        <v/>
      </c>
      <c r="AA2635" s="60">
        <f t="shared" si="291"/>
        <v>0</v>
      </c>
      <c r="AB2635" s="49">
        <f t="shared" si="292"/>
        <v>0</v>
      </c>
      <c r="AC2635" s="60">
        <f t="shared" si="293"/>
        <v>0</v>
      </c>
    </row>
    <row r="2636" spans="1:29">
      <c r="A2636" s="83" t="str">
        <f t="shared" si="287"/>
        <v/>
      </c>
      <c r="B2636" s="83" t="str">
        <f t="shared" si="288"/>
        <v/>
      </c>
      <c r="U2636" s="83" t="str">
        <f t="shared" si="289"/>
        <v/>
      </c>
      <c r="V2636" s="83" t="str">
        <f t="shared" si="290"/>
        <v/>
      </c>
      <c r="AA2636" s="60">
        <f t="shared" si="291"/>
        <v>0</v>
      </c>
      <c r="AB2636" s="49">
        <f t="shared" si="292"/>
        <v>0</v>
      </c>
      <c r="AC2636" s="60">
        <f t="shared" si="293"/>
        <v>0</v>
      </c>
    </row>
    <row r="2637" spans="1:29">
      <c r="A2637" s="83" t="str">
        <f t="shared" si="287"/>
        <v/>
      </c>
      <c r="B2637" s="83" t="str">
        <f t="shared" si="288"/>
        <v/>
      </c>
      <c r="U2637" s="83" t="str">
        <f t="shared" si="289"/>
        <v/>
      </c>
      <c r="V2637" s="83" t="str">
        <f t="shared" si="290"/>
        <v/>
      </c>
      <c r="AA2637" s="60">
        <f t="shared" si="291"/>
        <v>0</v>
      </c>
      <c r="AB2637" s="49">
        <f t="shared" si="292"/>
        <v>0</v>
      </c>
      <c r="AC2637" s="60">
        <f t="shared" si="293"/>
        <v>0</v>
      </c>
    </row>
    <row r="2638" spans="1:29">
      <c r="A2638" s="83" t="str">
        <f t="shared" si="287"/>
        <v/>
      </c>
      <c r="B2638" s="83" t="str">
        <f t="shared" si="288"/>
        <v/>
      </c>
      <c r="U2638" s="83" t="str">
        <f t="shared" si="289"/>
        <v/>
      </c>
      <c r="V2638" s="83" t="str">
        <f t="shared" si="290"/>
        <v/>
      </c>
      <c r="AA2638" s="60">
        <f t="shared" si="291"/>
        <v>0</v>
      </c>
      <c r="AB2638" s="49">
        <f t="shared" si="292"/>
        <v>0</v>
      </c>
      <c r="AC2638" s="60">
        <f t="shared" si="293"/>
        <v>0</v>
      </c>
    </row>
    <row r="2639" spans="1:29">
      <c r="A2639" s="83" t="str">
        <f t="shared" si="287"/>
        <v/>
      </c>
      <c r="B2639" s="83" t="str">
        <f t="shared" si="288"/>
        <v/>
      </c>
      <c r="U2639" s="83" t="str">
        <f t="shared" si="289"/>
        <v/>
      </c>
      <c r="V2639" s="83" t="str">
        <f t="shared" si="290"/>
        <v/>
      </c>
      <c r="AA2639" s="60">
        <f t="shared" si="291"/>
        <v>0</v>
      </c>
      <c r="AB2639" s="49">
        <f t="shared" si="292"/>
        <v>0</v>
      </c>
      <c r="AC2639" s="60">
        <f t="shared" si="293"/>
        <v>0</v>
      </c>
    </row>
    <row r="2640" spans="1:29">
      <c r="A2640" s="83" t="str">
        <f t="shared" si="287"/>
        <v/>
      </c>
      <c r="B2640" s="83" t="str">
        <f t="shared" si="288"/>
        <v/>
      </c>
      <c r="U2640" s="83" t="str">
        <f t="shared" si="289"/>
        <v/>
      </c>
      <c r="V2640" s="83" t="str">
        <f t="shared" si="290"/>
        <v/>
      </c>
      <c r="AA2640" s="60">
        <f t="shared" si="291"/>
        <v>0</v>
      </c>
      <c r="AB2640" s="49">
        <f t="shared" si="292"/>
        <v>0</v>
      </c>
      <c r="AC2640" s="60">
        <f t="shared" si="293"/>
        <v>0</v>
      </c>
    </row>
    <row r="2641" spans="1:29">
      <c r="A2641" s="83" t="str">
        <f t="shared" si="287"/>
        <v/>
      </c>
      <c r="B2641" s="83" t="str">
        <f t="shared" si="288"/>
        <v/>
      </c>
      <c r="U2641" s="83" t="str">
        <f t="shared" si="289"/>
        <v/>
      </c>
      <c r="V2641" s="83" t="str">
        <f t="shared" si="290"/>
        <v/>
      </c>
      <c r="AA2641" s="60">
        <f t="shared" si="291"/>
        <v>0</v>
      </c>
      <c r="AB2641" s="49">
        <f t="shared" si="292"/>
        <v>0</v>
      </c>
      <c r="AC2641" s="60">
        <f t="shared" si="293"/>
        <v>0</v>
      </c>
    </row>
    <row r="2642" spans="1:29">
      <c r="A2642" s="83" t="str">
        <f t="shared" si="287"/>
        <v/>
      </c>
      <c r="B2642" s="83" t="str">
        <f t="shared" si="288"/>
        <v/>
      </c>
      <c r="U2642" s="83" t="str">
        <f t="shared" si="289"/>
        <v/>
      </c>
      <c r="V2642" s="83" t="str">
        <f t="shared" si="290"/>
        <v/>
      </c>
      <c r="AA2642" s="60">
        <f t="shared" si="291"/>
        <v>0</v>
      </c>
      <c r="AB2642" s="49">
        <f t="shared" si="292"/>
        <v>0</v>
      </c>
      <c r="AC2642" s="60">
        <f t="shared" si="293"/>
        <v>0</v>
      </c>
    </row>
    <row r="2643" spans="1:29">
      <c r="A2643" s="83" t="str">
        <f t="shared" si="287"/>
        <v/>
      </c>
      <c r="B2643" s="83" t="str">
        <f t="shared" si="288"/>
        <v/>
      </c>
      <c r="U2643" s="83" t="str">
        <f t="shared" si="289"/>
        <v/>
      </c>
      <c r="V2643" s="83" t="str">
        <f t="shared" si="290"/>
        <v/>
      </c>
      <c r="AA2643" s="60">
        <f t="shared" si="291"/>
        <v>0</v>
      </c>
      <c r="AB2643" s="49">
        <f t="shared" si="292"/>
        <v>0</v>
      </c>
      <c r="AC2643" s="60">
        <f t="shared" si="293"/>
        <v>0</v>
      </c>
    </row>
    <row r="2644" spans="1:29">
      <c r="A2644" s="83" t="str">
        <f t="shared" si="287"/>
        <v/>
      </c>
      <c r="B2644" s="83" t="str">
        <f t="shared" si="288"/>
        <v/>
      </c>
      <c r="U2644" s="83" t="str">
        <f t="shared" si="289"/>
        <v/>
      </c>
      <c r="V2644" s="83" t="str">
        <f t="shared" si="290"/>
        <v/>
      </c>
      <c r="AA2644" s="60">
        <f t="shared" si="291"/>
        <v>0</v>
      </c>
      <c r="AB2644" s="49">
        <f t="shared" si="292"/>
        <v>0</v>
      </c>
      <c r="AC2644" s="60">
        <f t="shared" si="293"/>
        <v>0</v>
      </c>
    </row>
    <row r="2645" spans="1:29">
      <c r="A2645" s="83" t="str">
        <f t="shared" si="287"/>
        <v/>
      </c>
      <c r="B2645" s="83" t="str">
        <f t="shared" si="288"/>
        <v/>
      </c>
      <c r="U2645" s="83" t="str">
        <f t="shared" si="289"/>
        <v/>
      </c>
      <c r="V2645" s="83" t="str">
        <f t="shared" si="290"/>
        <v/>
      </c>
      <c r="AA2645" s="60">
        <f t="shared" si="291"/>
        <v>0</v>
      </c>
      <c r="AB2645" s="49">
        <f t="shared" si="292"/>
        <v>0</v>
      </c>
      <c r="AC2645" s="60">
        <f t="shared" si="293"/>
        <v>0</v>
      </c>
    </row>
    <row r="2646" spans="1:29">
      <c r="A2646" s="83" t="str">
        <f t="shared" si="287"/>
        <v/>
      </c>
      <c r="B2646" s="83" t="str">
        <f t="shared" si="288"/>
        <v/>
      </c>
      <c r="U2646" s="83" t="str">
        <f t="shared" si="289"/>
        <v/>
      </c>
      <c r="V2646" s="83" t="str">
        <f t="shared" si="290"/>
        <v/>
      </c>
      <c r="AA2646" s="60">
        <f t="shared" si="291"/>
        <v>0</v>
      </c>
      <c r="AB2646" s="49">
        <f t="shared" si="292"/>
        <v>0</v>
      </c>
      <c r="AC2646" s="60">
        <f t="shared" si="293"/>
        <v>0</v>
      </c>
    </row>
    <row r="2647" spans="1:29">
      <c r="A2647" s="83" t="str">
        <f t="shared" si="287"/>
        <v/>
      </c>
      <c r="B2647" s="83" t="str">
        <f t="shared" si="288"/>
        <v/>
      </c>
      <c r="U2647" s="83" t="str">
        <f t="shared" si="289"/>
        <v/>
      </c>
      <c r="V2647" s="83" t="str">
        <f t="shared" si="290"/>
        <v/>
      </c>
      <c r="AA2647" s="60">
        <f t="shared" si="291"/>
        <v>0</v>
      </c>
      <c r="AB2647" s="49">
        <f t="shared" si="292"/>
        <v>0</v>
      </c>
      <c r="AC2647" s="60">
        <f t="shared" si="293"/>
        <v>0</v>
      </c>
    </row>
    <row r="2648" spans="1:29">
      <c r="A2648" s="83" t="str">
        <f t="shared" si="287"/>
        <v/>
      </c>
      <c r="B2648" s="83" t="str">
        <f t="shared" si="288"/>
        <v/>
      </c>
      <c r="U2648" s="83" t="str">
        <f t="shared" si="289"/>
        <v/>
      </c>
      <c r="V2648" s="83" t="str">
        <f t="shared" si="290"/>
        <v/>
      </c>
      <c r="AA2648" s="60">
        <f t="shared" si="291"/>
        <v>0</v>
      </c>
      <c r="AB2648" s="49">
        <f t="shared" si="292"/>
        <v>0</v>
      </c>
      <c r="AC2648" s="60">
        <f t="shared" si="293"/>
        <v>0</v>
      </c>
    </row>
    <row r="2649" spans="1:29">
      <c r="A2649" s="83" t="str">
        <f t="shared" si="287"/>
        <v/>
      </c>
      <c r="B2649" s="83" t="str">
        <f t="shared" si="288"/>
        <v/>
      </c>
      <c r="U2649" s="83" t="str">
        <f t="shared" si="289"/>
        <v/>
      </c>
      <c r="V2649" s="83" t="str">
        <f t="shared" si="290"/>
        <v/>
      </c>
      <c r="AA2649" s="60">
        <f t="shared" si="291"/>
        <v>0</v>
      </c>
      <c r="AB2649" s="49">
        <f t="shared" si="292"/>
        <v>0</v>
      </c>
      <c r="AC2649" s="60">
        <f t="shared" si="293"/>
        <v>0</v>
      </c>
    </row>
    <row r="2650" spans="1:29">
      <c r="A2650" s="83" t="str">
        <f t="shared" si="287"/>
        <v/>
      </c>
      <c r="B2650" s="83" t="str">
        <f t="shared" si="288"/>
        <v/>
      </c>
      <c r="U2650" s="83" t="str">
        <f t="shared" si="289"/>
        <v/>
      </c>
      <c r="V2650" s="83" t="str">
        <f t="shared" si="290"/>
        <v/>
      </c>
      <c r="AA2650" s="60">
        <f t="shared" si="291"/>
        <v>0</v>
      </c>
      <c r="AB2650" s="49">
        <f t="shared" si="292"/>
        <v>0</v>
      </c>
      <c r="AC2650" s="60">
        <f t="shared" si="293"/>
        <v>0</v>
      </c>
    </row>
    <row r="2651" spans="1:29">
      <c r="A2651" s="83" t="str">
        <f t="shared" si="287"/>
        <v/>
      </c>
      <c r="B2651" s="83" t="str">
        <f t="shared" si="288"/>
        <v/>
      </c>
      <c r="U2651" s="83" t="str">
        <f t="shared" si="289"/>
        <v/>
      </c>
      <c r="V2651" s="83" t="str">
        <f t="shared" si="290"/>
        <v/>
      </c>
      <c r="AA2651" s="60">
        <f t="shared" si="291"/>
        <v>0</v>
      </c>
      <c r="AB2651" s="49">
        <f t="shared" si="292"/>
        <v>0</v>
      </c>
      <c r="AC2651" s="60">
        <f t="shared" si="293"/>
        <v>0</v>
      </c>
    </row>
    <row r="2652" spans="1:29">
      <c r="A2652" s="83" t="str">
        <f t="shared" si="287"/>
        <v/>
      </c>
      <c r="B2652" s="83" t="str">
        <f t="shared" si="288"/>
        <v/>
      </c>
      <c r="U2652" s="83" t="str">
        <f t="shared" si="289"/>
        <v/>
      </c>
      <c r="V2652" s="83" t="str">
        <f t="shared" si="290"/>
        <v/>
      </c>
      <c r="AA2652" s="60">
        <f t="shared" si="291"/>
        <v>0</v>
      </c>
      <c r="AB2652" s="49">
        <f t="shared" si="292"/>
        <v>0</v>
      </c>
      <c r="AC2652" s="60">
        <f t="shared" si="293"/>
        <v>0</v>
      </c>
    </row>
    <row r="2653" spans="1:29">
      <c r="A2653" s="83" t="str">
        <f t="shared" si="287"/>
        <v/>
      </c>
      <c r="B2653" s="83" t="str">
        <f t="shared" si="288"/>
        <v/>
      </c>
      <c r="U2653" s="83" t="str">
        <f t="shared" si="289"/>
        <v/>
      </c>
      <c r="V2653" s="83" t="str">
        <f t="shared" si="290"/>
        <v/>
      </c>
      <c r="AA2653" s="60">
        <f t="shared" si="291"/>
        <v>0</v>
      </c>
      <c r="AB2653" s="49">
        <f t="shared" si="292"/>
        <v>0</v>
      </c>
      <c r="AC2653" s="60">
        <f t="shared" si="293"/>
        <v>0</v>
      </c>
    </row>
    <row r="2654" spans="1:29">
      <c r="A2654" s="83" t="str">
        <f t="shared" si="287"/>
        <v/>
      </c>
      <c r="B2654" s="83" t="str">
        <f t="shared" si="288"/>
        <v/>
      </c>
      <c r="U2654" s="83" t="str">
        <f t="shared" si="289"/>
        <v/>
      </c>
      <c r="V2654" s="83" t="str">
        <f t="shared" si="290"/>
        <v/>
      </c>
      <c r="AA2654" s="60">
        <f t="shared" si="291"/>
        <v>0</v>
      </c>
      <c r="AB2654" s="49">
        <f t="shared" si="292"/>
        <v>0</v>
      </c>
      <c r="AC2654" s="60">
        <f t="shared" si="293"/>
        <v>0</v>
      </c>
    </row>
    <row r="2655" spans="1:29">
      <c r="A2655" s="83" t="str">
        <f t="shared" si="287"/>
        <v/>
      </c>
      <c r="B2655" s="83" t="str">
        <f t="shared" si="288"/>
        <v/>
      </c>
      <c r="U2655" s="83" t="str">
        <f t="shared" si="289"/>
        <v/>
      </c>
      <c r="V2655" s="83" t="str">
        <f t="shared" si="290"/>
        <v/>
      </c>
      <c r="AA2655" s="60">
        <f t="shared" si="291"/>
        <v>0</v>
      </c>
      <c r="AB2655" s="49">
        <f t="shared" si="292"/>
        <v>0</v>
      </c>
      <c r="AC2655" s="60">
        <f t="shared" si="293"/>
        <v>0</v>
      </c>
    </row>
    <row r="2656" spans="1:29">
      <c r="A2656" s="83" t="str">
        <f t="shared" si="287"/>
        <v/>
      </c>
      <c r="B2656" s="83" t="str">
        <f t="shared" si="288"/>
        <v/>
      </c>
      <c r="U2656" s="83" t="str">
        <f t="shared" si="289"/>
        <v/>
      </c>
      <c r="V2656" s="83" t="str">
        <f t="shared" si="290"/>
        <v/>
      </c>
      <c r="AA2656" s="60">
        <f t="shared" si="291"/>
        <v>0</v>
      </c>
      <c r="AB2656" s="49">
        <f t="shared" si="292"/>
        <v>0</v>
      </c>
      <c r="AC2656" s="60">
        <f t="shared" si="293"/>
        <v>0</v>
      </c>
    </row>
    <row r="2657" spans="1:29">
      <c r="A2657" s="83" t="str">
        <f t="shared" si="287"/>
        <v/>
      </c>
      <c r="B2657" s="83" t="str">
        <f t="shared" si="288"/>
        <v/>
      </c>
      <c r="U2657" s="83" t="str">
        <f t="shared" si="289"/>
        <v/>
      </c>
      <c r="V2657" s="83" t="str">
        <f t="shared" si="290"/>
        <v/>
      </c>
      <c r="AA2657" s="60">
        <f t="shared" si="291"/>
        <v>0</v>
      </c>
      <c r="AB2657" s="49">
        <f t="shared" si="292"/>
        <v>0</v>
      </c>
      <c r="AC2657" s="60">
        <f t="shared" si="293"/>
        <v>0</v>
      </c>
    </row>
    <row r="2658" spans="1:29">
      <c r="A2658" s="83" t="str">
        <f t="shared" si="287"/>
        <v/>
      </c>
      <c r="B2658" s="83" t="str">
        <f t="shared" si="288"/>
        <v/>
      </c>
      <c r="U2658" s="83" t="str">
        <f t="shared" si="289"/>
        <v/>
      </c>
      <c r="V2658" s="83" t="str">
        <f t="shared" si="290"/>
        <v/>
      </c>
      <c r="AA2658" s="60">
        <f t="shared" si="291"/>
        <v>0</v>
      </c>
      <c r="AB2658" s="49">
        <f t="shared" si="292"/>
        <v>0</v>
      </c>
      <c r="AC2658" s="60">
        <f t="shared" si="293"/>
        <v>0</v>
      </c>
    </row>
    <row r="2659" spans="1:29">
      <c r="A2659" s="83" t="str">
        <f t="shared" si="287"/>
        <v/>
      </c>
      <c r="B2659" s="83" t="str">
        <f t="shared" si="288"/>
        <v/>
      </c>
      <c r="U2659" s="83" t="str">
        <f t="shared" si="289"/>
        <v/>
      </c>
      <c r="V2659" s="83" t="str">
        <f t="shared" si="290"/>
        <v/>
      </c>
      <c r="AA2659" s="60">
        <f t="shared" si="291"/>
        <v>0</v>
      </c>
      <c r="AB2659" s="49">
        <f t="shared" si="292"/>
        <v>0</v>
      </c>
      <c r="AC2659" s="60">
        <f t="shared" si="293"/>
        <v>0</v>
      </c>
    </row>
    <row r="2660" spans="1:29">
      <c r="A2660" s="83" t="str">
        <f t="shared" si="287"/>
        <v/>
      </c>
      <c r="B2660" s="83" t="str">
        <f t="shared" si="288"/>
        <v/>
      </c>
      <c r="U2660" s="83" t="str">
        <f t="shared" si="289"/>
        <v/>
      </c>
      <c r="V2660" s="83" t="str">
        <f t="shared" si="290"/>
        <v/>
      </c>
      <c r="AA2660" s="60">
        <f t="shared" si="291"/>
        <v>0</v>
      </c>
      <c r="AB2660" s="49">
        <f t="shared" si="292"/>
        <v>0</v>
      </c>
      <c r="AC2660" s="60">
        <f t="shared" si="293"/>
        <v>0</v>
      </c>
    </row>
    <row r="2661" spans="1:29">
      <c r="A2661" s="83" t="str">
        <f t="shared" si="287"/>
        <v/>
      </c>
      <c r="B2661" s="83" t="str">
        <f t="shared" si="288"/>
        <v/>
      </c>
      <c r="U2661" s="83" t="str">
        <f t="shared" si="289"/>
        <v/>
      </c>
      <c r="V2661" s="83" t="str">
        <f t="shared" si="290"/>
        <v/>
      </c>
      <c r="AA2661" s="60">
        <f t="shared" si="291"/>
        <v>0</v>
      </c>
      <c r="AB2661" s="49">
        <f t="shared" si="292"/>
        <v>0</v>
      </c>
      <c r="AC2661" s="60">
        <f t="shared" si="293"/>
        <v>0</v>
      </c>
    </row>
    <row r="2662" spans="1:29">
      <c r="A2662" s="83" t="str">
        <f t="shared" si="287"/>
        <v/>
      </c>
      <c r="B2662" s="83" t="str">
        <f t="shared" si="288"/>
        <v/>
      </c>
      <c r="U2662" s="83" t="str">
        <f t="shared" si="289"/>
        <v/>
      </c>
      <c r="V2662" s="83" t="str">
        <f t="shared" si="290"/>
        <v/>
      </c>
      <c r="AA2662" s="60">
        <f t="shared" si="291"/>
        <v>0</v>
      </c>
      <c r="AB2662" s="49">
        <f t="shared" si="292"/>
        <v>0</v>
      </c>
      <c r="AC2662" s="60">
        <f t="shared" si="293"/>
        <v>0</v>
      </c>
    </row>
    <row r="2663" spans="1:29">
      <c r="A2663" s="83" t="str">
        <f t="shared" si="287"/>
        <v/>
      </c>
      <c r="B2663" s="83" t="str">
        <f t="shared" si="288"/>
        <v/>
      </c>
      <c r="U2663" s="83" t="str">
        <f t="shared" si="289"/>
        <v/>
      </c>
      <c r="V2663" s="83" t="str">
        <f t="shared" si="290"/>
        <v/>
      </c>
      <c r="AA2663" s="60">
        <f t="shared" si="291"/>
        <v>0</v>
      </c>
      <c r="AB2663" s="49">
        <f t="shared" si="292"/>
        <v>0</v>
      </c>
      <c r="AC2663" s="60">
        <f t="shared" si="293"/>
        <v>0</v>
      </c>
    </row>
    <row r="2664" spans="1:29">
      <c r="A2664" s="83" t="str">
        <f t="shared" si="287"/>
        <v/>
      </c>
      <c r="B2664" s="83" t="str">
        <f t="shared" si="288"/>
        <v/>
      </c>
      <c r="U2664" s="83" t="str">
        <f t="shared" si="289"/>
        <v/>
      </c>
      <c r="V2664" s="83" t="str">
        <f t="shared" si="290"/>
        <v/>
      </c>
      <c r="AA2664" s="60">
        <f t="shared" si="291"/>
        <v>0</v>
      </c>
      <c r="AB2664" s="49">
        <f t="shared" si="292"/>
        <v>0</v>
      </c>
      <c r="AC2664" s="60">
        <f t="shared" si="293"/>
        <v>0</v>
      </c>
    </row>
    <row r="2665" spans="1:29">
      <c r="A2665" s="83" t="str">
        <f t="shared" si="287"/>
        <v/>
      </c>
      <c r="B2665" s="83" t="str">
        <f t="shared" si="288"/>
        <v/>
      </c>
      <c r="U2665" s="83" t="str">
        <f t="shared" si="289"/>
        <v/>
      </c>
      <c r="V2665" s="83" t="str">
        <f t="shared" si="290"/>
        <v/>
      </c>
      <c r="AA2665" s="60">
        <f t="shared" si="291"/>
        <v>0</v>
      </c>
      <c r="AB2665" s="49">
        <f t="shared" si="292"/>
        <v>0</v>
      </c>
      <c r="AC2665" s="60">
        <f t="shared" si="293"/>
        <v>0</v>
      </c>
    </row>
    <row r="2666" spans="1:29">
      <c r="A2666" s="83" t="str">
        <f t="shared" si="287"/>
        <v/>
      </c>
      <c r="B2666" s="83" t="str">
        <f t="shared" si="288"/>
        <v/>
      </c>
      <c r="U2666" s="83" t="str">
        <f t="shared" si="289"/>
        <v/>
      </c>
      <c r="V2666" s="83" t="str">
        <f t="shared" si="290"/>
        <v/>
      </c>
      <c r="AA2666" s="60">
        <f t="shared" si="291"/>
        <v>0</v>
      </c>
      <c r="AB2666" s="49">
        <f t="shared" si="292"/>
        <v>0</v>
      </c>
      <c r="AC2666" s="60">
        <f t="shared" si="293"/>
        <v>0</v>
      </c>
    </row>
    <row r="2667" spans="1:29">
      <c r="A2667" s="83" t="str">
        <f t="shared" si="287"/>
        <v/>
      </c>
      <c r="B2667" s="83" t="str">
        <f t="shared" si="288"/>
        <v/>
      </c>
      <c r="U2667" s="83" t="str">
        <f t="shared" si="289"/>
        <v/>
      </c>
      <c r="V2667" s="83" t="str">
        <f t="shared" si="290"/>
        <v/>
      </c>
      <c r="AA2667" s="60">
        <f t="shared" si="291"/>
        <v>0</v>
      </c>
      <c r="AB2667" s="49">
        <f t="shared" si="292"/>
        <v>0</v>
      </c>
      <c r="AC2667" s="60">
        <f t="shared" si="293"/>
        <v>0</v>
      </c>
    </row>
    <row r="2668" spans="1:29">
      <c r="A2668" s="83" t="str">
        <f t="shared" si="287"/>
        <v/>
      </c>
      <c r="B2668" s="83" t="str">
        <f t="shared" si="288"/>
        <v/>
      </c>
      <c r="U2668" s="83" t="str">
        <f t="shared" si="289"/>
        <v/>
      </c>
      <c r="V2668" s="83" t="str">
        <f t="shared" si="290"/>
        <v/>
      </c>
      <c r="AA2668" s="60">
        <f t="shared" si="291"/>
        <v>0</v>
      </c>
      <c r="AB2668" s="49">
        <f t="shared" si="292"/>
        <v>0</v>
      </c>
      <c r="AC2668" s="60">
        <f t="shared" si="293"/>
        <v>0</v>
      </c>
    </row>
    <row r="2669" spans="1:29">
      <c r="A2669" s="83" t="str">
        <f t="shared" si="287"/>
        <v/>
      </c>
      <c r="B2669" s="83" t="str">
        <f t="shared" si="288"/>
        <v/>
      </c>
      <c r="U2669" s="83" t="str">
        <f t="shared" si="289"/>
        <v/>
      </c>
      <c r="V2669" s="83" t="str">
        <f t="shared" si="290"/>
        <v/>
      </c>
      <c r="AA2669" s="60">
        <f t="shared" si="291"/>
        <v>0</v>
      </c>
      <c r="AB2669" s="49">
        <f t="shared" si="292"/>
        <v>0</v>
      </c>
      <c r="AC2669" s="60">
        <f t="shared" si="293"/>
        <v>0</v>
      </c>
    </row>
    <row r="2670" spans="1:29">
      <c r="A2670" s="83" t="str">
        <f t="shared" si="287"/>
        <v/>
      </c>
      <c r="B2670" s="83" t="str">
        <f t="shared" si="288"/>
        <v/>
      </c>
      <c r="U2670" s="83" t="str">
        <f t="shared" si="289"/>
        <v/>
      </c>
      <c r="V2670" s="83" t="str">
        <f t="shared" si="290"/>
        <v/>
      </c>
      <c r="AA2670" s="60">
        <f t="shared" si="291"/>
        <v>0</v>
      </c>
      <c r="AB2670" s="49">
        <f t="shared" si="292"/>
        <v>0</v>
      </c>
      <c r="AC2670" s="60">
        <f t="shared" si="293"/>
        <v>0</v>
      </c>
    </row>
    <row r="2671" spans="1:29">
      <c r="A2671" s="83" t="str">
        <f t="shared" si="287"/>
        <v/>
      </c>
      <c r="B2671" s="83" t="str">
        <f t="shared" si="288"/>
        <v/>
      </c>
      <c r="U2671" s="83" t="str">
        <f t="shared" si="289"/>
        <v/>
      </c>
      <c r="V2671" s="83" t="str">
        <f t="shared" si="290"/>
        <v/>
      </c>
      <c r="AA2671" s="60">
        <f t="shared" si="291"/>
        <v>0</v>
      </c>
      <c r="AB2671" s="49">
        <f t="shared" si="292"/>
        <v>0</v>
      </c>
      <c r="AC2671" s="60">
        <f t="shared" si="293"/>
        <v>0</v>
      </c>
    </row>
    <row r="2672" spans="1:29">
      <c r="A2672" s="83" t="str">
        <f t="shared" si="287"/>
        <v/>
      </c>
      <c r="B2672" s="83" t="str">
        <f t="shared" si="288"/>
        <v/>
      </c>
      <c r="U2672" s="83" t="str">
        <f t="shared" si="289"/>
        <v/>
      </c>
      <c r="V2672" s="83" t="str">
        <f t="shared" si="290"/>
        <v/>
      </c>
      <c r="AA2672" s="60">
        <f t="shared" si="291"/>
        <v>0</v>
      </c>
      <c r="AB2672" s="49">
        <f t="shared" si="292"/>
        <v>0</v>
      </c>
      <c r="AC2672" s="60">
        <f t="shared" si="293"/>
        <v>0</v>
      </c>
    </row>
    <row r="2673" spans="1:29">
      <c r="A2673" s="83" t="str">
        <f t="shared" si="287"/>
        <v/>
      </c>
      <c r="B2673" s="83" t="str">
        <f t="shared" si="288"/>
        <v/>
      </c>
      <c r="U2673" s="83" t="str">
        <f t="shared" si="289"/>
        <v/>
      </c>
      <c r="V2673" s="83" t="str">
        <f t="shared" si="290"/>
        <v/>
      </c>
      <c r="AA2673" s="60">
        <f t="shared" si="291"/>
        <v>0</v>
      </c>
      <c r="AB2673" s="49">
        <f t="shared" si="292"/>
        <v>0</v>
      </c>
      <c r="AC2673" s="60">
        <f t="shared" si="293"/>
        <v>0</v>
      </c>
    </row>
    <row r="2674" spans="1:29">
      <c r="A2674" s="83" t="str">
        <f t="shared" si="287"/>
        <v/>
      </c>
      <c r="B2674" s="83" t="str">
        <f t="shared" si="288"/>
        <v/>
      </c>
      <c r="U2674" s="83" t="str">
        <f t="shared" si="289"/>
        <v/>
      </c>
      <c r="V2674" s="83" t="str">
        <f t="shared" si="290"/>
        <v/>
      </c>
      <c r="AA2674" s="60">
        <f t="shared" si="291"/>
        <v>0</v>
      </c>
      <c r="AB2674" s="49">
        <f t="shared" si="292"/>
        <v>0</v>
      </c>
      <c r="AC2674" s="60">
        <f t="shared" si="293"/>
        <v>0</v>
      </c>
    </row>
    <row r="2675" spans="1:29">
      <c r="A2675" s="83" t="str">
        <f t="shared" si="287"/>
        <v/>
      </c>
      <c r="B2675" s="83" t="str">
        <f t="shared" si="288"/>
        <v/>
      </c>
      <c r="U2675" s="83" t="str">
        <f t="shared" si="289"/>
        <v/>
      </c>
      <c r="V2675" s="83" t="str">
        <f t="shared" si="290"/>
        <v/>
      </c>
      <c r="AA2675" s="60">
        <f t="shared" si="291"/>
        <v>0</v>
      </c>
      <c r="AB2675" s="49">
        <f t="shared" si="292"/>
        <v>0</v>
      </c>
      <c r="AC2675" s="60">
        <f t="shared" si="293"/>
        <v>0</v>
      </c>
    </row>
    <row r="2676" spans="1:29">
      <c r="A2676" s="83" t="str">
        <f t="shared" si="287"/>
        <v/>
      </c>
      <c r="B2676" s="83" t="str">
        <f t="shared" si="288"/>
        <v/>
      </c>
      <c r="U2676" s="83" t="str">
        <f t="shared" si="289"/>
        <v/>
      </c>
      <c r="V2676" s="83" t="str">
        <f t="shared" si="290"/>
        <v/>
      </c>
      <c r="AA2676" s="60">
        <f t="shared" si="291"/>
        <v>0</v>
      </c>
      <c r="AB2676" s="49">
        <f t="shared" si="292"/>
        <v>0</v>
      </c>
      <c r="AC2676" s="60">
        <f t="shared" si="293"/>
        <v>0</v>
      </c>
    </row>
    <row r="2677" spans="1:29">
      <c r="A2677" s="83" t="str">
        <f t="shared" si="287"/>
        <v/>
      </c>
      <c r="B2677" s="83" t="str">
        <f t="shared" si="288"/>
        <v/>
      </c>
      <c r="U2677" s="83" t="str">
        <f t="shared" si="289"/>
        <v/>
      </c>
      <c r="V2677" s="83" t="str">
        <f t="shared" si="290"/>
        <v/>
      </c>
      <c r="AA2677" s="60">
        <f t="shared" si="291"/>
        <v>0</v>
      </c>
      <c r="AB2677" s="49">
        <f t="shared" si="292"/>
        <v>0</v>
      </c>
      <c r="AC2677" s="60">
        <f t="shared" si="293"/>
        <v>0</v>
      </c>
    </row>
    <row r="2678" spans="1:29">
      <c r="A2678" s="83" t="str">
        <f t="shared" si="287"/>
        <v/>
      </c>
      <c r="B2678" s="83" t="str">
        <f t="shared" si="288"/>
        <v/>
      </c>
      <c r="U2678" s="83" t="str">
        <f t="shared" si="289"/>
        <v/>
      </c>
      <c r="V2678" s="83" t="str">
        <f t="shared" si="290"/>
        <v/>
      </c>
      <c r="AA2678" s="60">
        <f t="shared" si="291"/>
        <v>0</v>
      </c>
      <c r="AB2678" s="49">
        <f t="shared" si="292"/>
        <v>0</v>
      </c>
      <c r="AC2678" s="60">
        <f t="shared" si="293"/>
        <v>0</v>
      </c>
    </row>
    <row r="2679" spans="1:29">
      <c r="A2679" s="83" t="str">
        <f t="shared" si="287"/>
        <v/>
      </c>
      <c r="B2679" s="83" t="str">
        <f t="shared" si="288"/>
        <v/>
      </c>
      <c r="U2679" s="83" t="str">
        <f t="shared" si="289"/>
        <v/>
      </c>
      <c r="V2679" s="83" t="str">
        <f t="shared" si="290"/>
        <v/>
      </c>
      <c r="AA2679" s="60">
        <f t="shared" si="291"/>
        <v>0</v>
      </c>
      <c r="AB2679" s="49">
        <f t="shared" si="292"/>
        <v>0</v>
      </c>
      <c r="AC2679" s="60">
        <f t="shared" si="293"/>
        <v>0</v>
      </c>
    </row>
    <row r="2680" spans="1:29">
      <c r="A2680" s="83" t="str">
        <f t="shared" si="287"/>
        <v/>
      </c>
      <c r="B2680" s="83" t="str">
        <f t="shared" si="288"/>
        <v/>
      </c>
      <c r="U2680" s="83" t="str">
        <f t="shared" si="289"/>
        <v/>
      </c>
      <c r="V2680" s="83" t="str">
        <f t="shared" si="290"/>
        <v/>
      </c>
      <c r="AA2680" s="60">
        <f t="shared" si="291"/>
        <v>0</v>
      </c>
      <c r="AB2680" s="49">
        <f t="shared" si="292"/>
        <v>0</v>
      </c>
      <c r="AC2680" s="60">
        <f t="shared" si="293"/>
        <v>0</v>
      </c>
    </row>
    <row r="2681" spans="1:29">
      <c r="A2681" s="83" t="str">
        <f t="shared" si="287"/>
        <v/>
      </c>
      <c r="B2681" s="83" t="str">
        <f t="shared" si="288"/>
        <v/>
      </c>
      <c r="U2681" s="83" t="str">
        <f t="shared" si="289"/>
        <v/>
      </c>
      <c r="V2681" s="83" t="str">
        <f t="shared" si="290"/>
        <v/>
      </c>
      <c r="AA2681" s="60">
        <f t="shared" si="291"/>
        <v>0</v>
      </c>
      <c r="AB2681" s="49">
        <f t="shared" si="292"/>
        <v>0</v>
      </c>
      <c r="AC2681" s="60">
        <f t="shared" si="293"/>
        <v>0</v>
      </c>
    </row>
    <row r="2682" spans="1:29">
      <c r="A2682" s="83" t="str">
        <f t="shared" si="287"/>
        <v/>
      </c>
      <c r="B2682" s="83" t="str">
        <f t="shared" si="288"/>
        <v/>
      </c>
      <c r="U2682" s="83" t="str">
        <f t="shared" si="289"/>
        <v/>
      </c>
      <c r="V2682" s="83" t="str">
        <f t="shared" si="290"/>
        <v/>
      </c>
      <c r="AA2682" s="60">
        <f t="shared" si="291"/>
        <v>0</v>
      </c>
      <c r="AB2682" s="49">
        <f t="shared" si="292"/>
        <v>0</v>
      </c>
      <c r="AC2682" s="60">
        <f t="shared" si="293"/>
        <v>0</v>
      </c>
    </row>
    <row r="2683" spans="1:29">
      <c r="A2683" s="83" t="str">
        <f t="shared" si="287"/>
        <v/>
      </c>
      <c r="B2683" s="83" t="str">
        <f t="shared" si="288"/>
        <v/>
      </c>
      <c r="U2683" s="83" t="str">
        <f t="shared" si="289"/>
        <v/>
      </c>
      <c r="V2683" s="83" t="str">
        <f t="shared" si="290"/>
        <v/>
      </c>
      <c r="AA2683" s="60">
        <f t="shared" si="291"/>
        <v>0</v>
      </c>
      <c r="AB2683" s="49">
        <f t="shared" si="292"/>
        <v>0</v>
      </c>
      <c r="AC2683" s="60">
        <f t="shared" si="293"/>
        <v>0</v>
      </c>
    </row>
    <row r="2684" spans="1:29">
      <c r="A2684" s="83" t="str">
        <f t="shared" si="287"/>
        <v/>
      </c>
      <c r="B2684" s="83" t="str">
        <f t="shared" si="288"/>
        <v/>
      </c>
      <c r="U2684" s="83" t="str">
        <f t="shared" si="289"/>
        <v/>
      </c>
      <c r="V2684" s="83" t="str">
        <f t="shared" si="290"/>
        <v/>
      </c>
      <c r="AA2684" s="60">
        <f t="shared" si="291"/>
        <v>0</v>
      </c>
      <c r="AB2684" s="49">
        <f t="shared" si="292"/>
        <v>0</v>
      </c>
      <c r="AC2684" s="60">
        <f t="shared" si="293"/>
        <v>0</v>
      </c>
    </row>
    <row r="2685" spans="1:29">
      <c r="A2685" s="83" t="str">
        <f t="shared" si="287"/>
        <v/>
      </c>
      <c r="B2685" s="83" t="str">
        <f t="shared" si="288"/>
        <v/>
      </c>
      <c r="U2685" s="83" t="str">
        <f t="shared" si="289"/>
        <v/>
      </c>
      <c r="V2685" s="83" t="str">
        <f t="shared" si="290"/>
        <v/>
      </c>
      <c r="AA2685" s="60">
        <f t="shared" si="291"/>
        <v>0</v>
      </c>
      <c r="AB2685" s="49">
        <f t="shared" si="292"/>
        <v>0</v>
      </c>
      <c r="AC2685" s="60">
        <f t="shared" si="293"/>
        <v>0</v>
      </c>
    </row>
    <row r="2686" spans="1:29">
      <c r="A2686" s="83" t="str">
        <f t="shared" si="287"/>
        <v/>
      </c>
      <c r="B2686" s="83" t="str">
        <f t="shared" si="288"/>
        <v/>
      </c>
      <c r="U2686" s="83" t="str">
        <f t="shared" si="289"/>
        <v/>
      </c>
      <c r="V2686" s="83" t="str">
        <f t="shared" si="290"/>
        <v/>
      </c>
      <c r="AA2686" s="60">
        <f t="shared" si="291"/>
        <v>0</v>
      </c>
      <c r="AB2686" s="49">
        <f t="shared" si="292"/>
        <v>0</v>
      </c>
      <c r="AC2686" s="60">
        <f t="shared" si="293"/>
        <v>0</v>
      </c>
    </row>
    <row r="2687" spans="1:29">
      <c r="A2687" s="83" t="str">
        <f t="shared" si="287"/>
        <v/>
      </c>
      <c r="B2687" s="83" t="str">
        <f t="shared" si="288"/>
        <v/>
      </c>
      <c r="U2687" s="83" t="str">
        <f t="shared" si="289"/>
        <v/>
      </c>
      <c r="V2687" s="83" t="str">
        <f t="shared" si="290"/>
        <v/>
      </c>
      <c r="AA2687" s="60">
        <f t="shared" si="291"/>
        <v>0</v>
      </c>
      <c r="AB2687" s="49">
        <f t="shared" si="292"/>
        <v>0</v>
      </c>
      <c r="AC2687" s="60">
        <f t="shared" si="293"/>
        <v>0</v>
      </c>
    </row>
    <row r="2688" spans="1:29">
      <c r="A2688" s="83" t="str">
        <f t="shared" si="287"/>
        <v/>
      </c>
      <c r="B2688" s="83" t="str">
        <f t="shared" si="288"/>
        <v/>
      </c>
      <c r="U2688" s="83" t="str">
        <f t="shared" si="289"/>
        <v/>
      </c>
      <c r="V2688" s="83" t="str">
        <f t="shared" si="290"/>
        <v/>
      </c>
      <c r="AA2688" s="60">
        <f t="shared" si="291"/>
        <v>0</v>
      </c>
      <c r="AB2688" s="49">
        <f t="shared" si="292"/>
        <v>0</v>
      </c>
      <c r="AC2688" s="60">
        <f t="shared" si="293"/>
        <v>0</v>
      </c>
    </row>
    <row r="2689" spans="1:29">
      <c r="A2689" s="83" t="str">
        <f t="shared" si="287"/>
        <v/>
      </c>
      <c r="B2689" s="83" t="str">
        <f t="shared" si="288"/>
        <v/>
      </c>
      <c r="U2689" s="83" t="str">
        <f t="shared" si="289"/>
        <v/>
      </c>
      <c r="V2689" s="83" t="str">
        <f t="shared" si="290"/>
        <v/>
      </c>
      <c r="AA2689" s="60">
        <f t="shared" si="291"/>
        <v>0</v>
      </c>
      <c r="AB2689" s="49">
        <f t="shared" si="292"/>
        <v>0</v>
      </c>
      <c r="AC2689" s="60">
        <f t="shared" si="293"/>
        <v>0</v>
      </c>
    </row>
    <row r="2690" spans="1:29">
      <c r="A2690" s="83" t="str">
        <f t="shared" si="287"/>
        <v/>
      </c>
      <c r="B2690" s="83" t="str">
        <f t="shared" si="288"/>
        <v/>
      </c>
      <c r="U2690" s="83" t="str">
        <f t="shared" si="289"/>
        <v/>
      </c>
      <c r="V2690" s="83" t="str">
        <f t="shared" si="290"/>
        <v/>
      </c>
      <c r="AA2690" s="60">
        <f t="shared" si="291"/>
        <v>0</v>
      </c>
      <c r="AB2690" s="49">
        <f t="shared" si="292"/>
        <v>0</v>
      </c>
      <c r="AC2690" s="60">
        <f t="shared" si="293"/>
        <v>0</v>
      </c>
    </row>
    <row r="2691" spans="1:29">
      <c r="A2691" s="83" t="str">
        <f t="shared" ref="A2691:A2754" si="294">IF(G2691&amp;Q2691&lt;&gt;"",U2691&amp;Q2691,"")</f>
        <v/>
      </c>
      <c r="B2691" s="83" t="str">
        <f t="shared" ref="B2691:B2754" si="295">IF(C2691&lt;&gt;"",LEFT(C2691,9),"")</f>
        <v/>
      </c>
      <c r="U2691" s="83" t="str">
        <f t="shared" ref="U2691:U2754" si="296">IF(G2691&lt;&gt;"",IF(StyleSpaceSplit,IFERROR(IF(FIND(" ",G2691)&gt;=1,MID(G2691,1,FIND(" ",G2691)-1),G2691),G2691),G2691),"")</f>
        <v/>
      </c>
      <c r="V2691" s="83" t="str">
        <f t="shared" ref="V2691:V2754" si="297">IF(A2691&lt;&gt;"",IFERROR(IF(FIND(" ",G2691)&gt;=1,MID(G2691,FIND(" ",G2691)+1,LEN(G2691)),""),G2691),"")</f>
        <v/>
      </c>
      <c r="AA2691" s="60">
        <f t="shared" ref="AA2691:AA2754" si="298">IFERROR(VALUE(MID($C2691,1,2)),0)</f>
        <v>0</v>
      </c>
      <c r="AB2691" s="49">
        <f t="shared" ref="AB2691:AB2754" si="299">IFERROR(VALUE(MID($C2691,4,3)),0)</f>
        <v>0</v>
      </c>
      <c r="AC2691" s="60">
        <f t="shared" ref="AC2691:AC2754" si="300">VALUE(RIGHT("00"&amp;AA2691,2)&amp;RIGHT("000"&amp;AB2691,3))</f>
        <v>0</v>
      </c>
    </row>
    <row r="2692" spans="1:29">
      <c r="A2692" s="83" t="str">
        <f t="shared" si="294"/>
        <v/>
      </c>
      <c r="B2692" s="83" t="str">
        <f t="shared" si="295"/>
        <v/>
      </c>
      <c r="U2692" s="83" t="str">
        <f t="shared" si="296"/>
        <v/>
      </c>
      <c r="V2692" s="83" t="str">
        <f t="shared" si="297"/>
        <v/>
      </c>
      <c r="AA2692" s="60">
        <f t="shared" si="298"/>
        <v>0</v>
      </c>
      <c r="AB2692" s="49">
        <f t="shared" si="299"/>
        <v>0</v>
      </c>
      <c r="AC2692" s="60">
        <f t="shared" si="300"/>
        <v>0</v>
      </c>
    </row>
    <row r="2693" spans="1:29">
      <c r="A2693" s="83" t="str">
        <f t="shared" si="294"/>
        <v/>
      </c>
      <c r="B2693" s="83" t="str">
        <f t="shared" si="295"/>
        <v/>
      </c>
      <c r="U2693" s="83" t="str">
        <f t="shared" si="296"/>
        <v/>
      </c>
      <c r="V2693" s="83" t="str">
        <f t="shared" si="297"/>
        <v/>
      </c>
      <c r="AA2693" s="60">
        <f t="shared" si="298"/>
        <v>0</v>
      </c>
      <c r="AB2693" s="49">
        <f t="shared" si="299"/>
        <v>0</v>
      </c>
      <c r="AC2693" s="60">
        <f t="shared" si="300"/>
        <v>0</v>
      </c>
    </row>
    <row r="2694" spans="1:29">
      <c r="A2694" s="83" t="str">
        <f t="shared" si="294"/>
        <v/>
      </c>
      <c r="B2694" s="83" t="str">
        <f t="shared" si="295"/>
        <v/>
      </c>
      <c r="U2694" s="83" t="str">
        <f t="shared" si="296"/>
        <v/>
      </c>
      <c r="V2694" s="83" t="str">
        <f t="shared" si="297"/>
        <v/>
      </c>
      <c r="AA2694" s="60">
        <f t="shared" si="298"/>
        <v>0</v>
      </c>
      <c r="AB2694" s="49">
        <f t="shared" si="299"/>
        <v>0</v>
      </c>
      <c r="AC2694" s="60">
        <f t="shared" si="300"/>
        <v>0</v>
      </c>
    </row>
    <row r="2695" spans="1:29">
      <c r="A2695" s="83" t="str">
        <f t="shared" si="294"/>
        <v/>
      </c>
      <c r="B2695" s="83" t="str">
        <f t="shared" si="295"/>
        <v/>
      </c>
      <c r="U2695" s="83" t="str">
        <f t="shared" si="296"/>
        <v/>
      </c>
      <c r="V2695" s="83" t="str">
        <f t="shared" si="297"/>
        <v/>
      </c>
      <c r="AA2695" s="60">
        <f t="shared" si="298"/>
        <v>0</v>
      </c>
      <c r="AB2695" s="49">
        <f t="shared" si="299"/>
        <v>0</v>
      </c>
      <c r="AC2695" s="60">
        <f t="shared" si="300"/>
        <v>0</v>
      </c>
    </row>
    <row r="2696" spans="1:29">
      <c r="A2696" s="83" t="str">
        <f t="shared" si="294"/>
        <v/>
      </c>
      <c r="B2696" s="83" t="str">
        <f t="shared" si="295"/>
        <v/>
      </c>
      <c r="U2696" s="83" t="str">
        <f t="shared" si="296"/>
        <v/>
      </c>
      <c r="V2696" s="83" t="str">
        <f t="shared" si="297"/>
        <v/>
      </c>
      <c r="AA2696" s="60">
        <f t="shared" si="298"/>
        <v>0</v>
      </c>
      <c r="AB2696" s="49">
        <f t="shared" si="299"/>
        <v>0</v>
      </c>
      <c r="AC2696" s="60">
        <f t="shared" si="300"/>
        <v>0</v>
      </c>
    </row>
    <row r="2697" spans="1:29">
      <c r="A2697" s="83" t="str">
        <f t="shared" si="294"/>
        <v/>
      </c>
      <c r="B2697" s="83" t="str">
        <f t="shared" si="295"/>
        <v/>
      </c>
      <c r="U2697" s="83" t="str">
        <f t="shared" si="296"/>
        <v/>
      </c>
      <c r="V2697" s="83" t="str">
        <f t="shared" si="297"/>
        <v/>
      </c>
      <c r="AA2697" s="60">
        <f t="shared" si="298"/>
        <v>0</v>
      </c>
      <c r="AB2697" s="49">
        <f t="shared" si="299"/>
        <v>0</v>
      </c>
      <c r="AC2697" s="60">
        <f t="shared" si="300"/>
        <v>0</v>
      </c>
    </row>
    <row r="2698" spans="1:29">
      <c r="A2698" s="83" t="str">
        <f t="shared" si="294"/>
        <v/>
      </c>
      <c r="B2698" s="83" t="str">
        <f t="shared" si="295"/>
        <v/>
      </c>
      <c r="U2698" s="83" t="str">
        <f t="shared" si="296"/>
        <v/>
      </c>
      <c r="V2698" s="83" t="str">
        <f t="shared" si="297"/>
        <v/>
      </c>
      <c r="AA2698" s="60">
        <f t="shared" si="298"/>
        <v>0</v>
      </c>
      <c r="AB2698" s="49">
        <f t="shared" si="299"/>
        <v>0</v>
      </c>
      <c r="AC2698" s="60">
        <f t="shared" si="300"/>
        <v>0</v>
      </c>
    </row>
    <row r="2699" spans="1:29">
      <c r="A2699" s="83" t="str">
        <f t="shared" si="294"/>
        <v/>
      </c>
      <c r="B2699" s="83" t="str">
        <f t="shared" si="295"/>
        <v/>
      </c>
      <c r="U2699" s="83" t="str">
        <f t="shared" si="296"/>
        <v/>
      </c>
      <c r="V2699" s="83" t="str">
        <f t="shared" si="297"/>
        <v/>
      </c>
      <c r="AA2699" s="60">
        <f t="shared" si="298"/>
        <v>0</v>
      </c>
      <c r="AB2699" s="49">
        <f t="shared" si="299"/>
        <v>0</v>
      </c>
      <c r="AC2699" s="60">
        <f t="shared" si="300"/>
        <v>0</v>
      </c>
    </row>
    <row r="2700" spans="1:29">
      <c r="A2700" s="83" t="str">
        <f t="shared" si="294"/>
        <v/>
      </c>
      <c r="B2700" s="83" t="str">
        <f t="shared" si="295"/>
        <v/>
      </c>
      <c r="U2700" s="83" t="str">
        <f t="shared" si="296"/>
        <v/>
      </c>
      <c r="V2700" s="83" t="str">
        <f t="shared" si="297"/>
        <v/>
      </c>
      <c r="AA2700" s="60">
        <f t="shared" si="298"/>
        <v>0</v>
      </c>
      <c r="AB2700" s="49">
        <f t="shared" si="299"/>
        <v>0</v>
      </c>
      <c r="AC2700" s="60">
        <f t="shared" si="300"/>
        <v>0</v>
      </c>
    </row>
    <row r="2701" spans="1:29">
      <c r="A2701" s="83" t="str">
        <f t="shared" si="294"/>
        <v/>
      </c>
      <c r="B2701" s="83" t="str">
        <f t="shared" si="295"/>
        <v/>
      </c>
      <c r="U2701" s="83" t="str">
        <f t="shared" si="296"/>
        <v/>
      </c>
      <c r="V2701" s="83" t="str">
        <f t="shared" si="297"/>
        <v/>
      </c>
      <c r="AA2701" s="60">
        <f t="shared" si="298"/>
        <v>0</v>
      </c>
      <c r="AB2701" s="49">
        <f t="shared" si="299"/>
        <v>0</v>
      </c>
      <c r="AC2701" s="60">
        <f t="shared" si="300"/>
        <v>0</v>
      </c>
    </row>
    <row r="2702" spans="1:29">
      <c r="A2702" s="83" t="str">
        <f t="shared" si="294"/>
        <v/>
      </c>
      <c r="B2702" s="83" t="str">
        <f t="shared" si="295"/>
        <v/>
      </c>
      <c r="U2702" s="83" t="str">
        <f t="shared" si="296"/>
        <v/>
      </c>
      <c r="V2702" s="83" t="str">
        <f t="shared" si="297"/>
        <v/>
      </c>
      <c r="AA2702" s="60">
        <f t="shared" si="298"/>
        <v>0</v>
      </c>
      <c r="AB2702" s="49">
        <f t="shared" si="299"/>
        <v>0</v>
      </c>
      <c r="AC2702" s="60">
        <f t="shared" si="300"/>
        <v>0</v>
      </c>
    </row>
    <row r="2703" spans="1:29">
      <c r="A2703" s="83" t="str">
        <f t="shared" si="294"/>
        <v/>
      </c>
      <c r="B2703" s="83" t="str">
        <f t="shared" si="295"/>
        <v/>
      </c>
      <c r="U2703" s="83" t="str">
        <f t="shared" si="296"/>
        <v/>
      </c>
      <c r="V2703" s="83" t="str">
        <f t="shared" si="297"/>
        <v/>
      </c>
      <c r="AA2703" s="60">
        <f t="shared" si="298"/>
        <v>0</v>
      </c>
      <c r="AB2703" s="49">
        <f t="shared" si="299"/>
        <v>0</v>
      </c>
      <c r="AC2703" s="60">
        <f t="shared" si="300"/>
        <v>0</v>
      </c>
    </row>
    <row r="2704" spans="1:29">
      <c r="A2704" s="83" t="str">
        <f t="shared" si="294"/>
        <v/>
      </c>
      <c r="B2704" s="83" t="str">
        <f t="shared" si="295"/>
        <v/>
      </c>
      <c r="U2704" s="83" t="str">
        <f t="shared" si="296"/>
        <v/>
      </c>
      <c r="V2704" s="83" t="str">
        <f t="shared" si="297"/>
        <v/>
      </c>
      <c r="AA2704" s="60">
        <f t="shared" si="298"/>
        <v>0</v>
      </c>
      <c r="AB2704" s="49">
        <f t="shared" si="299"/>
        <v>0</v>
      </c>
      <c r="AC2704" s="60">
        <f t="shared" si="300"/>
        <v>0</v>
      </c>
    </row>
    <row r="2705" spans="1:29">
      <c r="A2705" s="83" t="str">
        <f t="shared" si="294"/>
        <v/>
      </c>
      <c r="B2705" s="83" t="str">
        <f t="shared" si="295"/>
        <v/>
      </c>
      <c r="U2705" s="83" t="str">
        <f t="shared" si="296"/>
        <v/>
      </c>
      <c r="V2705" s="83" t="str">
        <f t="shared" si="297"/>
        <v/>
      </c>
      <c r="AA2705" s="60">
        <f t="shared" si="298"/>
        <v>0</v>
      </c>
      <c r="AB2705" s="49">
        <f t="shared" si="299"/>
        <v>0</v>
      </c>
      <c r="AC2705" s="60">
        <f t="shared" si="300"/>
        <v>0</v>
      </c>
    </row>
    <row r="2706" spans="1:29">
      <c r="A2706" s="83" t="str">
        <f t="shared" si="294"/>
        <v/>
      </c>
      <c r="B2706" s="83" t="str">
        <f t="shared" si="295"/>
        <v/>
      </c>
      <c r="U2706" s="83" t="str">
        <f t="shared" si="296"/>
        <v/>
      </c>
      <c r="V2706" s="83" t="str">
        <f t="shared" si="297"/>
        <v/>
      </c>
      <c r="AA2706" s="60">
        <f t="shared" si="298"/>
        <v>0</v>
      </c>
      <c r="AB2706" s="49">
        <f t="shared" si="299"/>
        <v>0</v>
      </c>
      <c r="AC2706" s="60">
        <f t="shared" si="300"/>
        <v>0</v>
      </c>
    </row>
    <row r="2707" spans="1:29">
      <c r="A2707" s="83" t="str">
        <f t="shared" si="294"/>
        <v/>
      </c>
      <c r="B2707" s="83" t="str">
        <f t="shared" si="295"/>
        <v/>
      </c>
      <c r="U2707" s="83" t="str">
        <f t="shared" si="296"/>
        <v/>
      </c>
      <c r="V2707" s="83" t="str">
        <f t="shared" si="297"/>
        <v/>
      </c>
      <c r="AA2707" s="60">
        <f t="shared" si="298"/>
        <v>0</v>
      </c>
      <c r="AB2707" s="49">
        <f t="shared" si="299"/>
        <v>0</v>
      </c>
      <c r="AC2707" s="60">
        <f t="shared" si="300"/>
        <v>0</v>
      </c>
    </row>
    <row r="2708" spans="1:29">
      <c r="A2708" s="83" t="str">
        <f t="shared" si="294"/>
        <v/>
      </c>
      <c r="B2708" s="83" t="str">
        <f t="shared" si="295"/>
        <v/>
      </c>
      <c r="U2708" s="83" t="str">
        <f t="shared" si="296"/>
        <v/>
      </c>
      <c r="V2708" s="83" t="str">
        <f t="shared" si="297"/>
        <v/>
      </c>
      <c r="AA2708" s="60">
        <f t="shared" si="298"/>
        <v>0</v>
      </c>
      <c r="AB2708" s="49">
        <f t="shared" si="299"/>
        <v>0</v>
      </c>
      <c r="AC2708" s="60">
        <f t="shared" si="300"/>
        <v>0</v>
      </c>
    </row>
    <row r="2709" spans="1:29">
      <c r="A2709" s="83" t="str">
        <f t="shared" si="294"/>
        <v/>
      </c>
      <c r="B2709" s="83" t="str">
        <f t="shared" si="295"/>
        <v/>
      </c>
      <c r="U2709" s="83" t="str">
        <f t="shared" si="296"/>
        <v/>
      </c>
      <c r="V2709" s="83" t="str">
        <f t="shared" si="297"/>
        <v/>
      </c>
      <c r="AA2709" s="60">
        <f t="shared" si="298"/>
        <v>0</v>
      </c>
      <c r="AB2709" s="49">
        <f t="shared" si="299"/>
        <v>0</v>
      </c>
      <c r="AC2709" s="60">
        <f t="shared" si="300"/>
        <v>0</v>
      </c>
    </row>
    <row r="2710" spans="1:29">
      <c r="A2710" s="83" t="str">
        <f t="shared" si="294"/>
        <v/>
      </c>
      <c r="B2710" s="83" t="str">
        <f t="shared" si="295"/>
        <v/>
      </c>
      <c r="U2710" s="83" t="str">
        <f t="shared" si="296"/>
        <v/>
      </c>
      <c r="V2710" s="83" t="str">
        <f t="shared" si="297"/>
        <v/>
      </c>
      <c r="AA2710" s="60">
        <f t="shared" si="298"/>
        <v>0</v>
      </c>
      <c r="AB2710" s="49">
        <f t="shared" si="299"/>
        <v>0</v>
      </c>
      <c r="AC2710" s="60">
        <f t="shared" si="300"/>
        <v>0</v>
      </c>
    </row>
    <row r="2711" spans="1:29">
      <c r="A2711" s="83" t="str">
        <f t="shared" si="294"/>
        <v/>
      </c>
      <c r="B2711" s="83" t="str">
        <f t="shared" si="295"/>
        <v/>
      </c>
      <c r="U2711" s="83" t="str">
        <f t="shared" si="296"/>
        <v/>
      </c>
      <c r="V2711" s="83" t="str">
        <f t="shared" si="297"/>
        <v/>
      </c>
      <c r="AA2711" s="60">
        <f t="shared" si="298"/>
        <v>0</v>
      </c>
      <c r="AB2711" s="49">
        <f t="shared" si="299"/>
        <v>0</v>
      </c>
      <c r="AC2711" s="60">
        <f t="shared" si="300"/>
        <v>0</v>
      </c>
    </row>
    <row r="2712" spans="1:29">
      <c r="A2712" s="83" t="str">
        <f t="shared" si="294"/>
        <v/>
      </c>
      <c r="B2712" s="83" t="str">
        <f t="shared" si="295"/>
        <v/>
      </c>
      <c r="U2712" s="83" t="str">
        <f t="shared" si="296"/>
        <v/>
      </c>
      <c r="V2712" s="83" t="str">
        <f t="shared" si="297"/>
        <v/>
      </c>
      <c r="AA2712" s="60">
        <f t="shared" si="298"/>
        <v>0</v>
      </c>
      <c r="AB2712" s="49">
        <f t="shared" si="299"/>
        <v>0</v>
      </c>
      <c r="AC2712" s="60">
        <f t="shared" si="300"/>
        <v>0</v>
      </c>
    </row>
    <row r="2713" spans="1:29">
      <c r="A2713" s="83" t="str">
        <f t="shared" si="294"/>
        <v/>
      </c>
      <c r="B2713" s="83" t="str">
        <f t="shared" si="295"/>
        <v/>
      </c>
      <c r="U2713" s="83" t="str">
        <f t="shared" si="296"/>
        <v/>
      </c>
      <c r="V2713" s="83" t="str">
        <f t="shared" si="297"/>
        <v/>
      </c>
      <c r="AA2713" s="60">
        <f t="shared" si="298"/>
        <v>0</v>
      </c>
      <c r="AB2713" s="49">
        <f t="shared" si="299"/>
        <v>0</v>
      </c>
      <c r="AC2713" s="60">
        <f t="shared" si="300"/>
        <v>0</v>
      </c>
    </row>
    <row r="2714" spans="1:29">
      <c r="A2714" s="83" t="str">
        <f t="shared" si="294"/>
        <v/>
      </c>
      <c r="B2714" s="83" t="str">
        <f t="shared" si="295"/>
        <v/>
      </c>
      <c r="U2714" s="83" t="str">
        <f t="shared" si="296"/>
        <v/>
      </c>
      <c r="V2714" s="83" t="str">
        <f t="shared" si="297"/>
        <v/>
      </c>
      <c r="AA2714" s="60">
        <f t="shared" si="298"/>
        <v>0</v>
      </c>
      <c r="AB2714" s="49">
        <f t="shared" si="299"/>
        <v>0</v>
      </c>
      <c r="AC2714" s="60">
        <f t="shared" si="300"/>
        <v>0</v>
      </c>
    </row>
    <row r="2715" spans="1:29">
      <c r="A2715" s="83" t="str">
        <f t="shared" si="294"/>
        <v/>
      </c>
      <c r="B2715" s="83" t="str">
        <f t="shared" si="295"/>
        <v/>
      </c>
      <c r="U2715" s="83" t="str">
        <f t="shared" si="296"/>
        <v/>
      </c>
      <c r="V2715" s="83" t="str">
        <f t="shared" si="297"/>
        <v/>
      </c>
      <c r="AA2715" s="60">
        <f t="shared" si="298"/>
        <v>0</v>
      </c>
      <c r="AB2715" s="49">
        <f t="shared" si="299"/>
        <v>0</v>
      </c>
      <c r="AC2715" s="60">
        <f t="shared" si="300"/>
        <v>0</v>
      </c>
    </row>
    <row r="2716" spans="1:29">
      <c r="A2716" s="83" t="str">
        <f t="shared" si="294"/>
        <v/>
      </c>
      <c r="B2716" s="83" t="str">
        <f t="shared" si="295"/>
        <v/>
      </c>
      <c r="U2716" s="83" t="str">
        <f t="shared" si="296"/>
        <v/>
      </c>
      <c r="V2716" s="83" t="str">
        <f t="shared" si="297"/>
        <v/>
      </c>
      <c r="AA2716" s="60">
        <f t="shared" si="298"/>
        <v>0</v>
      </c>
      <c r="AB2716" s="49">
        <f t="shared" si="299"/>
        <v>0</v>
      </c>
      <c r="AC2716" s="60">
        <f t="shared" si="300"/>
        <v>0</v>
      </c>
    </row>
    <row r="2717" spans="1:29">
      <c r="A2717" s="83" t="str">
        <f t="shared" si="294"/>
        <v/>
      </c>
      <c r="B2717" s="83" t="str">
        <f t="shared" si="295"/>
        <v/>
      </c>
      <c r="U2717" s="83" t="str">
        <f t="shared" si="296"/>
        <v/>
      </c>
      <c r="V2717" s="83" t="str">
        <f t="shared" si="297"/>
        <v/>
      </c>
      <c r="AA2717" s="60">
        <f t="shared" si="298"/>
        <v>0</v>
      </c>
      <c r="AB2717" s="49">
        <f t="shared" si="299"/>
        <v>0</v>
      </c>
      <c r="AC2717" s="60">
        <f t="shared" si="300"/>
        <v>0</v>
      </c>
    </row>
    <row r="2718" spans="1:29">
      <c r="A2718" s="83" t="str">
        <f t="shared" si="294"/>
        <v/>
      </c>
      <c r="B2718" s="83" t="str">
        <f t="shared" si="295"/>
        <v/>
      </c>
      <c r="U2718" s="83" t="str">
        <f t="shared" si="296"/>
        <v/>
      </c>
      <c r="V2718" s="83" t="str">
        <f t="shared" si="297"/>
        <v/>
      </c>
      <c r="AA2718" s="60">
        <f t="shared" si="298"/>
        <v>0</v>
      </c>
      <c r="AB2718" s="49">
        <f t="shared" si="299"/>
        <v>0</v>
      </c>
      <c r="AC2718" s="60">
        <f t="shared" si="300"/>
        <v>0</v>
      </c>
    </row>
    <row r="2719" spans="1:29">
      <c r="A2719" s="83" t="str">
        <f t="shared" si="294"/>
        <v/>
      </c>
      <c r="B2719" s="83" t="str">
        <f t="shared" si="295"/>
        <v/>
      </c>
      <c r="U2719" s="83" t="str">
        <f t="shared" si="296"/>
        <v/>
      </c>
      <c r="V2719" s="83" t="str">
        <f t="shared" si="297"/>
        <v/>
      </c>
      <c r="AA2719" s="60">
        <f t="shared" si="298"/>
        <v>0</v>
      </c>
      <c r="AB2719" s="49">
        <f t="shared" si="299"/>
        <v>0</v>
      </c>
      <c r="AC2719" s="60">
        <f t="shared" si="300"/>
        <v>0</v>
      </c>
    </row>
    <row r="2720" spans="1:29">
      <c r="A2720" s="83" t="str">
        <f t="shared" si="294"/>
        <v/>
      </c>
      <c r="B2720" s="83" t="str">
        <f t="shared" si="295"/>
        <v/>
      </c>
      <c r="U2720" s="83" t="str">
        <f t="shared" si="296"/>
        <v/>
      </c>
      <c r="V2720" s="83" t="str">
        <f t="shared" si="297"/>
        <v/>
      </c>
      <c r="AA2720" s="60">
        <f t="shared" si="298"/>
        <v>0</v>
      </c>
      <c r="AB2720" s="49">
        <f t="shared" si="299"/>
        <v>0</v>
      </c>
      <c r="AC2720" s="60">
        <f t="shared" si="300"/>
        <v>0</v>
      </c>
    </row>
    <row r="2721" spans="1:29">
      <c r="A2721" s="83" t="str">
        <f t="shared" si="294"/>
        <v/>
      </c>
      <c r="B2721" s="83" t="str">
        <f t="shared" si="295"/>
        <v/>
      </c>
      <c r="U2721" s="83" t="str">
        <f t="shared" si="296"/>
        <v/>
      </c>
      <c r="V2721" s="83" t="str">
        <f t="shared" si="297"/>
        <v/>
      </c>
      <c r="AA2721" s="60">
        <f t="shared" si="298"/>
        <v>0</v>
      </c>
      <c r="AB2721" s="49">
        <f t="shared" si="299"/>
        <v>0</v>
      </c>
      <c r="AC2721" s="60">
        <f t="shared" si="300"/>
        <v>0</v>
      </c>
    </row>
    <row r="2722" spans="1:29">
      <c r="A2722" s="83" t="str">
        <f t="shared" si="294"/>
        <v/>
      </c>
      <c r="B2722" s="83" t="str">
        <f t="shared" si="295"/>
        <v/>
      </c>
      <c r="U2722" s="83" t="str">
        <f t="shared" si="296"/>
        <v/>
      </c>
      <c r="V2722" s="83" t="str">
        <f t="shared" si="297"/>
        <v/>
      </c>
      <c r="AA2722" s="60">
        <f t="shared" si="298"/>
        <v>0</v>
      </c>
      <c r="AB2722" s="49">
        <f t="shared" si="299"/>
        <v>0</v>
      </c>
      <c r="AC2722" s="60">
        <f t="shared" si="300"/>
        <v>0</v>
      </c>
    </row>
    <row r="2723" spans="1:29">
      <c r="A2723" s="83" t="str">
        <f t="shared" si="294"/>
        <v/>
      </c>
      <c r="B2723" s="83" t="str">
        <f t="shared" si="295"/>
        <v/>
      </c>
      <c r="U2723" s="83" t="str">
        <f t="shared" si="296"/>
        <v/>
      </c>
      <c r="V2723" s="83" t="str">
        <f t="shared" si="297"/>
        <v/>
      </c>
      <c r="AA2723" s="60">
        <f t="shared" si="298"/>
        <v>0</v>
      </c>
      <c r="AB2723" s="49">
        <f t="shared" si="299"/>
        <v>0</v>
      </c>
      <c r="AC2723" s="60">
        <f t="shared" si="300"/>
        <v>0</v>
      </c>
    </row>
    <row r="2724" spans="1:29">
      <c r="A2724" s="83" t="str">
        <f t="shared" si="294"/>
        <v/>
      </c>
      <c r="B2724" s="83" t="str">
        <f t="shared" si="295"/>
        <v/>
      </c>
      <c r="U2724" s="83" t="str">
        <f t="shared" si="296"/>
        <v/>
      </c>
      <c r="V2724" s="83" t="str">
        <f t="shared" si="297"/>
        <v/>
      </c>
      <c r="AA2724" s="60">
        <f t="shared" si="298"/>
        <v>0</v>
      </c>
      <c r="AB2724" s="49">
        <f t="shared" si="299"/>
        <v>0</v>
      </c>
      <c r="AC2724" s="60">
        <f t="shared" si="300"/>
        <v>0</v>
      </c>
    </row>
    <row r="2725" spans="1:29">
      <c r="A2725" s="83" t="str">
        <f t="shared" si="294"/>
        <v/>
      </c>
      <c r="B2725" s="83" t="str">
        <f t="shared" si="295"/>
        <v/>
      </c>
      <c r="U2725" s="83" t="str">
        <f t="shared" si="296"/>
        <v/>
      </c>
      <c r="V2725" s="83" t="str">
        <f t="shared" si="297"/>
        <v/>
      </c>
      <c r="AA2725" s="60">
        <f t="shared" si="298"/>
        <v>0</v>
      </c>
      <c r="AB2725" s="49">
        <f t="shared" si="299"/>
        <v>0</v>
      </c>
      <c r="AC2725" s="60">
        <f t="shared" si="300"/>
        <v>0</v>
      </c>
    </row>
    <row r="2726" spans="1:29">
      <c r="A2726" s="83" t="str">
        <f t="shared" si="294"/>
        <v/>
      </c>
      <c r="B2726" s="83" t="str">
        <f t="shared" si="295"/>
        <v/>
      </c>
      <c r="U2726" s="83" t="str">
        <f t="shared" si="296"/>
        <v/>
      </c>
      <c r="V2726" s="83" t="str">
        <f t="shared" si="297"/>
        <v/>
      </c>
      <c r="AA2726" s="60">
        <f t="shared" si="298"/>
        <v>0</v>
      </c>
      <c r="AB2726" s="49">
        <f t="shared" si="299"/>
        <v>0</v>
      </c>
      <c r="AC2726" s="60">
        <f t="shared" si="300"/>
        <v>0</v>
      </c>
    </row>
    <row r="2727" spans="1:29">
      <c r="A2727" s="83" t="str">
        <f t="shared" si="294"/>
        <v/>
      </c>
      <c r="B2727" s="83" t="str">
        <f t="shared" si="295"/>
        <v/>
      </c>
      <c r="U2727" s="83" t="str">
        <f t="shared" si="296"/>
        <v/>
      </c>
      <c r="V2727" s="83" t="str">
        <f t="shared" si="297"/>
        <v/>
      </c>
      <c r="AA2727" s="60">
        <f t="shared" si="298"/>
        <v>0</v>
      </c>
      <c r="AB2727" s="49">
        <f t="shared" si="299"/>
        <v>0</v>
      </c>
      <c r="AC2727" s="60">
        <f t="shared" si="300"/>
        <v>0</v>
      </c>
    </row>
    <row r="2728" spans="1:29">
      <c r="A2728" s="83" t="str">
        <f t="shared" si="294"/>
        <v/>
      </c>
      <c r="B2728" s="83" t="str">
        <f t="shared" si="295"/>
        <v/>
      </c>
      <c r="U2728" s="83" t="str">
        <f t="shared" si="296"/>
        <v/>
      </c>
      <c r="V2728" s="83" t="str">
        <f t="shared" si="297"/>
        <v/>
      </c>
      <c r="AA2728" s="60">
        <f t="shared" si="298"/>
        <v>0</v>
      </c>
      <c r="AB2728" s="49">
        <f t="shared" si="299"/>
        <v>0</v>
      </c>
      <c r="AC2728" s="60">
        <f t="shared" si="300"/>
        <v>0</v>
      </c>
    </row>
    <row r="2729" spans="1:29">
      <c r="A2729" s="83" t="str">
        <f t="shared" si="294"/>
        <v/>
      </c>
      <c r="B2729" s="83" t="str">
        <f t="shared" si="295"/>
        <v/>
      </c>
      <c r="U2729" s="83" t="str">
        <f t="shared" si="296"/>
        <v/>
      </c>
      <c r="V2729" s="83" t="str">
        <f t="shared" si="297"/>
        <v/>
      </c>
      <c r="AA2729" s="60">
        <f t="shared" si="298"/>
        <v>0</v>
      </c>
      <c r="AB2729" s="49">
        <f t="shared" si="299"/>
        <v>0</v>
      </c>
      <c r="AC2729" s="60">
        <f t="shared" si="300"/>
        <v>0</v>
      </c>
    </row>
    <row r="2730" spans="1:29">
      <c r="A2730" s="83" t="str">
        <f t="shared" si="294"/>
        <v/>
      </c>
      <c r="B2730" s="83" t="str">
        <f t="shared" si="295"/>
        <v/>
      </c>
      <c r="U2730" s="83" t="str">
        <f t="shared" si="296"/>
        <v/>
      </c>
      <c r="V2730" s="83" t="str">
        <f t="shared" si="297"/>
        <v/>
      </c>
      <c r="AA2730" s="60">
        <f t="shared" si="298"/>
        <v>0</v>
      </c>
      <c r="AB2730" s="49">
        <f t="shared" si="299"/>
        <v>0</v>
      </c>
      <c r="AC2730" s="60">
        <f t="shared" si="300"/>
        <v>0</v>
      </c>
    </row>
    <row r="2731" spans="1:29">
      <c r="A2731" s="83" t="str">
        <f t="shared" si="294"/>
        <v/>
      </c>
      <c r="B2731" s="83" t="str">
        <f t="shared" si="295"/>
        <v/>
      </c>
      <c r="U2731" s="83" t="str">
        <f t="shared" si="296"/>
        <v/>
      </c>
      <c r="V2731" s="83" t="str">
        <f t="shared" si="297"/>
        <v/>
      </c>
      <c r="AA2731" s="60">
        <f t="shared" si="298"/>
        <v>0</v>
      </c>
      <c r="AB2731" s="49">
        <f t="shared" si="299"/>
        <v>0</v>
      </c>
      <c r="AC2731" s="60">
        <f t="shared" si="300"/>
        <v>0</v>
      </c>
    </row>
    <row r="2732" spans="1:29">
      <c r="A2732" s="83" t="str">
        <f t="shared" si="294"/>
        <v/>
      </c>
      <c r="B2732" s="83" t="str">
        <f t="shared" si="295"/>
        <v/>
      </c>
      <c r="U2732" s="83" t="str">
        <f t="shared" si="296"/>
        <v/>
      </c>
      <c r="V2732" s="83" t="str">
        <f t="shared" si="297"/>
        <v/>
      </c>
      <c r="AA2732" s="60">
        <f t="shared" si="298"/>
        <v>0</v>
      </c>
      <c r="AB2732" s="49">
        <f t="shared" si="299"/>
        <v>0</v>
      </c>
      <c r="AC2732" s="60">
        <f t="shared" si="300"/>
        <v>0</v>
      </c>
    </row>
    <row r="2733" spans="1:29">
      <c r="A2733" s="83" t="str">
        <f t="shared" si="294"/>
        <v/>
      </c>
      <c r="B2733" s="83" t="str">
        <f t="shared" si="295"/>
        <v/>
      </c>
      <c r="U2733" s="83" t="str">
        <f t="shared" si="296"/>
        <v/>
      </c>
      <c r="V2733" s="83" t="str">
        <f t="shared" si="297"/>
        <v/>
      </c>
      <c r="AA2733" s="60">
        <f t="shared" si="298"/>
        <v>0</v>
      </c>
      <c r="AB2733" s="49">
        <f t="shared" si="299"/>
        <v>0</v>
      </c>
      <c r="AC2733" s="60">
        <f t="shared" si="300"/>
        <v>0</v>
      </c>
    </row>
    <row r="2734" spans="1:29">
      <c r="A2734" s="83" t="str">
        <f t="shared" si="294"/>
        <v/>
      </c>
      <c r="B2734" s="83" t="str">
        <f t="shared" si="295"/>
        <v/>
      </c>
      <c r="U2734" s="83" t="str">
        <f t="shared" si="296"/>
        <v/>
      </c>
      <c r="V2734" s="83" t="str">
        <f t="shared" si="297"/>
        <v/>
      </c>
      <c r="AA2734" s="60">
        <f t="shared" si="298"/>
        <v>0</v>
      </c>
      <c r="AB2734" s="49">
        <f t="shared" si="299"/>
        <v>0</v>
      </c>
      <c r="AC2734" s="60">
        <f t="shared" si="300"/>
        <v>0</v>
      </c>
    </row>
    <row r="2735" spans="1:29">
      <c r="A2735" s="83" t="str">
        <f t="shared" si="294"/>
        <v/>
      </c>
      <c r="B2735" s="83" t="str">
        <f t="shared" si="295"/>
        <v/>
      </c>
      <c r="U2735" s="83" t="str">
        <f t="shared" si="296"/>
        <v/>
      </c>
      <c r="V2735" s="83" t="str">
        <f t="shared" si="297"/>
        <v/>
      </c>
      <c r="AA2735" s="60">
        <f t="shared" si="298"/>
        <v>0</v>
      </c>
      <c r="AB2735" s="49">
        <f t="shared" si="299"/>
        <v>0</v>
      </c>
      <c r="AC2735" s="60">
        <f t="shared" si="300"/>
        <v>0</v>
      </c>
    </row>
    <row r="2736" spans="1:29">
      <c r="A2736" s="83" t="str">
        <f t="shared" si="294"/>
        <v/>
      </c>
      <c r="B2736" s="83" t="str">
        <f t="shared" si="295"/>
        <v/>
      </c>
      <c r="U2736" s="83" t="str">
        <f t="shared" si="296"/>
        <v/>
      </c>
      <c r="V2736" s="83" t="str">
        <f t="shared" si="297"/>
        <v/>
      </c>
      <c r="AA2736" s="60">
        <f t="shared" si="298"/>
        <v>0</v>
      </c>
      <c r="AB2736" s="49">
        <f t="shared" si="299"/>
        <v>0</v>
      </c>
      <c r="AC2736" s="60">
        <f t="shared" si="300"/>
        <v>0</v>
      </c>
    </row>
    <row r="2737" spans="1:29">
      <c r="A2737" s="83" t="str">
        <f t="shared" si="294"/>
        <v/>
      </c>
      <c r="B2737" s="83" t="str">
        <f t="shared" si="295"/>
        <v/>
      </c>
      <c r="U2737" s="83" t="str">
        <f t="shared" si="296"/>
        <v/>
      </c>
      <c r="V2737" s="83" t="str">
        <f t="shared" si="297"/>
        <v/>
      </c>
      <c r="AA2737" s="60">
        <f t="shared" si="298"/>
        <v>0</v>
      </c>
      <c r="AB2737" s="49">
        <f t="shared" si="299"/>
        <v>0</v>
      </c>
      <c r="AC2737" s="60">
        <f t="shared" si="300"/>
        <v>0</v>
      </c>
    </row>
    <row r="2738" spans="1:29">
      <c r="A2738" s="83" t="str">
        <f t="shared" si="294"/>
        <v/>
      </c>
      <c r="B2738" s="83" t="str">
        <f t="shared" si="295"/>
        <v/>
      </c>
      <c r="U2738" s="83" t="str">
        <f t="shared" si="296"/>
        <v/>
      </c>
      <c r="V2738" s="83" t="str">
        <f t="shared" si="297"/>
        <v/>
      </c>
      <c r="AA2738" s="60">
        <f t="shared" si="298"/>
        <v>0</v>
      </c>
      <c r="AB2738" s="49">
        <f t="shared" si="299"/>
        <v>0</v>
      </c>
      <c r="AC2738" s="60">
        <f t="shared" si="300"/>
        <v>0</v>
      </c>
    </row>
    <row r="2739" spans="1:29">
      <c r="A2739" s="83" t="str">
        <f t="shared" si="294"/>
        <v/>
      </c>
      <c r="B2739" s="83" t="str">
        <f t="shared" si="295"/>
        <v/>
      </c>
      <c r="U2739" s="83" t="str">
        <f t="shared" si="296"/>
        <v/>
      </c>
      <c r="V2739" s="83" t="str">
        <f t="shared" si="297"/>
        <v/>
      </c>
      <c r="AA2739" s="60">
        <f t="shared" si="298"/>
        <v>0</v>
      </c>
      <c r="AB2739" s="49">
        <f t="shared" si="299"/>
        <v>0</v>
      </c>
      <c r="AC2739" s="60">
        <f t="shared" si="300"/>
        <v>0</v>
      </c>
    </row>
    <row r="2740" spans="1:29">
      <c r="A2740" s="83" t="str">
        <f t="shared" si="294"/>
        <v/>
      </c>
      <c r="B2740" s="83" t="str">
        <f t="shared" si="295"/>
        <v/>
      </c>
      <c r="U2740" s="83" t="str">
        <f t="shared" si="296"/>
        <v/>
      </c>
      <c r="V2740" s="83" t="str">
        <f t="shared" si="297"/>
        <v/>
      </c>
      <c r="AA2740" s="60">
        <f t="shared" si="298"/>
        <v>0</v>
      </c>
      <c r="AB2740" s="49">
        <f t="shared" si="299"/>
        <v>0</v>
      </c>
      <c r="AC2740" s="60">
        <f t="shared" si="300"/>
        <v>0</v>
      </c>
    </row>
    <row r="2741" spans="1:29">
      <c r="A2741" s="83" t="str">
        <f t="shared" si="294"/>
        <v/>
      </c>
      <c r="B2741" s="83" t="str">
        <f t="shared" si="295"/>
        <v/>
      </c>
      <c r="U2741" s="83" t="str">
        <f t="shared" si="296"/>
        <v/>
      </c>
      <c r="V2741" s="83" t="str">
        <f t="shared" si="297"/>
        <v/>
      </c>
      <c r="AA2741" s="60">
        <f t="shared" si="298"/>
        <v>0</v>
      </c>
      <c r="AB2741" s="49">
        <f t="shared" si="299"/>
        <v>0</v>
      </c>
      <c r="AC2741" s="60">
        <f t="shared" si="300"/>
        <v>0</v>
      </c>
    </row>
    <row r="2742" spans="1:29">
      <c r="A2742" s="83" t="str">
        <f t="shared" si="294"/>
        <v/>
      </c>
      <c r="B2742" s="83" t="str">
        <f t="shared" si="295"/>
        <v/>
      </c>
      <c r="U2742" s="83" t="str">
        <f t="shared" si="296"/>
        <v/>
      </c>
      <c r="V2742" s="83" t="str">
        <f t="shared" si="297"/>
        <v/>
      </c>
      <c r="AA2742" s="60">
        <f t="shared" si="298"/>
        <v>0</v>
      </c>
      <c r="AB2742" s="49">
        <f t="shared" si="299"/>
        <v>0</v>
      </c>
      <c r="AC2742" s="60">
        <f t="shared" si="300"/>
        <v>0</v>
      </c>
    </row>
    <row r="2743" spans="1:29">
      <c r="A2743" s="83" t="str">
        <f t="shared" si="294"/>
        <v/>
      </c>
      <c r="B2743" s="83" t="str">
        <f t="shared" si="295"/>
        <v/>
      </c>
      <c r="U2743" s="83" t="str">
        <f t="shared" si="296"/>
        <v/>
      </c>
      <c r="V2743" s="83" t="str">
        <f t="shared" si="297"/>
        <v/>
      </c>
      <c r="AA2743" s="60">
        <f t="shared" si="298"/>
        <v>0</v>
      </c>
      <c r="AB2743" s="49">
        <f t="shared" si="299"/>
        <v>0</v>
      </c>
      <c r="AC2743" s="60">
        <f t="shared" si="300"/>
        <v>0</v>
      </c>
    </row>
    <row r="2744" spans="1:29">
      <c r="A2744" s="83" t="str">
        <f t="shared" si="294"/>
        <v/>
      </c>
      <c r="B2744" s="83" t="str">
        <f t="shared" si="295"/>
        <v/>
      </c>
      <c r="U2744" s="83" t="str">
        <f t="shared" si="296"/>
        <v/>
      </c>
      <c r="V2744" s="83" t="str">
        <f t="shared" si="297"/>
        <v/>
      </c>
      <c r="AA2744" s="60">
        <f t="shared" si="298"/>
        <v>0</v>
      </c>
      <c r="AB2744" s="49">
        <f t="shared" si="299"/>
        <v>0</v>
      </c>
      <c r="AC2744" s="60">
        <f t="shared" si="300"/>
        <v>0</v>
      </c>
    </row>
    <row r="2745" spans="1:29">
      <c r="A2745" s="83" t="str">
        <f t="shared" si="294"/>
        <v/>
      </c>
      <c r="B2745" s="83" t="str">
        <f t="shared" si="295"/>
        <v/>
      </c>
      <c r="U2745" s="83" t="str">
        <f t="shared" si="296"/>
        <v/>
      </c>
      <c r="V2745" s="83" t="str">
        <f t="shared" si="297"/>
        <v/>
      </c>
      <c r="AA2745" s="60">
        <f t="shared" si="298"/>
        <v>0</v>
      </c>
      <c r="AB2745" s="49">
        <f t="shared" si="299"/>
        <v>0</v>
      </c>
      <c r="AC2745" s="60">
        <f t="shared" si="300"/>
        <v>0</v>
      </c>
    </row>
    <row r="2746" spans="1:29">
      <c r="A2746" s="83" t="str">
        <f t="shared" si="294"/>
        <v/>
      </c>
      <c r="B2746" s="83" t="str">
        <f t="shared" si="295"/>
        <v/>
      </c>
      <c r="U2746" s="83" t="str">
        <f t="shared" si="296"/>
        <v/>
      </c>
      <c r="V2746" s="83" t="str">
        <f t="shared" si="297"/>
        <v/>
      </c>
      <c r="AA2746" s="60">
        <f t="shared" si="298"/>
        <v>0</v>
      </c>
      <c r="AB2746" s="49">
        <f t="shared" si="299"/>
        <v>0</v>
      </c>
      <c r="AC2746" s="60">
        <f t="shared" si="300"/>
        <v>0</v>
      </c>
    </row>
    <row r="2747" spans="1:29">
      <c r="A2747" s="83" t="str">
        <f t="shared" si="294"/>
        <v/>
      </c>
      <c r="B2747" s="83" t="str">
        <f t="shared" si="295"/>
        <v/>
      </c>
      <c r="U2747" s="83" t="str">
        <f t="shared" si="296"/>
        <v/>
      </c>
      <c r="V2747" s="83" t="str">
        <f t="shared" si="297"/>
        <v/>
      </c>
      <c r="AA2747" s="60">
        <f t="shared" si="298"/>
        <v>0</v>
      </c>
      <c r="AB2747" s="49">
        <f t="shared" si="299"/>
        <v>0</v>
      </c>
      <c r="AC2747" s="60">
        <f t="shared" si="300"/>
        <v>0</v>
      </c>
    </row>
    <row r="2748" spans="1:29">
      <c r="A2748" s="83" t="str">
        <f t="shared" si="294"/>
        <v/>
      </c>
      <c r="B2748" s="83" t="str">
        <f t="shared" si="295"/>
        <v/>
      </c>
      <c r="U2748" s="83" t="str">
        <f t="shared" si="296"/>
        <v/>
      </c>
      <c r="V2748" s="83" t="str">
        <f t="shared" si="297"/>
        <v/>
      </c>
      <c r="AA2748" s="60">
        <f t="shared" si="298"/>
        <v>0</v>
      </c>
      <c r="AB2748" s="49">
        <f t="shared" si="299"/>
        <v>0</v>
      </c>
      <c r="AC2748" s="60">
        <f t="shared" si="300"/>
        <v>0</v>
      </c>
    </row>
    <row r="2749" spans="1:29">
      <c r="A2749" s="83" t="str">
        <f t="shared" si="294"/>
        <v/>
      </c>
      <c r="B2749" s="83" t="str">
        <f t="shared" si="295"/>
        <v/>
      </c>
      <c r="U2749" s="83" t="str">
        <f t="shared" si="296"/>
        <v/>
      </c>
      <c r="V2749" s="83" t="str">
        <f t="shared" si="297"/>
        <v/>
      </c>
      <c r="AA2749" s="60">
        <f t="shared" si="298"/>
        <v>0</v>
      </c>
      <c r="AB2749" s="49">
        <f t="shared" si="299"/>
        <v>0</v>
      </c>
      <c r="AC2749" s="60">
        <f t="shared" si="300"/>
        <v>0</v>
      </c>
    </row>
    <row r="2750" spans="1:29">
      <c r="A2750" s="83" t="str">
        <f t="shared" si="294"/>
        <v/>
      </c>
      <c r="B2750" s="83" t="str">
        <f t="shared" si="295"/>
        <v/>
      </c>
      <c r="U2750" s="83" t="str">
        <f t="shared" si="296"/>
        <v/>
      </c>
      <c r="V2750" s="83" t="str">
        <f t="shared" si="297"/>
        <v/>
      </c>
      <c r="AA2750" s="60">
        <f t="shared" si="298"/>
        <v>0</v>
      </c>
      <c r="AB2750" s="49">
        <f t="shared" si="299"/>
        <v>0</v>
      </c>
      <c r="AC2750" s="60">
        <f t="shared" si="300"/>
        <v>0</v>
      </c>
    </row>
    <row r="2751" spans="1:29">
      <c r="A2751" s="83" t="str">
        <f t="shared" si="294"/>
        <v/>
      </c>
      <c r="B2751" s="83" t="str">
        <f t="shared" si="295"/>
        <v/>
      </c>
      <c r="U2751" s="83" t="str">
        <f t="shared" si="296"/>
        <v/>
      </c>
      <c r="V2751" s="83" t="str">
        <f t="shared" si="297"/>
        <v/>
      </c>
      <c r="AA2751" s="60">
        <f t="shared" si="298"/>
        <v>0</v>
      </c>
      <c r="AB2751" s="49">
        <f t="shared" si="299"/>
        <v>0</v>
      </c>
      <c r="AC2751" s="60">
        <f t="shared" si="300"/>
        <v>0</v>
      </c>
    </row>
    <row r="2752" spans="1:29">
      <c r="A2752" s="83" t="str">
        <f t="shared" si="294"/>
        <v/>
      </c>
      <c r="B2752" s="83" t="str">
        <f t="shared" si="295"/>
        <v/>
      </c>
      <c r="U2752" s="83" t="str">
        <f t="shared" si="296"/>
        <v/>
      </c>
      <c r="V2752" s="83" t="str">
        <f t="shared" si="297"/>
        <v/>
      </c>
      <c r="AA2752" s="60">
        <f t="shared" si="298"/>
        <v>0</v>
      </c>
      <c r="AB2752" s="49">
        <f t="shared" si="299"/>
        <v>0</v>
      </c>
      <c r="AC2752" s="60">
        <f t="shared" si="300"/>
        <v>0</v>
      </c>
    </row>
    <row r="2753" spans="1:29">
      <c r="A2753" s="83" t="str">
        <f t="shared" si="294"/>
        <v/>
      </c>
      <c r="B2753" s="83" t="str">
        <f t="shared" si="295"/>
        <v/>
      </c>
      <c r="U2753" s="83" t="str">
        <f t="shared" si="296"/>
        <v/>
      </c>
      <c r="V2753" s="83" t="str">
        <f t="shared" si="297"/>
        <v/>
      </c>
      <c r="AA2753" s="60">
        <f t="shared" si="298"/>
        <v>0</v>
      </c>
      <c r="AB2753" s="49">
        <f t="shared" si="299"/>
        <v>0</v>
      </c>
      <c r="AC2753" s="60">
        <f t="shared" si="300"/>
        <v>0</v>
      </c>
    </row>
    <row r="2754" spans="1:29">
      <c r="A2754" s="83" t="str">
        <f t="shared" si="294"/>
        <v/>
      </c>
      <c r="B2754" s="83" t="str">
        <f t="shared" si="295"/>
        <v/>
      </c>
      <c r="U2754" s="83" t="str">
        <f t="shared" si="296"/>
        <v/>
      </c>
      <c r="V2754" s="83" t="str">
        <f t="shared" si="297"/>
        <v/>
      </c>
      <c r="AA2754" s="60">
        <f t="shared" si="298"/>
        <v>0</v>
      </c>
      <c r="AB2754" s="49">
        <f t="shared" si="299"/>
        <v>0</v>
      </c>
      <c r="AC2754" s="60">
        <f t="shared" si="300"/>
        <v>0</v>
      </c>
    </row>
    <row r="2755" spans="1:29">
      <c r="A2755" s="83" t="str">
        <f t="shared" ref="A2755:A2818" si="301">IF(G2755&amp;Q2755&lt;&gt;"",U2755&amp;Q2755,"")</f>
        <v/>
      </c>
      <c r="B2755" s="83" t="str">
        <f t="shared" ref="B2755:B2818" si="302">IF(C2755&lt;&gt;"",LEFT(C2755,9),"")</f>
        <v/>
      </c>
      <c r="U2755" s="83" t="str">
        <f t="shared" ref="U2755:U2818" si="303">IF(G2755&lt;&gt;"",IF(StyleSpaceSplit,IFERROR(IF(FIND(" ",G2755)&gt;=1,MID(G2755,1,FIND(" ",G2755)-1),G2755),G2755),G2755),"")</f>
        <v/>
      </c>
      <c r="V2755" s="83" t="str">
        <f t="shared" ref="V2755:V2818" si="304">IF(A2755&lt;&gt;"",IFERROR(IF(FIND(" ",G2755)&gt;=1,MID(G2755,FIND(" ",G2755)+1,LEN(G2755)),""),G2755),"")</f>
        <v/>
      </c>
      <c r="AA2755" s="60">
        <f t="shared" ref="AA2755:AA2818" si="305">IFERROR(VALUE(MID($C2755,1,2)),0)</f>
        <v>0</v>
      </c>
      <c r="AB2755" s="49">
        <f t="shared" ref="AB2755:AB2818" si="306">IFERROR(VALUE(MID($C2755,4,3)),0)</f>
        <v>0</v>
      </c>
      <c r="AC2755" s="60">
        <f t="shared" ref="AC2755:AC2818" si="307">VALUE(RIGHT("00"&amp;AA2755,2)&amp;RIGHT("000"&amp;AB2755,3))</f>
        <v>0</v>
      </c>
    </row>
    <row r="2756" spans="1:29">
      <c r="A2756" s="83" t="str">
        <f t="shared" si="301"/>
        <v/>
      </c>
      <c r="B2756" s="83" t="str">
        <f t="shared" si="302"/>
        <v/>
      </c>
      <c r="U2756" s="83" t="str">
        <f t="shared" si="303"/>
        <v/>
      </c>
      <c r="V2756" s="83" t="str">
        <f t="shared" si="304"/>
        <v/>
      </c>
      <c r="AA2756" s="60">
        <f t="shared" si="305"/>
        <v>0</v>
      </c>
      <c r="AB2756" s="49">
        <f t="shared" si="306"/>
        <v>0</v>
      </c>
      <c r="AC2756" s="60">
        <f t="shared" si="307"/>
        <v>0</v>
      </c>
    </row>
    <row r="2757" spans="1:29">
      <c r="A2757" s="83" t="str">
        <f t="shared" si="301"/>
        <v/>
      </c>
      <c r="B2757" s="83" t="str">
        <f t="shared" si="302"/>
        <v/>
      </c>
      <c r="U2757" s="83" t="str">
        <f t="shared" si="303"/>
        <v/>
      </c>
      <c r="V2757" s="83" t="str">
        <f t="shared" si="304"/>
        <v/>
      </c>
      <c r="AA2757" s="60">
        <f t="shared" si="305"/>
        <v>0</v>
      </c>
      <c r="AB2757" s="49">
        <f t="shared" si="306"/>
        <v>0</v>
      </c>
      <c r="AC2757" s="60">
        <f t="shared" si="307"/>
        <v>0</v>
      </c>
    </row>
    <row r="2758" spans="1:29">
      <c r="A2758" s="83" t="str">
        <f t="shared" si="301"/>
        <v/>
      </c>
      <c r="B2758" s="83" t="str">
        <f t="shared" si="302"/>
        <v/>
      </c>
      <c r="U2758" s="83" t="str">
        <f t="shared" si="303"/>
        <v/>
      </c>
      <c r="V2758" s="83" t="str">
        <f t="shared" si="304"/>
        <v/>
      </c>
      <c r="AA2758" s="60">
        <f t="shared" si="305"/>
        <v>0</v>
      </c>
      <c r="AB2758" s="49">
        <f t="shared" si="306"/>
        <v>0</v>
      </c>
      <c r="AC2758" s="60">
        <f t="shared" si="307"/>
        <v>0</v>
      </c>
    </row>
    <row r="2759" spans="1:29">
      <c r="A2759" s="83" t="str">
        <f t="shared" si="301"/>
        <v/>
      </c>
      <c r="B2759" s="83" t="str">
        <f t="shared" si="302"/>
        <v/>
      </c>
      <c r="U2759" s="83" t="str">
        <f t="shared" si="303"/>
        <v/>
      </c>
      <c r="V2759" s="83" t="str">
        <f t="shared" si="304"/>
        <v/>
      </c>
      <c r="AA2759" s="60">
        <f t="shared" si="305"/>
        <v>0</v>
      </c>
      <c r="AB2759" s="49">
        <f t="shared" si="306"/>
        <v>0</v>
      </c>
      <c r="AC2759" s="60">
        <f t="shared" si="307"/>
        <v>0</v>
      </c>
    </row>
    <row r="2760" spans="1:29">
      <c r="A2760" s="83" t="str">
        <f t="shared" si="301"/>
        <v/>
      </c>
      <c r="B2760" s="83" t="str">
        <f t="shared" si="302"/>
        <v/>
      </c>
      <c r="U2760" s="83" t="str">
        <f t="shared" si="303"/>
        <v/>
      </c>
      <c r="V2760" s="83" t="str">
        <f t="shared" si="304"/>
        <v/>
      </c>
      <c r="AA2760" s="60">
        <f t="shared" si="305"/>
        <v>0</v>
      </c>
      <c r="AB2760" s="49">
        <f t="shared" si="306"/>
        <v>0</v>
      </c>
      <c r="AC2760" s="60">
        <f t="shared" si="307"/>
        <v>0</v>
      </c>
    </row>
    <row r="2761" spans="1:29">
      <c r="A2761" s="83" t="str">
        <f t="shared" si="301"/>
        <v/>
      </c>
      <c r="B2761" s="83" t="str">
        <f t="shared" si="302"/>
        <v/>
      </c>
      <c r="U2761" s="83" t="str">
        <f t="shared" si="303"/>
        <v/>
      </c>
      <c r="V2761" s="83" t="str">
        <f t="shared" si="304"/>
        <v/>
      </c>
      <c r="AA2761" s="60">
        <f t="shared" si="305"/>
        <v>0</v>
      </c>
      <c r="AB2761" s="49">
        <f t="shared" si="306"/>
        <v>0</v>
      </c>
      <c r="AC2761" s="60">
        <f t="shared" si="307"/>
        <v>0</v>
      </c>
    </row>
    <row r="2762" spans="1:29">
      <c r="A2762" s="83" t="str">
        <f t="shared" si="301"/>
        <v/>
      </c>
      <c r="B2762" s="83" t="str">
        <f t="shared" si="302"/>
        <v/>
      </c>
      <c r="U2762" s="83" t="str">
        <f t="shared" si="303"/>
        <v/>
      </c>
      <c r="V2762" s="83" t="str">
        <f t="shared" si="304"/>
        <v/>
      </c>
      <c r="AA2762" s="60">
        <f t="shared" si="305"/>
        <v>0</v>
      </c>
      <c r="AB2762" s="49">
        <f t="shared" si="306"/>
        <v>0</v>
      </c>
      <c r="AC2762" s="60">
        <f t="shared" si="307"/>
        <v>0</v>
      </c>
    </row>
    <row r="2763" spans="1:29">
      <c r="A2763" s="83" t="str">
        <f t="shared" si="301"/>
        <v/>
      </c>
      <c r="B2763" s="83" t="str">
        <f t="shared" si="302"/>
        <v/>
      </c>
      <c r="U2763" s="83" t="str">
        <f t="shared" si="303"/>
        <v/>
      </c>
      <c r="V2763" s="83" t="str">
        <f t="shared" si="304"/>
        <v/>
      </c>
      <c r="AA2763" s="60">
        <f t="shared" si="305"/>
        <v>0</v>
      </c>
      <c r="AB2763" s="49">
        <f t="shared" si="306"/>
        <v>0</v>
      </c>
      <c r="AC2763" s="60">
        <f t="shared" si="307"/>
        <v>0</v>
      </c>
    </row>
    <row r="2764" spans="1:29">
      <c r="A2764" s="83" t="str">
        <f t="shared" si="301"/>
        <v/>
      </c>
      <c r="B2764" s="83" t="str">
        <f t="shared" si="302"/>
        <v/>
      </c>
      <c r="U2764" s="83" t="str">
        <f t="shared" si="303"/>
        <v/>
      </c>
      <c r="V2764" s="83" t="str">
        <f t="shared" si="304"/>
        <v/>
      </c>
      <c r="AA2764" s="60">
        <f t="shared" si="305"/>
        <v>0</v>
      </c>
      <c r="AB2764" s="49">
        <f t="shared" si="306"/>
        <v>0</v>
      </c>
      <c r="AC2764" s="60">
        <f t="shared" si="307"/>
        <v>0</v>
      </c>
    </row>
    <row r="2765" spans="1:29">
      <c r="A2765" s="83" t="str">
        <f t="shared" si="301"/>
        <v/>
      </c>
      <c r="B2765" s="83" t="str">
        <f t="shared" si="302"/>
        <v/>
      </c>
      <c r="U2765" s="83" t="str">
        <f t="shared" si="303"/>
        <v/>
      </c>
      <c r="V2765" s="83" t="str">
        <f t="shared" si="304"/>
        <v/>
      </c>
      <c r="AA2765" s="60">
        <f t="shared" si="305"/>
        <v>0</v>
      </c>
      <c r="AB2765" s="49">
        <f t="shared" si="306"/>
        <v>0</v>
      </c>
      <c r="AC2765" s="60">
        <f t="shared" si="307"/>
        <v>0</v>
      </c>
    </row>
    <row r="2766" spans="1:29">
      <c r="A2766" s="83" t="str">
        <f t="shared" si="301"/>
        <v/>
      </c>
      <c r="B2766" s="83" t="str">
        <f t="shared" si="302"/>
        <v/>
      </c>
      <c r="U2766" s="83" t="str">
        <f t="shared" si="303"/>
        <v/>
      </c>
      <c r="V2766" s="83" t="str">
        <f t="shared" si="304"/>
        <v/>
      </c>
      <c r="AA2766" s="60">
        <f t="shared" si="305"/>
        <v>0</v>
      </c>
      <c r="AB2766" s="49">
        <f t="shared" si="306"/>
        <v>0</v>
      </c>
      <c r="AC2766" s="60">
        <f t="shared" si="307"/>
        <v>0</v>
      </c>
    </row>
    <row r="2767" spans="1:29">
      <c r="A2767" s="83" t="str">
        <f t="shared" si="301"/>
        <v/>
      </c>
      <c r="B2767" s="83" t="str">
        <f t="shared" si="302"/>
        <v/>
      </c>
      <c r="U2767" s="83" t="str">
        <f t="shared" si="303"/>
        <v/>
      </c>
      <c r="V2767" s="83" t="str">
        <f t="shared" si="304"/>
        <v/>
      </c>
      <c r="AA2767" s="60">
        <f t="shared" si="305"/>
        <v>0</v>
      </c>
      <c r="AB2767" s="49">
        <f t="shared" si="306"/>
        <v>0</v>
      </c>
      <c r="AC2767" s="60">
        <f t="shared" si="307"/>
        <v>0</v>
      </c>
    </row>
    <row r="2768" spans="1:29">
      <c r="A2768" s="83" t="str">
        <f t="shared" si="301"/>
        <v/>
      </c>
      <c r="B2768" s="83" t="str">
        <f t="shared" si="302"/>
        <v/>
      </c>
      <c r="U2768" s="83" t="str">
        <f t="shared" si="303"/>
        <v/>
      </c>
      <c r="V2768" s="83" t="str">
        <f t="shared" si="304"/>
        <v/>
      </c>
      <c r="AA2768" s="60">
        <f t="shared" si="305"/>
        <v>0</v>
      </c>
      <c r="AB2768" s="49">
        <f t="shared" si="306"/>
        <v>0</v>
      </c>
      <c r="AC2768" s="60">
        <f t="shared" si="307"/>
        <v>0</v>
      </c>
    </row>
    <row r="2769" spans="1:29">
      <c r="A2769" s="83" t="str">
        <f t="shared" si="301"/>
        <v/>
      </c>
      <c r="B2769" s="83" t="str">
        <f t="shared" si="302"/>
        <v/>
      </c>
      <c r="U2769" s="83" t="str">
        <f t="shared" si="303"/>
        <v/>
      </c>
      <c r="V2769" s="83" t="str">
        <f t="shared" si="304"/>
        <v/>
      </c>
      <c r="AA2769" s="60">
        <f t="shared" si="305"/>
        <v>0</v>
      </c>
      <c r="AB2769" s="49">
        <f t="shared" si="306"/>
        <v>0</v>
      </c>
      <c r="AC2769" s="60">
        <f t="shared" si="307"/>
        <v>0</v>
      </c>
    </row>
    <row r="2770" spans="1:29">
      <c r="A2770" s="83" t="str">
        <f t="shared" si="301"/>
        <v/>
      </c>
      <c r="B2770" s="83" t="str">
        <f t="shared" si="302"/>
        <v/>
      </c>
      <c r="U2770" s="83" t="str">
        <f t="shared" si="303"/>
        <v/>
      </c>
      <c r="V2770" s="83" t="str">
        <f t="shared" si="304"/>
        <v/>
      </c>
      <c r="AA2770" s="60">
        <f t="shared" si="305"/>
        <v>0</v>
      </c>
      <c r="AB2770" s="49">
        <f t="shared" si="306"/>
        <v>0</v>
      </c>
      <c r="AC2770" s="60">
        <f t="shared" si="307"/>
        <v>0</v>
      </c>
    </row>
    <row r="2771" spans="1:29">
      <c r="A2771" s="83" t="str">
        <f t="shared" si="301"/>
        <v/>
      </c>
      <c r="B2771" s="83" t="str">
        <f t="shared" si="302"/>
        <v/>
      </c>
      <c r="U2771" s="83" t="str">
        <f t="shared" si="303"/>
        <v/>
      </c>
      <c r="V2771" s="83" t="str">
        <f t="shared" si="304"/>
        <v/>
      </c>
      <c r="AA2771" s="60">
        <f t="shared" si="305"/>
        <v>0</v>
      </c>
      <c r="AB2771" s="49">
        <f t="shared" si="306"/>
        <v>0</v>
      </c>
      <c r="AC2771" s="60">
        <f t="shared" si="307"/>
        <v>0</v>
      </c>
    </row>
    <row r="2772" spans="1:29">
      <c r="A2772" s="83" t="str">
        <f t="shared" si="301"/>
        <v/>
      </c>
      <c r="B2772" s="83" t="str">
        <f t="shared" si="302"/>
        <v/>
      </c>
      <c r="U2772" s="83" t="str">
        <f t="shared" si="303"/>
        <v/>
      </c>
      <c r="V2772" s="83" t="str">
        <f t="shared" si="304"/>
        <v/>
      </c>
      <c r="AA2772" s="60">
        <f t="shared" si="305"/>
        <v>0</v>
      </c>
      <c r="AB2772" s="49">
        <f t="shared" si="306"/>
        <v>0</v>
      </c>
      <c r="AC2772" s="60">
        <f t="shared" si="307"/>
        <v>0</v>
      </c>
    </row>
    <row r="2773" spans="1:29">
      <c r="A2773" s="83" t="str">
        <f t="shared" si="301"/>
        <v/>
      </c>
      <c r="B2773" s="83" t="str">
        <f t="shared" si="302"/>
        <v/>
      </c>
      <c r="U2773" s="83" t="str">
        <f t="shared" si="303"/>
        <v/>
      </c>
      <c r="V2773" s="83" t="str">
        <f t="shared" si="304"/>
        <v/>
      </c>
      <c r="AA2773" s="60">
        <f t="shared" si="305"/>
        <v>0</v>
      </c>
      <c r="AB2773" s="49">
        <f t="shared" si="306"/>
        <v>0</v>
      </c>
      <c r="AC2773" s="60">
        <f t="shared" si="307"/>
        <v>0</v>
      </c>
    </row>
    <row r="2774" spans="1:29">
      <c r="A2774" s="83" t="str">
        <f t="shared" si="301"/>
        <v/>
      </c>
      <c r="B2774" s="83" t="str">
        <f t="shared" si="302"/>
        <v/>
      </c>
      <c r="U2774" s="83" t="str">
        <f t="shared" si="303"/>
        <v/>
      </c>
      <c r="V2774" s="83" t="str">
        <f t="shared" si="304"/>
        <v/>
      </c>
      <c r="AA2774" s="60">
        <f t="shared" si="305"/>
        <v>0</v>
      </c>
      <c r="AB2774" s="49">
        <f t="shared" si="306"/>
        <v>0</v>
      </c>
      <c r="AC2774" s="60">
        <f t="shared" si="307"/>
        <v>0</v>
      </c>
    </row>
    <row r="2775" spans="1:29">
      <c r="A2775" s="83" t="str">
        <f t="shared" si="301"/>
        <v/>
      </c>
      <c r="B2775" s="83" t="str">
        <f t="shared" si="302"/>
        <v/>
      </c>
      <c r="U2775" s="83" t="str">
        <f t="shared" si="303"/>
        <v/>
      </c>
      <c r="V2775" s="83" t="str">
        <f t="shared" si="304"/>
        <v/>
      </c>
      <c r="AA2775" s="60">
        <f t="shared" si="305"/>
        <v>0</v>
      </c>
      <c r="AB2775" s="49">
        <f t="shared" si="306"/>
        <v>0</v>
      </c>
      <c r="AC2775" s="60">
        <f t="shared" si="307"/>
        <v>0</v>
      </c>
    </row>
    <row r="2776" spans="1:29">
      <c r="A2776" s="83" t="str">
        <f t="shared" si="301"/>
        <v/>
      </c>
      <c r="B2776" s="83" t="str">
        <f t="shared" si="302"/>
        <v/>
      </c>
      <c r="U2776" s="83" t="str">
        <f t="shared" si="303"/>
        <v/>
      </c>
      <c r="V2776" s="83" t="str">
        <f t="shared" si="304"/>
        <v/>
      </c>
      <c r="AA2776" s="60">
        <f t="shared" si="305"/>
        <v>0</v>
      </c>
      <c r="AB2776" s="49">
        <f t="shared" si="306"/>
        <v>0</v>
      </c>
      <c r="AC2776" s="60">
        <f t="shared" si="307"/>
        <v>0</v>
      </c>
    </row>
    <row r="2777" spans="1:29">
      <c r="A2777" s="83" t="str">
        <f t="shared" si="301"/>
        <v/>
      </c>
      <c r="B2777" s="83" t="str">
        <f t="shared" si="302"/>
        <v/>
      </c>
      <c r="U2777" s="83" t="str">
        <f t="shared" si="303"/>
        <v/>
      </c>
      <c r="V2777" s="83" t="str">
        <f t="shared" si="304"/>
        <v/>
      </c>
      <c r="AA2777" s="60">
        <f t="shared" si="305"/>
        <v>0</v>
      </c>
      <c r="AB2777" s="49">
        <f t="shared" si="306"/>
        <v>0</v>
      </c>
      <c r="AC2777" s="60">
        <f t="shared" si="307"/>
        <v>0</v>
      </c>
    </row>
    <row r="2778" spans="1:29">
      <c r="A2778" s="83" t="str">
        <f t="shared" si="301"/>
        <v/>
      </c>
      <c r="B2778" s="83" t="str">
        <f t="shared" si="302"/>
        <v/>
      </c>
      <c r="U2778" s="83" t="str">
        <f t="shared" si="303"/>
        <v/>
      </c>
      <c r="V2778" s="83" t="str">
        <f t="shared" si="304"/>
        <v/>
      </c>
      <c r="AA2778" s="60">
        <f t="shared" si="305"/>
        <v>0</v>
      </c>
      <c r="AB2778" s="49">
        <f t="shared" si="306"/>
        <v>0</v>
      </c>
      <c r="AC2778" s="60">
        <f t="shared" si="307"/>
        <v>0</v>
      </c>
    </row>
    <row r="2779" spans="1:29">
      <c r="A2779" s="83" t="str">
        <f t="shared" si="301"/>
        <v/>
      </c>
      <c r="B2779" s="83" t="str">
        <f t="shared" si="302"/>
        <v/>
      </c>
      <c r="U2779" s="83" t="str">
        <f t="shared" si="303"/>
        <v/>
      </c>
      <c r="V2779" s="83" t="str">
        <f t="shared" si="304"/>
        <v/>
      </c>
      <c r="AA2779" s="60">
        <f t="shared" si="305"/>
        <v>0</v>
      </c>
      <c r="AB2779" s="49">
        <f t="shared" si="306"/>
        <v>0</v>
      </c>
      <c r="AC2779" s="60">
        <f t="shared" si="307"/>
        <v>0</v>
      </c>
    </row>
    <row r="2780" spans="1:29">
      <c r="A2780" s="83" t="str">
        <f t="shared" si="301"/>
        <v/>
      </c>
      <c r="B2780" s="83" t="str">
        <f t="shared" si="302"/>
        <v/>
      </c>
      <c r="U2780" s="83" t="str">
        <f t="shared" si="303"/>
        <v/>
      </c>
      <c r="V2780" s="83" t="str">
        <f t="shared" si="304"/>
        <v/>
      </c>
      <c r="AA2780" s="60">
        <f t="shared" si="305"/>
        <v>0</v>
      </c>
      <c r="AB2780" s="49">
        <f t="shared" si="306"/>
        <v>0</v>
      </c>
      <c r="AC2780" s="60">
        <f t="shared" si="307"/>
        <v>0</v>
      </c>
    </row>
    <row r="2781" spans="1:29">
      <c r="A2781" s="83" t="str">
        <f t="shared" si="301"/>
        <v/>
      </c>
      <c r="B2781" s="83" t="str">
        <f t="shared" si="302"/>
        <v/>
      </c>
      <c r="U2781" s="83" t="str">
        <f t="shared" si="303"/>
        <v/>
      </c>
      <c r="V2781" s="83" t="str">
        <f t="shared" si="304"/>
        <v/>
      </c>
      <c r="AA2781" s="60">
        <f t="shared" si="305"/>
        <v>0</v>
      </c>
      <c r="AB2781" s="49">
        <f t="shared" si="306"/>
        <v>0</v>
      </c>
      <c r="AC2781" s="60">
        <f t="shared" si="307"/>
        <v>0</v>
      </c>
    </row>
    <row r="2782" spans="1:29">
      <c r="A2782" s="83" t="str">
        <f t="shared" si="301"/>
        <v/>
      </c>
      <c r="B2782" s="83" t="str">
        <f t="shared" si="302"/>
        <v/>
      </c>
      <c r="U2782" s="83" t="str">
        <f t="shared" si="303"/>
        <v/>
      </c>
      <c r="V2782" s="83" t="str">
        <f t="shared" si="304"/>
        <v/>
      </c>
      <c r="AA2782" s="60">
        <f t="shared" si="305"/>
        <v>0</v>
      </c>
      <c r="AB2782" s="49">
        <f t="shared" si="306"/>
        <v>0</v>
      </c>
      <c r="AC2782" s="60">
        <f t="shared" si="307"/>
        <v>0</v>
      </c>
    </row>
    <row r="2783" spans="1:29">
      <c r="A2783" s="83" t="str">
        <f t="shared" si="301"/>
        <v/>
      </c>
      <c r="B2783" s="83" t="str">
        <f t="shared" si="302"/>
        <v/>
      </c>
      <c r="U2783" s="83" t="str">
        <f t="shared" si="303"/>
        <v/>
      </c>
      <c r="V2783" s="83" t="str">
        <f t="shared" si="304"/>
        <v/>
      </c>
      <c r="AA2783" s="60">
        <f t="shared" si="305"/>
        <v>0</v>
      </c>
      <c r="AB2783" s="49">
        <f t="shared" si="306"/>
        <v>0</v>
      </c>
      <c r="AC2783" s="60">
        <f t="shared" si="307"/>
        <v>0</v>
      </c>
    </row>
    <row r="2784" spans="1:29">
      <c r="A2784" s="83" t="str">
        <f t="shared" si="301"/>
        <v/>
      </c>
      <c r="B2784" s="83" t="str">
        <f t="shared" si="302"/>
        <v/>
      </c>
      <c r="U2784" s="83" t="str">
        <f t="shared" si="303"/>
        <v/>
      </c>
      <c r="V2784" s="83" t="str">
        <f t="shared" si="304"/>
        <v/>
      </c>
      <c r="AA2784" s="60">
        <f t="shared" si="305"/>
        <v>0</v>
      </c>
      <c r="AB2784" s="49">
        <f t="shared" si="306"/>
        <v>0</v>
      </c>
      <c r="AC2784" s="60">
        <f t="shared" si="307"/>
        <v>0</v>
      </c>
    </row>
    <row r="2785" spans="1:29">
      <c r="A2785" s="83" t="str">
        <f t="shared" si="301"/>
        <v/>
      </c>
      <c r="B2785" s="83" t="str">
        <f t="shared" si="302"/>
        <v/>
      </c>
      <c r="U2785" s="83" t="str">
        <f t="shared" si="303"/>
        <v/>
      </c>
      <c r="V2785" s="83" t="str">
        <f t="shared" si="304"/>
        <v/>
      </c>
      <c r="AA2785" s="60">
        <f t="shared" si="305"/>
        <v>0</v>
      </c>
      <c r="AB2785" s="49">
        <f t="shared" si="306"/>
        <v>0</v>
      </c>
      <c r="AC2785" s="60">
        <f t="shared" si="307"/>
        <v>0</v>
      </c>
    </row>
    <row r="2786" spans="1:29">
      <c r="A2786" s="83" t="str">
        <f t="shared" si="301"/>
        <v/>
      </c>
      <c r="B2786" s="83" t="str">
        <f t="shared" si="302"/>
        <v/>
      </c>
      <c r="U2786" s="83" t="str">
        <f t="shared" si="303"/>
        <v/>
      </c>
      <c r="V2786" s="83" t="str">
        <f t="shared" si="304"/>
        <v/>
      </c>
      <c r="AA2786" s="60">
        <f t="shared" si="305"/>
        <v>0</v>
      </c>
      <c r="AB2786" s="49">
        <f t="shared" si="306"/>
        <v>0</v>
      </c>
      <c r="AC2786" s="60">
        <f t="shared" si="307"/>
        <v>0</v>
      </c>
    </row>
    <row r="2787" spans="1:29">
      <c r="A2787" s="83" t="str">
        <f t="shared" si="301"/>
        <v/>
      </c>
      <c r="B2787" s="83" t="str">
        <f t="shared" si="302"/>
        <v/>
      </c>
      <c r="U2787" s="83" t="str">
        <f t="shared" si="303"/>
        <v/>
      </c>
      <c r="V2787" s="83" t="str">
        <f t="shared" si="304"/>
        <v/>
      </c>
      <c r="AA2787" s="60">
        <f t="shared" si="305"/>
        <v>0</v>
      </c>
      <c r="AB2787" s="49">
        <f t="shared" si="306"/>
        <v>0</v>
      </c>
      <c r="AC2787" s="60">
        <f t="shared" si="307"/>
        <v>0</v>
      </c>
    </row>
    <row r="2788" spans="1:29">
      <c r="A2788" s="83" t="str">
        <f t="shared" si="301"/>
        <v/>
      </c>
      <c r="B2788" s="83" t="str">
        <f t="shared" si="302"/>
        <v/>
      </c>
      <c r="U2788" s="83" t="str">
        <f t="shared" si="303"/>
        <v/>
      </c>
      <c r="V2788" s="83" t="str">
        <f t="shared" si="304"/>
        <v/>
      </c>
      <c r="AA2788" s="60">
        <f t="shared" si="305"/>
        <v>0</v>
      </c>
      <c r="AB2788" s="49">
        <f t="shared" si="306"/>
        <v>0</v>
      </c>
      <c r="AC2788" s="60">
        <f t="shared" si="307"/>
        <v>0</v>
      </c>
    </row>
    <row r="2789" spans="1:29">
      <c r="A2789" s="83" t="str">
        <f t="shared" si="301"/>
        <v/>
      </c>
      <c r="B2789" s="83" t="str">
        <f t="shared" si="302"/>
        <v/>
      </c>
      <c r="U2789" s="83" t="str">
        <f t="shared" si="303"/>
        <v/>
      </c>
      <c r="V2789" s="83" t="str">
        <f t="shared" si="304"/>
        <v/>
      </c>
      <c r="AA2789" s="60">
        <f t="shared" si="305"/>
        <v>0</v>
      </c>
      <c r="AB2789" s="49">
        <f t="shared" si="306"/>
        <v>0</v>
      </c>
      <c r="AC2789" s="60">
        <f t="shared" si="307"/>
        <v>0</v>
      </c>
    </row>
    <row r="2790" spans="1:29">
      <c r="A2790" s="83" t="str">
        <f t="shared" si="301"/>
        <v/>
      </c>
      <c r="B2790" s="83" t="str">
        <f t="shared" si="302"/>
        <v/>
      </c>
      <c r="U2790" s="83" t="str">
        <f t="shared" si="303"/>
        <v/>
      </c>
      <c r="V2790" s="83" t="str">
        <f t="shared" si="304"/>
        <v/>
      </c>
      <c r="AA2790" s="60">
        <f t="shared" si="305"/>
        <v>0</v>
      </c>
      <c r="AB2790" s="49">
        <f t="shared" si="306"/>
        <v>0</v>
      </c>
      <c r="AC2790" s="60">
        <f t="shared" si="307"/>
        <v>0</v>
      </c>
    </row>
    <row r="2791" spans="1:29">
      <c r="A2791" s="83" t="str">
        <f t="shared" si="301"/>
        <v/>
      </c>
      <c r="B2791" s="83" t="str">
        <f t="shared" si="302"/>
        <v/>
      </c>
      <c r="U2791" s="83" t="str">
        <f t="shared" si="303"/>
        <v/>
      </c>
      <c r="V2791" s="83" t="str">
        <f t="shared" si="304"/>
        <v/>
      </c>
      <c r="AA2791" s="60">
        <f t="shared" si="305"/>
        <v>0</v>
      </c>
      <c r="AB2791" s="49">
        <f t="shared" si="306"/>
        <v>0</v>
      </c>
      <c r="AC2791" s="60">
        <f t="shared" si="307"/>
        <v>0</v>
      </c>
    </row>
    <row r="2792" spans="1:29">
      <c r="A2792" s="83" t="str">
        <f t="shared" si="301"/>
        <v/>
      </c>
      <c r="B2792" s="83" t="str">
        <f t="shared" si="302"/>
        <v/>
      </c>
      <c r="U2792" s="83" t="str">
        <f t="shared" si="303"/>
        <v/>
      </c>
      <c r="V2792" s="83" t="str">
        <f t="shared" si="304"/>
        <v/>
      </c>
      <c r="AA2792" s="60">
        <f t="shared" si="305"/>
        <v>0</v>
      </c>
      <c r="AB2792" s="49">
        <f t="shared" si="306"/>
        <v>0</v>
      </c>
      <c r="AC2792" s="60">
        <f t="shared" si="307"/>
        <v>0</v>
      </c>
    </row>
    <row r="2793" spans="1:29">
      <c r="A2793" s="83" t="str">
        <f t="shared" si="301"/>
        <v/>
      </c>
      <c r="B2793" s="83" t="str">
        <f t="shared" si="302"/>
        <v/>
      </c>
      <c r="U2793" s="83" t="str">
        <f t="shared" si="303"/>
        <v/>
      </c>
      <c r="V2793" s="83" t="str">
        <f t="shared" si="304"/>
        <v/>
      </c>
      <c r="AA2793" s="60">
        <f t="shared" si="305"/>
        <v>0</v>
      </c>
      <c r="AB2793" s="49">
        <f t="shared" si="306"/>
        <v>0</v>
      </c>
      <c r="AC2793" s="60">
        <f t="shared" si="307"/>
        <v>0</v>
      </c>
    </row>
    <row r="2794" spans="1:29">
      <c r="A2794" s="83" t="str">
        <f t="shared" si="301"/>
        <v/>
      </c>
      <c r="B2794" s="83" t="str">
        <f t="shared" si="302"/>
        <v/>
      </c>
      <c r="U2794" s="83" t="str">
        <f t="shared" si="303"/>
        <v/>
      </c>
      <c r="V2794" s="83" t="str">
        <f t="shared" si="304"/>
        <v/>
      </c>
      <c r="AA2794" s="60">
        <f t="shared" si="305"/>
        <v>0</v>
      </c>
      <c r="AB2794" s="49">
        <f t="shared" si="306"/>
        <v>0</v>
      </c>
      <c r="AC2794" s="60">
        <f t="shared" si="307"/>
        <v>0</v>
      </c>
    </row>
    <row r="2795" spans="1:29">
      <c r="A2795" s="83" t="str">
        <f t="shared" si="301"/>
        <v/>
      </c>
      <c r="B2795" s="83" t="str">
        <f t="shared" si="302"/>
        <v/>
      </c>
      <c r="U2795" s="83" t="str">
        <f t="shared" si="303"/>
        <v/>
      </c>
      <c r="V2795" s="83" t="str">
        <f t="shared" si="304"/>
        <v/>
      </c>
      <c r="AA2795" s="60">
        <f t="shared" si="305"/>
        <v>0</v>
      </c>
      <c r="AB2795" s="49">
        <f t="shared" si="306"/>
        <v>0</v>
      </c>
      <c r="AC2795" s="60">
        <f t="shared" si="307"/>
        <v>0</v>
      </c>
    </row>
    <row r="2796" spans="1:29">
      <c r="A2796" s="83" t="str">
        <f t="shared" si="301"/>
        <v/>
      </c>
      <c r="B2796" s="83" t="str">
        <f t="shared" si="302"/>
        <v/>
      </c>
      <c r="U2796" s="83" t="str">
        <f t="shared" si="303"/>
        <v/>
      </c>
      <c r="V2796" s="83" t="str">
        <f t="shared" si="304"/>
        <v/>
      </c>
      <c r="AA2796" s="60">
        <f t="shared" si="305"/>
        <v>0</v>
      </c>
      <c r="AB2796" s="49">
        <f t="shared" si="306"/>
        <v>0</v>
      </c>
      <c r="AC2796" s="60">
        <f t="shared" si="307"/>
        <v>0</v>
      </c>
    </row>
    <row r="2797" spans="1:29">
      <c r="A2797" s="83" t="str">
        <f t="shared" si="301"/>
        <v/>
      </c>
      <c r="B2797" s="83" t="str">
        <f t="shared" si="302"/>
        <v/>
      </c>
      <c r="U2797" s="83" t="str">
        <f t="shared" si="303"/>
        <v/>
      </c>
      <c r="V2797" s="83" t="str">
        <f t="shared" si="304"/>
        <v/>
      </c>
      <c r="AA2797" s="60">
        <f t="shared" si="305"/>
        <v>0</v>
      </c>
      <c r="AB2797" s="49">
        <f t="shared" si="306"/>
        <v>0</v>
      </c>
      <c r="AC2797" s="60">
        <f t="shared" si="307"/>
        <v>0</v>
      </c>
    </row>
    <row r="2798" spans="1:29">
      <c r="A2798" s="83" t="str">
        <f t="shared" si="301"/>
        <v/>
      </c>
      <c r="B2798" s="83" t="str">
        <f t="shared" si="302"/>
        <v/>
      </c>
      <c r="U2798" s="83" t="str">
        <f t="shared" si="303"/>
        <v/>
      </c>
      <c r="V2798" s="83" t="str">
        <f t="shared" si="304"/>
        <v/>
      </c>
      <c r="AA2798" s="60">
        <f t="shared" si="305"/>
        <v>0</v>
      </c>
      <c r="AB2798" s="49">
        <f t="shared" si="306"/>
        <v>0</v>
      </c>
      <c r="AC2798" s="60">
        <f t="shared" si="307"/>
        <v>0</v>
      </c>
    </row>
    <row r="2799" spans="1:29">
      <c r="A2799" s="83" t="str">
        <f t="shared" si="301"/>
        <v/>
      </c>
      <c r="B2799" s="83" t="str">
        <f t="shared" si="302"/>
        <v/>
      </c>
      <c r="U2799" s="83" t="str">
        <f t="shared" si="303"/>
        <v/>
      </c>
      <c r="V2799" s="83" t="str">
        <f t="shared" si="304"/>
        <v/>
      </c>
      <c r="AA2799" s="60">
        <f t="shared" si="305"/>
        <v>0</v>
      </c>
      <c r="AB2799" s="49">
        <f t="shared" si="306"/>
        <v>0</v>
      </c>
      <c r="AC2799" s="60">
        <f t="shared" si="307"/>
        <v>0</v>
      </c>
    </row>
    <row r="2800" spans="1:29">
      <c r="A2800" s="83" t="str">
        <f t="shared" si="301"/>
        <v/>
      </c>
      <c r="B2800" s="83" t="str">
        <f t="shared" si="302"/>
        <v/>
      </c>
      <c r="U2800" s="83" t="str">
        <f t="shared" si="303"/>
        <v/>
      </c>
      <c r="V2800" s="83" t="str">
        <f t="shared" si="304"/>
        <v/>
      </c>
      <c r="AA2800" s="60">
        <f t="shared" si="305"/>
        <v>0</v>
      </c>
      <c r="AB2800" s="49">
        <f t="shared" si="306"/>
        <v>0</v>
      </c>
      <c r="AC2800" s="60">
        <f t="shared" si="307"/>
        <v>0</v>
      </c>
    </row>
    <row r="2801" spans="1:29">
      <c r="A2801" s="83" t="str">
        <f t="shared" si="301"/>
        <v/>
      </c>
      <c r="B2801" s="83" t="str">
        <f t="shared" si="302"/>
        <v/>
      </c>
      <c r="U2801" s="83" t="str">
        <f t="shared" si="303"/>
        <v/>
      </c>
      <c r="V2801" s="83" t="str">
        <f t="shared" si="304"/>
        <v/>
      </c>
      <c r="AA2801" s="60">
        <f t="shared" si="305"/>
        <v>0</v>
      </c>
      <c r="AB2801" s="49">
        <f t="shared" si="306"/>
        <v>0</v>
      </c>
      <c r="AC2801" s="60">
        <f t="shared" si="307"/>
        <v>0</v>
      </c>
    </row>
    <row r="2802" spans="1:29">
      <c r="A2802" s="83" t="str">
        <f t="shared" si="301"/>
        <v/>
      </c>
      <c r="B2802" s="83" t="str">
        <f t="shared" si="302"/>
        <v/>
      </c>
      <c r="U2802" s="83" t="str">
        <f t="shared" si="303"/>
        <v/>
      </c>
      <c r="V2802" s="83" t="str">
        <f t="shared" si="304"/>
        <v/>
      </c>
      <c r="AA2802" s="60">
        <f t="shared" si="305"/>
        <v>0</v>
      </c>
      <c r="AB2802" s="49">
        <f t="shared" si="306"/>
        <v>0</v>
      </c>
      <c r="AC2802" s="60">
        <f t="shared" si="307"/>
        <v>0</v>
      </c>
    </row>
    <row r="2803" spans="1:29">
      <c r="A2803" s="83" t="str">
        <f t="shared" si="301"/>
        <v/>
      </c>
      <c r="B2803" s="83" t="str">
        <f t="shared" si="302"/>
        <v/>
      </c>
      <c r="U2803" s="83" t="str">
        <f t="shared" si="303"/>
        <v/>
      </c>
      <c r="V2803" s="83" t="str">
        <f t="shared" si="304"/>
        <v/>
      </c>
      <c r="AA2803" s="60">
        <f t="shared" si="305"/>
        <v>0</v>
      </c>
      <c r="AB2803" s="49">
        <f t="shared" si="306"/>
        <v>0</v>
      </c>
      <c r="AC2803" s="60">
        <f t="shared" si="307"/>
        <v>0</v>
      </c>
    </row>
    <row r="2804" spans="1:29">
      <c r="A2804" s="83" t="str">
        <f t="shared" si="301"/>
        <v/>
      </c>
      <c r="B2804" s="83" t="str">
        <f t="shared" si="302"/>
        <v/>
      </c>
      <c r="U2804" s="83" t="str">
        <f t="shared" si="303"/>
        <v/>
      </c>
      <c r="V2804" s="83" t="str">
        <f t="shared" si="304"/>
        <v/>
      </c>
      <c r="AA2804" s="60">
        <f t="shared" si="305"/>
        <v>0</v>
      </c>
      <c r="AB2804" s="49">
        <f t="shared" si="306"/>
        <v>0</v>
      </c>
      <c r="AC2804" s="60">
        <f t="shared" si="307"/>
        <v>0</v>
      </c>
    </row>
    <row r="2805" spans="1:29">
      <c r="A2805" s="83" t="str">
        <f t="shared" si="301"/>
        <v/>
      </c>
      <c r="B2805" s="83" t="str">
        <f t="shared" si="302"/>
        <v/>
      </c>
      <c r="U2805" s="83" t="str">
        <f t="shared" si="303"/>
        <v/>
      </c>
      <c r="V2805" s="83" t="str">
        <f t="shared" si="304"/>
        <v/>
      </c>
      <c r="AA2805" s="60">
        <f t="shared" si="305"/>
        <v>0</v>
      </c>
      <c r="AB2805" s="49">
        <f t="shared" si="306"/>
        <v>0</v>
      </c>
      <c r="AC2805" s="60">
        <f t="shared" si="307"/>
        <v>0</v>
      </c>
    </row>
    <row r="2806" spans="1:29">
      <c r="A2806" s="83" t="str">
        <f t="shared" si="301"/>
        <v/>
      </c>
      <c r="B2806" s="83" t="str">
        <f t="shared" si="302"/>
        <v/>
      </c>
      <c r="U2806" s="83" t="str">
        <f t="shared" si="303"/>
        <v/>
      </c>
      <c r="V2806" s="83" t="str">
        <f t="shared" si="304"/>
        <v/>
      </c>
      <c r="AA2806" s="60">
        <f t="shared" si="305"/>
        <v>0</v>
      </c>
      <c r="AB2806" s="49">
        <f t="shared" si="306"/>
        <v>0</v>
      </c>
      <c r="AC2806" s="60">
        <f t="shared" si="307"/>
        <v>0</v>
      </c>
    </row>
    <row r="2807" spans="1:29">
      <c r="A2807" s="83" t="str">
        <f t="shared" si="301"/>
        <v/>
      </c>
      <c r="B2807" s="83" t="str">
        <f t="shared" si="302"/>
        <v/>
      </c>
      <c r="U2807" s="83" t="str">
        <f t="shared" si="303"/>
        <v/>
      </c>
      <c r="V2807" s="83" t="str">
        <f t="shared" si="304"/>
        <v/>
      </c>
      <c r="AA2807" s="60">
        <f t="shared" si="305"/>
        <v>0</v>
      </c>
      <c r="AB2807" s="49">
        <f t="shared" si="306"/>
        <v>0</v>
      </c>
      <c r="AC2807" s="60">
        <f t="shared" si="307"/>
        <v>0</v>
      </c>
    </row>
    <row r="2808" spans="1:29">
      <c r="A2808" s="83" t="str">
        <f t="shared" si="301"/>
        <v/>
      </c>
      <c r="B2808" s="83" t="str">
        <f t="shared" si="302"/>
        <v/>
      </c>
      <c r="U2808" s="83" t="str">
        <f t="shared" si="303"/>
        <v/>
      </c>
      <c r="V2808" s="83" t="str">
        <f t="shared" si="304"/>
        <v/>
      </c>
      <c r="AA2808" s="60">
        <f t="shared" si="305"/>
        <v>0</v>
      </c>
      <c r="AB2808" s="49">
        <f t="shared" si="306"/>
        <v>0</v>
      </c>
      <c r="AC2808" s="60">
        <f t="shared" si="307"/>
        <v>0</v>
      </c>
    </row>
    <row r="2809" spans="1:29">
      <c r="A2809" s="83" t="str">
        <f t="shared" si="301"/>
        <v/>
      </c>
      <c r="B2809" s="83" t="str">
        <f t="shared" si="302"/>
        <v/>
      </c>
      <c r="U2809" s="83" t="str">
        <f t="shared" si="303"/>
        <v/>
      </c>
      <c r="V2809" s="83" t="str">
        <f t="shared" si="304"/>
        <v/>
      </c>
      <c r="AA2809" s="60">
        <f t="shared" si="305"/>
        <v>0</v>
      </c>
      <c r="AB2809" s="49">
        <f t="shared" si="306"/>
        <v>0</v>
      </c>
      <c r="AC2809" s="60">
        <f t="shared" si="307"/>
        <v>0</v>
      </c>
    </row>
    <row r="2810" spans="1:29">
      <c r="A2810" s="83" t="str">
        <f t="shared" si="301"/>
        <v/>
      </c>
      <c r="B2810" s="83" t="str">
        <f t="shared" si="302"/>
        <v/>
      </c>
      <c r="U2810" s="83" t="str">
        <f t="shared" si="303"/>
        <v/>
      </c>
      <c r="V2810" s="83" t="str">
        <f t="shared" si="304"/>
        <v/>
      </c>
      <c r="AA2810" s="60">
        <f t="shared" si="305"/>
        <v>0</v>
      </c>
      <c r="AB2810" s="49">
        <f t="shared" si="306"/>
        <v>0</v>
      </c>
      <c r="AC2810" s="60">
        <f t="shared" si="307"/>
        <v>0</v>
      </c>
    </row>
    <row r="2811" spans="1:29">
      <c r="A2811" s="83" t="str">
        <f t="shared" si="301"/>
        <v/>
      </c>
      <c r="B2811" s="83" t="str">
        <f t="shared" si="302"/>
        <v/>
      </c>
      <c r="U2811" s="83" t="str">
        <f t="shared" si="303"/>
        <v/>
      </c>
      <c r="V2811" s="83" t="str">
        <f t="shared" si="304"/>
        <v/>
      </c>
      <c r="AA2811" s="60">
        <f t="shared" si="305"/>
        <v>0</v>
      </c>
      <c r="AB2811" s="49">
        <f t="shared" si="306"/>
        <v>0</v>
      </c>
      <c r="AC2811" s="60">
        <f t="shared" si="307"/>
        <v>0</v>
      </c>
    </row>
    <row r="2812" spans="1:29">
      <c r="A2812" s="83" t="str">
        <f t="shared" si="301"/>
        <v/>
      </c>
      <c r="B2812" s="83" t="str">
        <f t="shared" si="302"/>
        <v/>
      </c>
      <c r="U2812" s="83" t="str">
        <f t="shared" si="303"/>
        <v/>
      </c>
      <c r="V2812" s="83" t="str">
        <f t="shared" si="304"/>
        <v/>
      </c>
      <c r="AA2812" s="60">
        <f t="shared" si="305"/>
        <v>0</v>
      </c>
      <c r="AB2812" s="49">
        <f t="shared" si="306"/>
        <v>0</v>
      </c>
      <c r="AC2812" s="60">
        <f t="shared" si="307"/>
        <v>0</v>
      </c>
    </row>
    <row r="2813" spans="1:29">
      <c r="A2813" s="83" t="str">
        <f t="shared" si="301"/>
        <v/>
      </c>
      <c r="B2813" s="83" t="str">
        <f t="shared" si="302"/>
        <v/>
      </c>
      <c r="U2813" s="83" t="str">
        <f t="shared" si="303"/>
        <v/>
      </c>
      <c r="V2813" s="83" t="str">
        <f t="shared" si="304"/>
        <v/>
      </c>
      <c r="AA2813" s="60">
        <f t="shared" si="305"/>
        <v>0</v>
      </c>
      <c r="AB2813" s="49">
        <f t="shared" si="306"/>
        <v>0</v>
      </c>
      <c r="AC2813" s="60">
        <f t="shared" si="307"/>
        <v>0</v>
      </c>
    </row>
    <row r="2814" spans="1:29">
      <c r="A2814" s="83" t="str">
        <f t="shared" si="301"/>
        <v/>
      </c>
      <c r="B2814" s="83" t="str">
        <f t="shared" si="302"/>
        <v/>
      </c>
      <c r="U2814" s="83" t="str">
        <f t="shared" si="303"/>
        <v/>
      </c>
      <c r="V2814" s="83" t="str">
        <f t="shared" si="304"/>
        <v/>
      </c>
      <c r="AA2814" s="60">
        <f t="shared" si="305"/>
        <v>0</v>
      </c>
      <c r="AB2814" s="49">
        <f t="shared" si="306"/>
        <v>0</v>
      </c>
      <c r="AC2814" s="60">
        <f t="shared" si="307"/>
        <v>0</v>
      </c>
    </row>
    <row r="2815" spans="1:29">
      <c r="A2815" s="83" t="str">
        <f t="shared" si="301"/>
        <v/>
      </c>
      <c r="B2815" s="83" t="str">
        <f t="shared" si="302"/>
        <v/>
      </c>
      <c r="U2815" s="83" t="str">
        <f t="shared" si="303"/>
        <v/>
      </c>
      <c r="V2815" s="83" t="str">
        <f t="shared" si="304"/>
        <v/>
      </c>
      <c r="AA2815" s="60">
        <f t="shared" si="305"/>
        <v>0</v>
      </c>
      <c r="AB2815" s="49">
        <f t="shared" si="306"/>
        <v>0</v>
      </c>
      <c r="AC2815" s="60">
        <f t="shared" si="307"/>
        <v>0</v>
      </c>
    </row>
    <row r="2816" spans="1:29">
      <c r="A2816" s="83" t="str">
        <f t="shared" si="301"/>
        <v/>
      </c>
      <c r="B2816" s="83" t="str">
        <f t="shared" si="302"/>
        <v/>
      </c>
      <c r="U2816" s="83" t="str">
        <f t="shared" si="303"/>
        <v/>
      </c>
      <c r="V2816" s="83" t="str">
        <f t="shared" si="304"/>
        <v/>
      </c>
      <c r="AA2816" s="60">
        <f t="shared" si="305"/>
        <v>0</v>
      </c>
      <c r="AB2816" s="49">
        <f t="shared" si="306"/>
        <v>0</v>
      </c>
      <c r="AC2816" s="60">
        <f t="shared" si="307"/>
        <v>0</v>
      </c>
    </row>
    <row r="2817" spans="1:29">
      <c r="A2817" s="83" t="str">
        <f t="shared" si="301"/>
        <v/>
      </c>
      <c r="B2817" s="83" t="str">
        <f t="shared" si="302"/>
        <v/>
      </c>
      <c r="U2817" s="83" t="str">
        <f t="shared" si="303"/>
        <v/>
      </c>
      <c r="V2817" s="83" t="str">
        <f t="shared" si="304"/>
        <v/>
      </c>
      <c r="AA2817" s="60">
        <f t="shared" si="305"/>
        <v>0</v>
      </c>
      <c r="AB2817" s="49">
        <f t="shared" si="306"/>
        <v>0</v>
      </c>
      <c r="AC2817" s="60">
        <f t="shared" si="307"/>
        <v>0</v>
      </c>
    </row>
    <row r="2818" spans="1:29">
      <c r="A2818" s="83" t="str">
        <f t="shared" si="301"/>
        <v/>
      </c>
      <c r="B2818" s="83" t="str">
        <f t="shared" si="302"/>
        <v/>
      </c>
      <c r="U2818" s="83" t="str">
        <f t="shared" si="303"/>
        <v/>
      </c>
      <c r="V2818" s="83" t="str">
        <f t="shared" si="304"/>
        <v/>
      </c>
      <c r="AA2818" s="60">
        <f t="shared" si="305"/>
        <v>0</v>
      </c>
      <c r="AB2818" s="49">
        <f t="shared" si="306"/>
        <v>0</v>
      </c>
      <c r="AC2818" s="60">
        <f t="shared" si="307"/>
        <v>0</v>
      </c>
    </row>
    <row r="2819" spans="1:29">
      <c r="A2819" s="83" t="str">
        <f t="shared" ref="A2819:A2882" si="308">IF(G2819&amp;Q2819&lt;&gt;"",U2819&amp;Q2819,"")</f>
        <v/>
      </c>
      <c r="B2819" s="83" t="str">
        <f t="shared" ref="B2819:B2882" si="309">IF(C2819&lt;&gt;"",LEFT(C2819,9),"")</f>
        <v/>
      </c>
      <c r="U2819" s="83" t="str">
        <f t="shared" ref="U2819:U2882" si="310">IF(G2819&lt;&gt;"",IF(StyleSpaceSplit,IFERROR(IF(FIND(" ",G2819)&gt;=1,MID(G2819,1,FIND(" ",G2819)-1),G2819),G2819),G2819),"")</f>
        <v/>
      </c>
      <c r="V2819" s="83" t="str">
        <f t="shared" ref="V2819:V2882" si="311">IF(A2819&lt;&gt;"",IFERROR(IF(FIND(" ",G2819)&gt;=1,MID(G2819,FIND(" ",G2819)+1,LEN(G2819)),""),G2819),"")</f>
        <v/>
      </c>
      <c r="AA2819" s="60">
        <f t="shared" ref="AA2819:AA2882" si="312">IFERROR(VALUE(MID($C2819,1,2)),0)</f>
        <v>0</v>
      </c>
      <c r="AB2819" s="49">
        <f t="shared" ref="AB2819:AB2882" si="313">IFERROR(VALUE(MID($C2819,4,3)),0)</f>
        <v>0</v>
      </c>
      <c r="AC2819" s="60">
        <f t="shared" ref="AC2819:AC2882" si="314">VALUE(RIGHT("00"&amp;AA2819,2)&amp;RIGHT("000"&amp;AB2819,3))</f>
        <v>0</v>
      </c>
    </row>
    <row r="2820" spans="1:29">
      <c r="A2820" s="83" t="str">
        <f t="shared" si="308"/>
        <v/>
      </c>
      <c r="B2820" s="83" t="str">
        <f t="shared" si="309"/>
        <v/>
      </c>
      <c r="U2820" s="83" t="str">
        <f t="shared" si="310"/>
        <v/>
      </c>
      <c r="V2820" s="83" t="str">
        <f t="shared" si="311"/>
        <v/>
      </c>
      <c r="AA2820" s="60">
        <f t="shared" si="312"/>
        <v>0</v>
      </c>
      <c r="AB2820" s="49">
        <f t="shared" si="313"/>
        <v>0</v>
      </c>
      <c r="AC2820" s="60">
        <f t="shared" si="314"/>
        <v>0</v>
      </c>
    </row>
    <row r="2821" spans="1:29">
      <c r="A2821" s="83" t="str">
        <f t="shared" si="308"/>
        <v/>
      </c>
      <c r="B2821" s="83" t="str">
        <f t="shared" si="309"/>
        <v/>
      </c>
      <c r="U2821" s="83" t="str">
        <f t="shared" si="310"/>
        <v/>
      </c>
      <c r="V2821" s="83" t="str">
        <f t="shared" si="311"/>
        <v/>
      </c>
      <c r="AA2821" s="60">
        <f t="shared" si="312"/>
        <v>0</v>
      </c>
      <c r="AB2821" s="49">
        <f t="shared" si="313"/>
        <v>0</v>
      </c>
      <c r="AC2821" s="60">
        <f t="shared" si="314"/>
        <v>0</v>
      </c>
    </row>
    <row r="2822" spans="1:29">
      <c r="A2822" s="83" t="str">
        <f t="shared" si="308"/>
        <v/>
      </c>
      <c r="B2822" s="83" t="str">
        <f t="shared" si="309"/>
        <v/>
      </c>
      <c r="U2822" s="83" t="str">
        <f t="shared" si="310"/>
        <v/>
      </c>
      <c r="V2822" s="83" t="str">
        <f t="shared" si="311"/>
        <v/>
      </c>
      <c r="AA2822" s="60">
        <f t="shared" si="312"/>
        <v>0</v>
      </c>
      <c r="AB2822" s="49">
        <f t="shared" si="313"/>
        <v>0</v>
      </c>
      <c r="AC2822" s="60">
        <f t="shared" si="314"/>
        <v>0</v>
      </c>
    </row>
    <row r="2823" spans="1:29">
      <c r="A2823" s="83" t="str">
        <f t="shared" si="308"/>
        <v/>
      </c>
      <c r="B2823" s="83" t="str">
        <f t="shared" si="309"/>
        <v/>
      </c>
      <c r="U2823" s="83" t="str">
        <f t="shared" si="310"/>
        <v/>
      </c>
      <c r="V2823" s="83" t="str">
        <f t="shared" si="311"/>
        <v/>
      </c>
      <c r="AA2823" s="60">
        <f t="shared" si="312"/>
        <v>0</v>
      </c>
      <c r="AB2823" s="49">
        <f t="shared" si="313"/>
        <v>0</v>
      </c>
      <c r="AC2823" s="60">
        <f t="shared" si="314"/>
        <v>0</v>
      </c>
    </row>
    <row r="2824" spans="1:29">
      <c r="A2824" s="83" t="str">
        <f t="shared" si="308"/>
        <v/>
      </c>
      <c r="B2824" s="83" t="str">
        <f t="shared" si="309"/>
        <v/>
      </c>
      <c r="U2824" s="83" t="str">
        <f t="shared" si="310"/>
        <v/>
      </c>
      <c r="V2824" s="83" t="str">
        <f t="shared" si="311"/>
        <v/>
      </c>
      <c r="AA2824" s="60">
        <f t="shared" si="312"/>
        <v>0</v>
      </c>
      <c r="AB2824" s="49">
        <f t="shared" si="313"/>
        <v>0</v>
      </c>
      <c r="AC2824" s="60">
        <f t="shared" si="314"/>
        <v>0</v>
      </c>
    </row>
    <row r="2825" spans="1:29">
      <c r="A2825" s="83" t="str">
        <f t="shared" si="308"/>
        <v/>
      </c>
      <c r="B2825" s="83" t="str">
        <f t="shared" si="309"/>
        <v/>
      </c>
      <c r="U2825" s="83" t="str">
        <f t="shared" si="310"/>
        <v/>
      </c>
      <c r="V2825" s="83" t="str">
        <f t="shared" si="311"/>
        <v/>
      </c>
      <c r="AA2825" s="60">
        <f t="shared" si="312"/>
        <v>0</v>
      </c>
      <c r="AB2825" s="49">
        <f t="shared" si="313"/>
        <v>0</v>
      </c>
      <c r="AC2825" s="60">
        <f t="shared" si="314"/>
        <v>0</v>
      </c>
    </row>
    <row r="2826" spans="1:29">
      <c r="A2826" s="83" t="str">
        <f t="shared" si="308"/>
        <v/>
      </c>
      <c r="B2826" s="83" t="str">
        <f t="shared" si="309"/>
        <v/>
      </c>
      <c r="U2826" s="83" t="str">
        <f t="shared" si="310"/>
        <v/>
      </c>
      <c r="V2826" s="83" t="str">
        <f t="shared" si="311"/>
        <v/>
      </c>
      <c r="AA2826" s="60">
        <f t="shared" si="312"/>
        <v>0</v>
      </c>
      <c r="AB2826" s="49">
        <f t="shared" si="313"/>
        <v>0</v>
      </c>
      <c r="AC2826" s="60">
        <f t="shared" si="314"/>
        <v>0</v>
      </c>
    </row>
    <row r="2827" spans="1:29">
      <c r="A2827" s="83" t="str">
        <f t="shared" si="308"/>
        <v/>
      </c>
      <c r="B2827" s="83" t="str">
        <f t="shared" si="309"/>
        <v/>
      </c>
      <c r="U2827" s="83" t="str">
        <f t="shared" si="310"/>
        <v/>
      </c>
      <c r="V2827" s="83" t="str">
        <f t="shared" si="311"/>
        <v/>
      </c>
      <c r="AA2827" s="60">
        <f t="shared" si="312"/>
        <v>0</v>
      </c>
      <c r="AB2827" s="49">
        <f t="shared" si="313"/>
        <v>0</v>
      </c>
      <c r="AC2827" s="60">
        <f t="shared" si="314"/>
        <v>0</v>
      </c>
    </row>
    <row r="2828" spans="1:29">
      <c r="A2828" s="83" t="str">
        <f t="shared" si="308"/>
        <v/>
      </c>
      <c r="B2828" s="83" t="str">
        <f t="shared" si="309"/>
        <v/>
      </c>
      <c r="U2828" s="83" t="str">
        <f t="shared" si="310"/>
        <v/>
      </c>
      <c r="V2828" s="83" t="str">
        <f t="shared" si="311"/>
        <v/>
      </c>
      <c r="AA2828" s="60">
        <f t="shared" si="312"/>
        <v>0</v>
      </c>
      <c r="AB2828" s="49">
        <f t="shared" si="313"/>
        <v>0</v>
      </c>
      <c r="AC2828" s="60">
        <f t="shared" si="314"/>
        <v>0</v>
      </c>
    </row>
    <row r="2829" spans="1:29">
      <c r="A2829" s="83" t="str">
        <f t="shared" si="308"/>
        <v/>
      </c>
      <c r="B2829" s="83" t="str">
        <f t="shared" si="309"/>
        <v/>
      </c>
      <c r="U2829" s="83" t="str">
        <f t="shared" si="310"/>
        <v/>
      </c>
      <c r="V2829" s="83" t="str">
        <f t="shared" si="311"/>
        <v/>
      </c>
      <c r="AA2829" s="60">
        <f t="shared" si="312"/>
        <v>0</v>
      </c>
      <c r="AB2829" s="49">
        <f t="shared" si="313"/>
        <v>0</v>
      </c>
      <c r="AC2829" s="60">
        <f t="shared" si="314"/>
        <v>0</v>
      </c>
    </row>
    <row r="2830" spans="1:29">
      <c r="A2830" s="83" t="str">
        <f t="shared" si="308"/>
        <v/>
      </c>
      <c r="B2830" s="83" t="str">
        <f t="shared" si="309"/>
        <v/>
      </c>
      <c r="U2830" s="83" t="str">
        <f t="shared" si="310"/>
        <v/>
      </c>
      <c r="V2830" s="83" t="str">
        <f t="shared" si="311"/>
        <v/>
      </c>
      <c r="AA2830" s="60">
        <f t="shared" si="312"/>
        <v>0</v>
      </c>
      <c r="AB2830" s="49">
        <f t="shared" si="313"/>
        <v>0</v>
      </c>
      <c r="AC2830" s="60">
        <f t="shared" si="314"/>
        <v>0</v>
      </c>
    </row>
    <row r="2831" spans="1:29">
      <c r="A2831" s="83" t="str">
        <f t="shared" si="308"/>
        <v/>
      </c>
      <c r="B2831" s="83" t="str">
        <f t="shared" si="309"/>
        <v/>
      </c>
      <c r="U2831" s="83" t="str">
        <f t="shared" si="310"/>
        <v/>
      </c>
      <c r="V2831" s="83" t="str">
        <f t="shared" si="311"/>
        <v/>
      </c>
      <c r="AA2831" s="60">
        <f t="shared" si="312"/>
        <v>0</v>
      </c>
      <c r="AB2831" s="49">
        <f t="shared" si="313"/>
        <v>0</v>
      </c>
      <c r="AC2831" s="60">
        <f t="shared" si="314"/>
        <v>0</v>
      </c>
    </row>
    <row r="2832" spans="1:29">
      <c r="A2832" s="83" t="str">
        <f t="shared" si="308"/>
        <v/>
      </c>
      <c r="B2832" s="83" t="str">
        <f t="shared" si="309"/>
        <v/>
      </c>
      <c r="U2832" s="83" t="str">
        <f t="shared" si="310"/>
        <v/>
      </c>
      <c r="V2832" s="83" t="str">
        <f t="shared" si="311"/>
        <v/>
      </c>
      <c r="AA2832" s="60">
        <f t="shared" si="312"/>
        <v>0</v>
      </c>
      <c r="AB2832" s="49">
        <f t="shared" si="313"/>
        <v>0</v>
      </c>
      <c r="AC2832" s="60">
        <f t="shared" si="314"/>
        <v>0</v>
      </c>
    </row>
    <row r="2833" spans="1:29">
      <c r="A2833" s="83" t="str">
        <f t="shared" si="308"/>
        <v/>
      </c>
      <c r="B2833" s="83" t="str">
        <f t="shared" si="309"/>
        <v/>
      </c>
      <c r="U2833" s="83" t="str">
        <f t="shared" si="310"/>
        <v/>
      </c>
      <c r="V2833" s="83" t="str">
        <f t="shared" si="311"/>
        <v/>
      </c>
      <c r="AA2833" s="60">
        <f t="shared" si="312"/>
        <v>0</v>
      </c>
      <c r="AB2833" s="49">
        <f t="shared" si="313"/>
        <v>0</v>
      </c>
      <c r="AC2833" s="60">
        <f t="shared" si="314"/>
        <v>0</v>
      </c>
    </row>
    <row r="2834" spans="1:29">
      <c r="A2834" s="83" t="str">
        <f t="shared" si="308"/>
        <v/>
      </c>
      <c r="B2834" s="83" t="str">
        <f t="shared" si="309"/>
        <v/>
      </c>
      <c r="U2834" s="83" t="str">
        <f t="shared" si="310"/>
        <v/>
      </c>
      <c r="V2834" s="83" t="str">
        <f t="shared" si="311"/>
        <v/>
      </c>
      <c r="AA2834" s="60">
        <f t="shared" si="312"/>
        <v>0</v>
      </c>
      <c r="AB2834" s="49">
        <f t="shared" si="313"/>
        <v>0</v>
      </c>
      <c r="AC2834" s="60">
        <f t="shared" si="314"/>
        <v>0</v>
      </c>
    </row>
    <row r="2835" spans="1:29">
      <c r="A2835" s="83" t="str">
        <f t="shared" si="308"/>
        <v/>
      </c>
      <c r="B2835" s="83" t="str">
        <f t="shared" si="309"/>
        <v/>
      </c>
      <c r="U2835" s="83" t="str">
        <f t="shared" si="310"/>
        <v/>
      </c>
      <c r="V2835" s="83" t="str">
        <f t="shared" si="311"/>
        <v/>
      </c>
      <c r="AA2835" s="60">
        <f t="shared" si="312"/>
        <v>0</v>
      </c>
      <c r="AB2835" s="49">
        <f t="shared" si="313"/>
        <v>0</v>
      </c>
      <c r="AC2835" s="60">
        <f t="shared" si="314"/>
        <v>0</v>
      </c>
    </row>
    <row r="2836" spans="1:29">
      <c r="A2836" s="83" t="str">
        <f t="shared" si="308"/>
        <v/>
      </c>
      <c r="B2836" s="83" t="str">
        <f t="shared" si="309"/>
        <v/>
      </c>
      <c r="U2836" s="83" t="str">
        <f t="shared" si="310"/>
        <v/>
      </c>
      <c r="V2836" s="83" t="str">
        <f t="shared" si="311"/>
        <v/>
      </c>
      <c r="AA2836" s="60">
        <f t="shared" si="312"/>
        <v>0</v>
      </c>
      <c r="AB2836" s="49">
        <f t="shared" si="313"/>
        <v>0</v>
      </c>
      <c r="AC2836" s="60">
        <f t="shared" si="314"/>
        <v>0</v>
      </c>
    </row>
    <row r="2837" spans="1:29">
      <c r="A2837" s="83" t="str">
        <f t="shared" si="308"/>
        <v/>
      </c>
      <c r="B2837" s="83" t="str">
        <f t="shared" si="309"/>
        <v/>
      </c>
      <c r="U2837" s="83" t="str">
        <f t="shared" si="310"/>
        <v/>
      </c>
      <c r="V2837" s="83" t="str">
        <f t="shared" si="311"/>
        <v/>
      </c>
      <c r="AA2837" s="60">
        <f t="shared" si="312"/>
        <v>0</v>
      </c>
      <c r="AB2837" s="49">
        <f t="shared" si="313"/>
        <v>0</v>
      </c>
      <c r="AC2837" s="60">
        <f t="shared" si="314"/>
        <v>0</v>
      </c>
    </row>
    <row r="2838" spans="1:29">
      <c r="A2838" s="83" t="str">
        <f t="shared" si="308"/>
        <v/>
      </c>
      <c r="B2838" s="83" t="str">
        <f t="shared" si="309"/>
        <v/>
      </c>
      <c r="U2838" s="83" t="str">
        <f t="shared" si="310"/>
        <v/>
      </c>
      <c r="V2838" s="83" t="str">
        <f t="shared" si="311"/>
        <v/>
      </c>
      <c r="AA2838" s="60">
        <f t="shared" si="312"/>
        <v>0</v>
      </c>
      <c r="AB2838" s="49">
        <f t="shared" si="313"/>
        <v>0</v>
      </c>
      <c r="AC2838" s="60">
        <f t="shared" si="314"/>
        <v>0</v>
      </c>
    </row>
    <row r="2839" spans="1:29">
      <c r="A2839" s="83" t="str">
        <f t="shared" si="308"/>
        <v/>
      </c>
      <c r="B2839" s="83" t="str">
        <f t="shared" si="309"/>
        <v/>
      </c>
      <c r="U2839" s="83" t="str">
        <f t="shared" si="310"/>
        <v/>
      </c>
      <c r="V2839" s="83" t="str">
        <f t="shared" si="311"/>
        <v/>
      </c>
      <c r="AA2839" s="60">
        <f t="shared" si="312"/>
        <v>0</v>
      </c>
      <c r="AB2839" s="49">
        <f t="shared" si="313"/>
        <v>0</v>
      </c>
      <c r="AC2839" s="60">
        <f t="shared" si="314"/>
        <v>0</v>
      </c>
    </row>
    <row r="2840" spans="1:29">
      <c r="A2840" s="83" t="str">
        <f t="shared" si="308"/>
        <v/>
      </c>
      <c r="B2840" s="83" t="str">
        <f t="shared" si="309"/>
        <v/>
      </c>
      <c r="U2840" s="83" t="str">
        <f t="shared" si="310"/>
        <v/>
      </c>
      <c r="V2840" s="83" t="str">
        <f t="shared" si="311"/>
        <v/>
      </c>
      <c r="AA2840" s="60">
        <f t="shared" si="312"/>
        <v>0</v>
      </c>
      <c r="AB2840" s="49">
        <f t="shared" si="313"/>
        <v>0</v>
      </c>
      <c r="AC2840" s="60">
        <f t="shared" si="314"/>
        <v>0</v>
      </c>
    </row>
    <row r="2841" spans="1:29">
      <c r="A2841" s="83" t="str">
        <f t="shared" si="308"/>
        <v/>
      </c>
      <c r="B2841" s="83" t="str">
        <f t="shared" si="309"/>
        <v/>
      </c>
      <c r="U2841" s="83" t="str">
        <f t="shared" si="310"/>
        <v/>
      </c>
      <c r="V2841" s="83" t="str">
        <f t="shared" si="311"/>
        <v/>
      </c>
      <c r="AA2841" s="60">
        <f t="shared" si="312"/>
        <v>0</v>
      </c>
      <c r="AB2841" s="49">
        <f t="shared" si="313"/>
        <v>0</v>
      </c>
      <c r="AC2841" s="60">
        <f t="shared" si="314"/>
        <v>0</v>
      </c>
    </row>
    <row r="2842" spans="1:29">
      <c r="A2842" s="83" t="str">
        <f t="shared" si="308"/>
        <v/>
      </c>
      <c r="B2842" s="83" t="str">
        <f t="shared" si="309"/>
        <v/>
      </c>
      <c r="U2842" s="83" t="str">
        <f t="shared" si="310"/>
        <v/>
      </c>
      <c r="V2842" s="83" t="str">
        <f t="shared" si="311"/>
        <v/>
      </c>
      <c r="AA2842" s="60">
        <f t="shared" si="312"/>
        <v>0</v>
      </c>
      <c r="AB2842" s="49">
        <f t="shared" si="313"/>
        <v>0</v>
      </c>
      <c r="AC2842" s="60">
        <f t="shared" si="314"/>
        <v>0</v>
      </c>
    </row>
    <row r="2843" spans="1:29">
      <c r="A2843" s="83" t="str">
        <f t="shared" si="308"/>
        <v/>
      </c>
      <c r="B2843" s="83" t="str">
        <f t="shared" si="309"/>
        <v/>
      </c>
      <c r="U2843" s="83" t="str">
        <f t="shared" si="310"/>
        <v/>
      </c>
      <c r="V2843" s="83" t="str">
        <f t="shared" si="311"/>
        <v/>
      </c>
      <c r="AA2843" s="60">
        <f t="shared" si="312"/>
        <v>0</v>
      </c>
      <c r="AB2843" s="49">
        <f t="shared" si="313"/>
        <v>0</v>
      </c>
      <c r="AC2843" s="60">
        <f t="shared" si="314"/>
        <v>0</v>
      </c>
    </row>
    <row r="2844" spans="1:29">
      <c r="A2844" s="83" t="str">
        <f t="shared" si="308"/>
        <v/>
      </c>
      <c r="B2844" s="83" t="str">
        <f t="shared" si="309"/>
        <v/>
      </c>
      <c r="U2844" s="83" t="str">
        <f t="shared" si="310"/>
        <v/>
      </c>
      <c r="V2844" s="83" t="str">
        <f t="shared" si="311"/>
        <v/>
      </c>
      <c r="AA2844" s="60">
        <f t="shared" si="312"/>
        <v>0</v>
      </c>
      <c r="AB2844" s="49">
        <f t="shared" si="313"/>
        <v>0</v>
      </c>
      <c r="AC2844" s="60">
        <f t="shared" si="314"/>
        <v>0</v>
      </c>
    </row>
    <row r="2845" spans="1:29">
      <c r="A2845" s="83" t="str">
        <f t="shared" si="308"/>
        <v/>
      </c>
      <c r="B2845" s="83" t="str">
        <f t="shared" si="309"/>
        <v/>
      </c>
      <c r="U2845" s="83" t="str">
        <f t="shared" si="310"/>
        <v/>
      </c>
      <c r="V2845" s="83" t="str">
        <f t="shared" si="311"/>
        <v/>
      </c>
      <c r="AA2845" s="60">
        <f t="shared" si="312"/>
        <v>0</v>
      </c>
      <c r="AB2845" s="49">
        <f t="shared" si="313"/>
        <v>0</v>
      </c>
      <c r="AC2845" s="60">
        <f t="shared" si="314"/>
        <v>0</v>
      </c>
    </row>
    <row r="2846" spans="1:29">
      <c r="A2846" s="83" t="str">
        <f t="shared" si="308"/>
        <v/>
      </c>
      <c r="B2846" s="83" t="str">
        <f t="shared" si="309"/>
        <v/>
      </c>
      <c r="U2846" s="83" t="str">
        <f t="shared" si="310"/>
        <v/>
      </c>
      <c r="V2846" s="83" t="str">
        <f t="shared" si="311"/>
        <v/>
      </c>
      <c r="AA2846" s="60">
        <f t="shared" si="312"/>
        <v>0</v>
      </c>
      <c r="AB2846" s="49">
        <f t="shared" si="313"/>
        <v>0</v>
      </c>
      <c r="AC2846" s="60">
        <f t="shared" si="314"/>
        <v>0</v>
      </c>
    </row>
    <row r="2847" spans="1:29">
      <c r="A2847" s="83" t="str">
        <f t="shared" si="308"/>
        <v/>
      </c>
      <c r="B2847" s="83" t="str">
        <f t="shared" si="309"/>
        <v/>
      </c>
      <c r="U2847" s="83" t="str">
        <f t="shared" si="310"/>
        <v/>
      </c>
      <c r="V2847" s="83" t="str">
        <f t="shared" si="311"/>
        <v/>
      </c>
      <c r="AA2847" s="60">
        <f t="shared" si="312"/>
        <v>0</v>
      </c>
      <c r="AB2847" s="49">
        <f t="shared" si="313"/>
        <v>0</v>
      </c>
      <c r="AC2847" s="60">
        <f t="shared" si="314"/>
        <v>0</v>
      </c>
    </row>
    <row r="2848" spans="1:29">
      <c r="A2848" s="83" t="str">
        <f t="shared" si="308"/>
        <v/>
      </c>
      <c r="B2848" s="83" t="str">
        <f t="shared" si="309"/>
        <v/>
      </c>
      <c r="U2848" s="83" t="str">
        <f t="shared" si="310"/>
        <v/>
      </c>
      <c r="V2848" s="83" t="str">
        <f t="shared" si="311"/>
        <v/>
      </c>
      <c r="AA2848" s="60">
        <f t="shared" si="312"/>
        <v>0</v>
      </c>
      <c r="AB2848" s="49">
        <f t="shared" si="313"/>
        <v>0</v>
      </c>
      <c r="AC2848" s="60">
        <f t="shared" si="314"/>
        <v>0</v>
      </c>
    </row>
    <row r="2849" spans="1:29">
      <c r="A2849" s="83" t="str">
        <f t="shared" si="308"/>
        <v/>
      </c>
      <c r="B2849" s="83" t="str">
        <f t="shared" si="309"/>
        <v/>
      </c>
      <c r="U2849" s="83" t="str">
        <f t="shared" si="310"/>
        <v/>
      </c>
      <c r="V2849" s="83" t="str">
        <f t="shared" si="311"/>
        <v/>
      </c>
      <c r="AA2849" s="60">
        <f t="shared" si="312"/>
        <v>0</v>
      </c>
      <c r="AB2849" s="49">
        <f t="shared" si="313"/>
        <v>0</v>
      </c>
      <c r="AC2849" s="60">
        <f t="shared" si="314"/>
        <v>0</v>
      </c>
    </row>
    <row r="2850" spans="1:29">
      <c r="A2850" s="83" t="str">
        <f t="shared" si="308"/>
        <v/>
      </c>
      <c r="B2850" s="83" t="str">
        <f t="shared" si="309"/>
        <v/>
      </c>
      <c r="U2850" s="83" t="str">
        <f t="shared" si="310"/>
        <v/>
      </c>
      <c r="V2850" s="83" t="str">
        <f t="shared" si="311"/>
        <v/>
      </c>
      <c r="AA2850" s="60">
        <f t="shared" si="312"/>
        <v>0</v>
      </c>
      <c r="AB2850" s="49">
        <f t="shared" si="313"/>
        <v>0</v>
      </c>
      <c r="AC2850" s="60">
        <f t="shared" si="314"/>
        <v>0</v>
      </c>
    </row>
    <row r="2851" spans="1:29">
      <c r="A2851" s="83" t="str">
        <f t="shared" si="308"/>
        <v/>
      </c>
      <c r="B2851" s="83" t="str">
        <f t="shared" si="309"/>
        <v/>
      </c>
      <c r="U2851" s="83" t="str">
        <f t="shared" si="310"/>
        <v/>
      </c>
      <c r="V2851" s="83" t="str">
        <f t="shared" si="311"/>
        <v/>
      </c>
      <c r="AA2851" s="60">
        <f t="shared" si="312"/>
        <v>0</v>
      </c>
      <c r="AB2851" s="49">
        <f t="shared" si="313"/>
        <v>0</v>
      </c>
      <c r="AC2851" s="60">
        <f t="shared" si="314"/>
        <v>0</v>
      </c>
    </row>
    <row r="2852" spans="1:29">
      <c r="A2852" s="83" t="str">
        <f t="shared" si="308"/>
        <v/>
      </c>
      <c r="B2852" s="83" t="str">
        <f t="shared" si="309"/>
        <v/>
      </c>
      <c r="U2852" s="83" t="str">
        <f t="shared" si="310"/>
        <v/>
      </c>
      <c r="V2852" s="83" t="str">
        <f t="shared" si="311"/>
        <v/>
      </c>
      <c r="AA2852" s="60">
        <f t="shared" si="312"/>
        <v>0</v>
      </c>
      <c r="AB2852" s="49">
        <f t="shared" si="313"/>
        <v>0</v>
      </c>
      <c r="AC2852" s="60">
        <f t="shared" si="314"/>
        <v>0</v>
      </c>
    </row>
    <row r="2853" spans="1:29">
      <c r="A2853" s="83" t="str">
        <f t="shared" si="308"/>
        <v/>
      </c>
      <c r="B2853" s="83" t="str">
        <f t="shared" si="309"/>
        <v/>
      </c>
      <c r="U2853" s="83" t="str">
        <f t="shared" si="310"/>
        <v/>
      </c>
      <c r="V2853" s="83" t="str">
        <f t="shared" si="311"/>
        <v/>
      </c>
      <c r="AA2853" s="60">
        <f t="shared" si="312"/>
        <v>0</v>
      </c>
      <c r="AB2853" s="49">
        <f t="shared" si="313"/>
        <v>0</v>
      </c>
      <c r="AC2853" s="60">
        <f t="shared" si="314"/>
        <v>0</v>
      </c>
    </row>
    <row r="2854" spans="1:29">
      <c r="A2854" s="83" t="str">
        <f t="shared" si="308"/>
        <v/>
      </c>
      <c r="B2854" s="83" t="str">
        <f t="shared" si="309"/>
        <v/>
      </c>
      <c r="U2854" s="83" t="str">
        <f t="shared" si="310"/>
        <v/>
      </c>
      <c r="V2854" s="83" t="str">
        <f t="shared" si="311"/>
        <v/>
      </c>
      <c r="AA2854" s="60">
        <f t="shared" si="312"/>
        <v>0</v>
      </c>
      <c r="AB2854" s="49">
        <f t="shared" si="313"/>
        <v>0</v>
      </c>
      <c r="AC2854" s="60">
        <f t="shared" si="314"/>
        <v>0</v>
      </c>
    </row>
    <row r="2855" spans="1:29">
      <c r="A2855" s="83" t="str">
        <f t="shared" si="308"/>
        <v/>
      </c>
      <c r="B2855" s="83" t="str">
        <f t="shared" si="309"/>
        <v/>
      </c>
      <c r="U2855" s="83" t="str">
        <f t="shared" si="310"/>
        <v/>
      </c>
      <c r="V2855" s="83" t="str">
        <f t="shared" si="311"/>
        <v/>
      </c>
      <c r="AA2855" s="60">
        <f t="shared" si="312"/>
        <v>0</v>
      </c>
      <c r="AB2855" s="49">
        <f t="shared" si="313"/>
        <v>0</v>
      </c>
      <c r="AC2855" s="60">
        <f t="shared" si="314"/>
        <v>0</v>
      </c>
    </row>
    <row r="2856" spans="1:29">
      <c r="A2856" s="83" t="str">
        <f t="shared" si="308"/>
        <v/>
      </c>
      <c r="B2856" s="83" t="str">
        <f t="shared" si="309"/>
        <v/>
      </c>
      <c r="U2856" s="83" t="str">
        <f t="shared" si="310"/>
        <v/>
      </c>
      <c r="V2856" s="83" t="str">
        <f t="shared" si="311"/>
        <v/>
      </c>
      <c r="AA2856" s="60">
        <f t="shared" si="312"/>
        <v>0</v>
      </c>
      <c r="AB2856" s="49">
        <f t="shared" si="313"/>
        <v>0</v>
      </c>
      <c r="AC2856" s="60">
        <f t="shared" si="314"/>
        <v>0</v>
      </c>
    </row>
    <row r="2857" spans="1:29">
      <c r="A2857" s="83" t="str">
        <f t="shared" si="308"/>
        <v/>
      </c>
      <c r="B2857" s="83" t="str">
        <f t="shared" si="309"/>
        <v/>
      </c>
      <c r="U2857" s="83" t="str">
        <f t="shared" si="310"/>
        <v/>
      </c>
      <c r="V2857" s="83" t="str">
        <f t="shared" si="311"/>
        <v/>
      </c>
      <c r="AA2857" s="60">
        <f t="shared" si="312"/>
        <v>0</v>
      </c>
      <c r="AB2857" s="49">
        <f t="shared" si="313"/>
        <v>0</v>
      </c>
      <c r="AC2857" s="60">
        <f t="shared" si="314"/>
        <v>0</v>
      </c>
    </row>
    <row r="2858" spans="1:29">
      <c r="A2858" s="83" t="str">
        <f t="shared" si="308"/>
        <v/>
      </c>
      <c r="B2858" s="83" t="str">
        <f t="shared" si="309"/>
        <v/>
      </c>
      <c r="U2858" s="83" t="str">
        <f t="shared" si="310"/>
        <v/>
      </c>
      <c r="V2858" s="83" t="str">
        <f t="shared" si="311"/>
        <v/>
      </c>
      <c r="AA2858" s="60">
        <f t="shared" si="312"/>
        <v>0</v>
      </c>
      <c r="AB2858" s="49">
        <f t="shared" si="313"/>
        <v>0</v>
      </c>
      <c r="AC2858" s="60">
        <f t="shared" si="314"/>
        <v>0</v>
      </c>
    </row>
    <row r="2859" spans="1:29">
      <c r="A2859" s="83" t="str">
        <f t="shared" si="308"/>
        <v/>
      </c>
      <c r="B2859" s="83" t="str">
        <f t="shared" si="309"/>
        <v/>
      </c>
      <c r="U2859" s="83" t="str">
        <f t="shared" si="310"/>
        <v/>
      </c>
      <c r="V2859" s="83" t="str">
        <f t="shared" si="311"/>
        <v/>
      </c>
      <c r="AA2859" s="60">
        <f t="shared" si="312"/>
        <v>0</v>
      </c>
      <c r="AB2859" s="49">
        <f t="shared" si="313"/>
        <v>0</v>
      </c>
      <c r="AC2859" s="60">
        <f t="shared" si="314"/>
        <v>0</v>
      </c>
    </row>
    <row r="2860" spans="1:29">
      <c r="A2860" s="83" t="str">
        <f t="shared" si="308"/>
        <v/>
      </c>
      <c r="B2860" s="83" t="str">
        <f t="shared" si="309"/>
        <v/>
      </c>
      <c r="U2860" s="83" t="str">
        <f t="shared" si="310"/>
        <v/>
      </c>
      <c r="V2860" s="83" t="str">
        <f t="shared" si="311"/>
        <v/>
      </c>
      <c r="AA2860" s="60">
        <f t="shared" si="312"/>
        <v>0</v>
      </c>
      <c r="AB2860" s="49">
        <f t="shared" si="313"/>
        <v>0</v>
      </c>
      <c r="AC2860" s="60">
        <f t="shared" si="314"/>
        <v>0</v>
      </c>
    </row>
    <row r="2861" spans="1:29">
      <c r="A2861" s="83" t="str">
        <f t="shared" si="308"/>
        <v/>
      </c>
      <c r="B2861" s="83" t="str">
        <f t="shared" si="309"/>
        <v/>
      </c>
      <c r="U2861" s="83" t="str">
        <f t="shared" si="310"/>
        <v/>
      </c>
      <c r="V2861" s="83" t="str">
        <f t="shared" si="311"/>
        <v/>
      </c>
      <c r="AA2861" s="60">
        <f t="shared" si="312"/>
        <v>0</v>
      </c>
      <c r="AB2861" s="49">
        <f t="shared" si="313"/>
        <v>0</v>
      </c>
      <c r="AC2861" s="60">
        <f t="shared" si="314"/>
        <v>0</v>
      </c>
    </row>
    <row r="2862" spans="1:29">
      <c r="A2862" s="83" t="str">
        <f t="shared" si="308"/>
        <v/>
      </c>
      <c r="B2862" s="83" t="str">
        <f t="shared" si="309"/>
        <v/>
      </c>
      <c r="U2862" s="83" t="str">
        <f t="shared" si="310"/>
        <v/>
      </c>
      <c r="V2862" s="83" t="str">
        <f t="shared" si="311"/>
        <v/>
      </c>
      <c r="AA2862" s="60">
        <f t="shared" si="312"/>
        <v>0</v>
      </c>
      <c r="AB2862" s="49">
        <f t="shared" si="313"/>
        <v>0</v>
      </c>
      <c r="AC2862" s="60">
        <f t="shared" si="314"/>
        <v>0</v>
      </c>
    </row>
    <row r="2863" spans="1:29">
      <c r="A2863" s="83" t="str">
        <f t="shared" si="308"/>
        <v/>
      </c>
      <c r="B2863" s="83" t="str">
        <f t="shared" si="309"/>
        <v/>
      </c>
      <c r="U2863" s="83" t="str">
        <f t="shared" si="310"/>
        <v/>
      </c>
      <c r="V2863" s="83" t="str">
        <f t="shared" si="311"/>
        <v/>
      </c>
      <c r="AA2863" s="60">
        <f t="shared" si="312"/>
        <v>0</v>
      </c>
      <c r="AB2863" s="49">
        <f t="shared" si="313"/>
        <v>0</v>
      </c>
      <c r="AC2863" s="60">
        <f t="shared" si="314"/>
        <v>0</v>
      </c>
    </row>
    <row r="2864" spans="1:29">
      <c r="A2864" s="83" t="str">
        <f t="shared" si="308"/>
        <v/>
      </c>
      <c r="B2864" s="83" t="str">
        <f t="shared" si="309"/>
        <v/>
      </c>
      <c r="U2864" s="83" t="str">
        <f t="shared" si="310"/>
        <v/>
      </c>
      <c r="V2864" s="83" t="str">
        <f t="shared" si="311"/>
        <v/>
      </c>
      <c r="AA2864" s="60">
        <f t="shared" si="312"/>
        <v>0</v>
      </c>
      <c r="AB2864" s="49">
        <f t="shared" si="313"/>
        <v>0</v>
      </c>
      <c r="AC2864" s="60">
        <f t="shared" si="314"/>
        <v>0</v>
      </c>
    </row>
    <row r="2865" spans="1:29">
      <c r="A2865" s="83" t="str">
        <f t="shared" si="308"/>
        <v/>
      </c>
      <c r="B2865" s="83" t="str">
        <f t="shared" si="309"/>
        <v/>
      </c>
      <c r="U2865" s="83" t="str">
        <f t="shared" si="310"/>
        <v/>
      </c>
      <c r="V2865" s="83" t="str">
        <f t="shared" si="311"/>
        <v/>
      </c>
      <c r="AA2865" s="60">
        <f t="shared" si="312"/>
        <v>0</v>
      </c>
      <c r="AB2865" s="49">
        <f t="shared" si="313"/>
        <v>0</v>
      </c>
      <c r="AC2865" s="60">
        <f t="shared" si="314"/>
        <v>0</v>
      </c>
    </row>
    <row r="2866" spans="1:29">
      <c r="A2866" s="83" t="str">
        <f t="shared" si="308"/>
        <v/>
      </c>
      <c r="B2866" s="83" t="str">
        <f t="shared" si="309"/>
        <v/>
      </c>
      <c r="U2866" s="83" t="str">
        <f t="shared" si="310"/>
        <v/>
      </c>
      <c r="V2866" s="83" t="str">
        <f t="shared" si="311"/>
        <v/>
      </c>
      <c r="AA2866" s="60">
        <f t="shared" si="312"/>
        <v>0</v>
      </c>
      <c r="AB2866" s="49">
        <f t="shared" si="313"/>
        <v>0</v>
      </c>
      <c r="AC2866" s="60">
        <f t="shared" si="314"/>
        <v>0</v>
      </c>
    </row>
    <row r="2867" spans="1:29">
      <c r="A2867" s="83" t="str">
        <f t="shared" si="308"/>
        <v/>
      </c>
      <c r="B2867" s="83" t="str">
        <f t="shared" si="309"/>
        <v/>
      </c>
      <c r="U2867" s="83" t="str">
        <f t="shared" si="310"/>
        <v/>
      </c>
      <c r="V2867" s="83" t="str">
        <f t="shared" si="311"/>
        <v/>
      </c>
      <c r="AA2867" s="60">
        <f t="shared" si="312"/>
        <v>0</v>
      </c>
      <c r="AB2867" s="49">
        <f t="shared" si="313"/>
        <v>0</v>
      </c>
      <c r="AC2867" s="60">
        <f t="shared" si="314"/>
        <v>0</v>
      </c>
    </row>
    <row r="2868" spans="1:29">
      <c r="A2868" s="83" t="str">
        <f t="shared" si="308"/>
        <v/>
      </c>
      <c r="B2868" s="83" t="str">
        <f t="shared" si="309"/>
        <v/>
      </c>
      <c r="U2868" s="83" t="str">
        <f t="shared" si="310"/>
        <v/>
      </c>
      <c r="V2868" s="83" t="str">
        <f t="shared" si="311"/>
        <v/>
      </c>
      <c r="AA2868" s="60">
        <f t="shared" si="312"/>
        <v>0</v>
      </c>
      <c r="AB2868" s="49">
        <f t="shared" si="313"/>
        <v>0</v>
      </c>
      <c r="AC2868" s="60">
        <f t="shared" si="314"/>
        <v>0</v>
      </c>
    </row>
    <row r="2869" spans="1:29">
      <c r="A2869" s="83" t="str">
        <f t="shared" si="308"/>
        <v/>
      </c>
      <c r="B2869" s="83" t="str">
        <f t="shared" si="309"/>
        <v/>
      </c>
      <c r="U2869" s="83" t="str">
        <f t="shared" si="310"/>
        <v/>
      </c>
      <c r="V2869" s="83" t="str">
        <f t="shared" si="311"/>
        <v/>
      </c>
      <c r="AA2869" s="60">
        <f t="shared" si="312"/>
        <v>0</v>
      </c>
      <c r="AB2869" s="49">
        <f t="shared" si="313"/>
        <v>0</v>
      </c>
      <c r="AC2869" s="60">
        <f t="shared" si="314"/>
        <v>0</v>
      </c>
    </row>
    <row r="2870" spans="1:29">
      <c r="A2870" s="83" t="str">
        <f t="shared" si="308"/>
        <v/>
      </c>
      <c r="B2870" s="83" t="str">
        <f t="shared" si="309"/>
        <v/>
      </c>
      <c r="U2870" s="83" t="str">
        <f t="shared" si="310"/>
        <v/>
      </c>
      <c r="V2870" s="83" t="str">
        <f t="shared" si="311"/>
        <v/>
      </c>
      <c r="AA2870" s="60">
        <f t="shared" si="312"/>
        <v>0</v>
      </c>
      <c r="AB2870" s="49">
        <f t="shared" si="313"/>
        <v>0</v>
      </c>
      <c r="AC2870" s="60">
        <f t="shared" si="314"/>
        <v>0</v>
      </c>
    </row>
    <row r="2871" spans="1:29">
      <c r="A2871" s="83" t="str">
        <f t="shared" si="308"/>
        <v/>
      </c>
      <c r="B2871" s="83" t="str">
        <f t="shared" si="309"/>
        <v/>
      </c>
      <c r="U2871" s="83" t="str">
        <f t="shared" si="310"/>
        <v/>
      </c>
      <c r="V2871" s="83" t="str">
        <f t="shared" si="311"/>
        <v/>
      </c>
      <c r="AA2871" s="60">
        <f t="shared" si="312"/>
        <v>0</v>
      </c>
      <c r="AB2871" s="49">
        <f t="shared" si="313"/>
        <v>0</v>
      </c>
      <c r="AC2871" s="60">
        <f t="shared" si="314"/>
        <v>0</v>
      </c>
    </row>
    <row r="2872" spans="1:29">
      <c r="A2872" s="83" t="str">
        <f t="shared" si="308"/>
        <v/>
      </c>
      <c r="B2872" s="83" t="str">
        <f t="shared" si="309"/>
        <v/>
      </c>
      <c r="U2872" s="83" t="str">
        <f t="shared" si="310"/>
        <v/>
      </c>
      <c r="V2872" s="83" t="str">
        <f t="shared" si="311"/>
        <v/>
      </c>
      <c r="AA2872" s="60">
        <f t="shared" si="312"/>
        <v>0</v>
      </c>
      <c r="AB2872" s="49">
        <f t="shared" si="313"/>
        <v>0</v>
      </c>
      <c r="AC2872" s="60">
        <f t="shared" si="314"/>
        <v>0</v>
      </c>
    </row>
    <row r="2873" spans="1:29">
      <c r="A2873" s="83" t="str">
        <f t="shared" si="308"/>
        <v/>
      </c>
      <c r="B2873" s="83" t="str">
        <f t="shared" si="309"/>
        <v/>
      </c>
      <c r="U2873" s="83" t="str">
        <f t="shared" si="310"/>
        <v/>
      </c>
      <c r="V2873" s="83" t="str">
        <f t="shared" si="311"/>
        <v/>
      </c>
      <c r="AA2873" s="60">
        <f t="shared" si="312"/>
        <v>0</v>
      </c>
      <c r="AB2873" s="49">
        <f t="shared" si="313"/>
        <v>0</v>
      </c>
      <c r="AC2873" s="60">
        <f t="shared" si="314"/>
        <v>0</v>
      </c>
    </row>
    <row r="2874" spans="1:29">
      <c r="A2874" s="83" t="str">
        <f t="shared" si="308"/>
        <v/>
      </c>
      <c r="B2874" s="83" t="str">
        <f t="shared" si="309"/>
        <v/>
      </c>
      <c r="U2874" s="83" t="str">
        <f t="shared" si="310"/>
        <v/>
      </c>
      <c r="V2874" s="83" t="str">
        <f t="shared" si="311"/>
        <v/>
      </c>
      <c r="AA2874" s="60">
        <f t="shared" si="312"/>
        <v>0</v>
      </c>
      <c r="AB2874" s="49">
        <f t="shared" si="313"/>
        <v>0</v>
      </c>
      <c r="AC2874" s="60">
        <f t="shared" si="314"/>
        <v>0</v>
      </c>
    </row>
    <row r="2875" spans="1:29">
      <c r="A2875" s="83" t="str">
        <f t="shared" si="308"/>
        <v/>
      </c>
      <c r="B2875" s="83" t="str">
        <f t="shared" si="309"/>
        <v/>
      </c>
      <c r="U2875" s="83" t="str">
        <f t="shared" si="310"/>
        <v/>
      </c>
      <c r="V2875" s="83" t="str">
        <f t="shared" si="311"/>
        <v/>
      </c>
      <c r="AA2875" s="60">
        <f t="shared" si="312"/>
        <v>0</v>
      </c>
      <c r="AB2875" s="49">
        <f t="shared" si="313"/>
        <v>0</v>
      </c>
      <c r="AC2875" s="60">
        <f t="shared" si="314"/>
        <v>0</v>
      </c>
    </row>
    <row r="2876" spans="1:29">
      <c r="A2876" s="83" t="str">
        <f t="shared" si="308"/>
        <v/>
      </c>
      <c r="B2876" s="83" t="str">
        <f t="shared" si="309"/>
        <v/>
      </c>
      <c r="U2876" s="83" t="str">
        <f t="shared" si="310"/>
        <v/>
      </c>
      <c r="V2876" s="83" t="str">
        <f t="shared" si="311"/>
        <v/>
      </c>
      <c r="AA2876" s="60">
        <f t="shared" si="312"/>
        <v>0</v>
      </c>
      <c r="AB2876" s="49">
        <f t="shared" si="313"/>
        <v>0</v>
      </c>
      <c r="AC2876" s="60">
        <f t="shared" si="314"/>
        <v>0</v>
      </c>
    </row>
    <row r="2877" spans="1:29">
      <c r="A2877" s="83" t="str">
        <f t="shared" si="308"/>
        <v/>
      </c>
      <c r="B2877" s="83" t="str">
        <f t="shared" si="309"/>
        <v/>
      </c>
      <c r="U2877" s="83" t="str">
        <f t="shared" si="310"/>
        <v/>
      </c>
      <c r="V2877" s="83" t="str">
        <f t="shared" si="311"/>
        <v/>
      </c>
      <c r="AA2877" s="60">
        <f t="shared" si="312"/>
        <v>0</v>
      </c>
      <c r="AB2877" s="49">
        <f t="shared" si="313"/>
        <v>0</v>
      </c>
      <c r="AC2877" s="60">
        <f t="shared" si="314"/>
        <v>0</v>
      </c>
    </row>
    <row r="2878" spans="1:29">
      <c r="A2878" s="83" t="str">
        <f t="shared" si="308"/>
        <v/>
      </c>
      <c r="B2878" s="83" t="str">
        <f t="shared" si="309"/>
        <v/>
      </c>
      <c r="U2878" s="83" t="str">
        <f t="shared" si="310"/>
        <v/>
      </c>
      <c r="V2878" s="83" t="str">
        <f t="shared" si="311"/>
        <v/>
      </c>
      <c r="AA2878" s="60">
        <f t="shared" si="312"/>
        <v>0</v>
      </c>
      <c r="AB2878" s="49">
        <f t="shared" si="313"/>
        <v>0</v>
      </c>
      <c r="AC2878" s="60">
        <f t="shared" si="314"/>
        <v>0</v>
      </c>
    </row>
    <row r="2879" spans="1:29">
      <c r="A2879" s="83" t="str">
        <f t="shared" si="308"/>
        <v/>
      </c>
      <c r="B2879" s="83" t="str">
        <f t="shared" si="309"/>
        <v/>
      </c>
      <c r="U2879" s="83" t="str">
        <f t="shared" si="310"/>
        <v/>
      </c>
      <c r="V2879" s="83" t="str">
        <f t="shared" si="311"/>
        <v/>
      </c>
      <c r="AA2879" s="60">
        <f t="shared" si="312"/>
        <v>0</v>
      </c>
      <c r="AB2879" s="49">
        <f t="shared" si="313"/>
        <v>0</v>
      </c>
      <c r="AC2879" s="60">
        <f t="shared" si="314"/>
        <v>0</v>
      </c>
    </row>
    <row r="2880" spans="1:29">
      <c r="A2880" s="83" t="str">
        <f t="shared" si="308"/>
        <v/>
      </c>
      <c r="B2880" s="83" t="str">
        <f t="shared" si="309"/>
        <v/>
      </c>
      <c r="U2880" s="83" t="str">
        <f t="shared" si="310"/>
        <v/>
      </c>
      <c r="V2880" s="83" t="str">
        <f t="shared" si="311"/>
        <v/>
      </c>
      <c r="AA2880" s="60">
        <f t="shared" si="312"/>
        <v>0</v>
      </c>
      <c r="AB2880" s="49">
        <f t="shared" si="313"/>
        <v>0</v>
      </c>
      <c r="AC2880" s="60">
        <f t="shared" si="314"/>
        <v>0</v>
      </c>
    </row>
    <row r="2881" spans="1:29">
      <c r="A2881" s="83" t="str">
        <f t="shared" si="308"/>
        <v/>
      </c>
      <c r="B2881" s="83" t="str">
        <f t="shared" si="309"/>
        <v/>
      </c>
      <c r="U2881" s="83" t="str">
        <f t="shared" si="310"/>
        <v/>
      </c>
      <c r="V2881" s="83" t="str">
        <f t="shared" si="311"/>
        <v/>
      </c>
      <c r="AA2881" s="60">
        <f t="shared" si="312"/>
        <v>0</v>
      </c>
      <c r="AB2881" s="49">
        <f t="shared" si="313"/>
        <v>0</v>
      </c>
      <c r="AC2881" s="60">
        <f t="shared" si="314"/>
        <v>0</v>
      </c>
    </row>
    <row r="2882" spans="1:29">
      <c r="A2882" s="83" t="str">
        <f t="shared" si="308"/>
        <v/>
      </c>
      <c r="B2882" s="83" t="str">
        <f t="shared" si="309"/>
        <v/>
      </c>
      <c r="U2882" s="83" t="str">
        <f t="shared" si="310"/>
        <v/>
      </c>
      <c r="V2882" s="83" t="str">
        <f t="shared" si="311"/>
        <v/>
      </c>
      <c r="AA2882" s="60">
        <f t="shared" si="312"/>
        <v>0</v>
      </c>
      <c r="AB2882" s="49">
        <f t="shared" si="313"/>
        <v>0</v>
      </c>
      <c r="AC2882" s="60">
        <f t="shared" si="314"/>
        <v>0</v>
      </c>
    </row>
    <row r="2883" spans="1:29">
      <c r="A2883" s="83" t="str">
        <f t="shared" ref="A2883:A2946" si="315">IF(G2883&amp;Q2883&lt;&gt;"",U2883&amp;Q2883,"")</f>
        <v/>
      </c>
      <c r="B2883" s="83" t="str">
        <f t="shared" ref="B2883:B2946" si="316">IF(C2883&lt;&gt;"",LEFT(C2883,9),"")</f>
        <v/>
      </c>
      <c r="U2883" s="83" t="str">
        <f t="shared" ref="U2883:U2946" si="317">IF(G2883&lt;&gt;"",IF(StyleSpaceSplit,IFERROR(IF(FIND(" ",G2883)&gt;=1,MID(G2883,1,FIND(" ",G2883)-1),G2883),G2883),G2883),"")</f>
        <v/>
      </c>
      <c r="V2883" s="83" t="str">
        <f t="shared" ref="V2883:V2946" si="318">IF(A2883&lt;&gt;"",IFERROR(IF(FIND(" ",G2883)&gt;=1,MID(G2883,FIND(" ",G2883)+1,LEN(G2883)),""),G2883),"")</f>
        <v/>
      </c>
      <c r="AA2883" s="60">
        <f t="shared" ref="AA2883:AA2946" si="319">IFERROR(VALUE(MID($C2883,1,2)),0)</f>
        <v>0</v>
      </c>
      <c r="AB2883" s="49">
        <f t="shared" ref="AB2883:AB2946" si="320">IFERROR(VALUE(MID($C2883,4,3)),0)</f>
        <v>0</v>
      </c>
      <c r="AC2883" s="60">
        <f t="shared" ref="AC2883:AC2946" si="321">VALUE(RIGHT("00"&amp;AA2883,2)&amp;RIGHT("000"&amp;AB2883,3))</f>
        <v>0</v>
      </c>
    </row>
    <row r="2884" spans="1:29">
      <c r="A2884" s="83" t="str">
        <f t="shared" si="315"/>
        <v/>
      </c>
      <c r="B2884" s="83" t="str">
        <f t="shared" si="316"/>
        <v/>
      </c>
      <c r="U2884" s="83" t="str">
        <f t="shared" si="317"/>
        <v/>
      </c>
      <c r="V2884" s="83" t="str">
        <f t="shared" si="318"/>
        <v/>
      </c>
      <c r="AA2884" s="60">
        <f t="shared" si="319"/>
        <v>0</v>
      </c>
      <c r="AB2884" s="49">
        <f t="shared" si="320"/>
        <v>0</v>
      </c>
      <c r="AC2884" s="60">
        <f t="shared" si="321"/>
        <v>0</v>
      </c>
    </row>
    <row r="2885" spans="1:29">
      <c r="A2885" s="83" t="str">
        <f t="shared" si="315"/>
        <v/>
      </c>
      <c r="B2885" s="83" t="str">
        <f t="shared" si="316"/>
        <v/>
      </c>
      <c r="U2885" s="83" t="str">
        <f t="shared" si="317"/>
        <v/>
      </c>
      <c r="V2885" s="83" t="str">
        <f t="shared" si="318"/>
        <v/>
      </c>
      <c r="AA2885" s="60">
        <f t="shared" si="319"/>
        <v>0</v>
      </c>
      <c r="AB2885" s="49">
        <f t="shared" si="320"/>
        <v>0</v>
      </c>
      <c r="AC2885" s="60">
        <f t="shared" si="321"/>
        <v>0</v>
      </c>
    </row>
    <row r="2886" spans="1:29">
      <c r="A2886" s="83" t="str">
        <f t="shared" si="315"/>
        <v/>
      </c>
      <c r="B2886" s="83" t="str">
        <f t="shared" si="316"/>
        <v/>
      </c>
      <c r="U2886" s="83" t="str">
        <f t="shared" si="317"/>
        <v/>
      </c>
      <c r="V2886" s="83" t="str">
        <f t="shared" si="318"/>
        <v/>
      </c>
      <c r="AA2886" s="60">
        <f t="shared" si="319"/>
        <v>0</v>
      </c>
      <c r="AB2886" s="49">
        <f t="shared" si="320"/>
        <v>0</v>
      </c>
      <c r="AC2886" s="60">
        <f t="shared" si="321"/>
        <v>0</v>
      </c>
    </row>
    <row r="2887" spans="1:29">
      <c r="A2887" s="83" t="str">
        <f t="shared" si="315"/>
        <v/>
      </c>
      <c r="B2887" s="83" t="str">
        <f t="shared" si="316"/>
        <v/>
      </c>
      <c r="U2887" s="83" t="str">
        <f t="shared" si="317"/>
        <v/>
      </c>
      <c r="V2887" s="83" t="str">
        <f t="shared" si="318"/>
        <v/>
      </c>
      <c r="AA2887" s="60">
        <f t="shared" si="319"/>
        <v>0</v>
      </c>
      <c r="AB2887" s="49">
        <f t="shared" si="320"/>
        <v>0</v>
      </c>
      <c r="AC2887" s="60">
        <f t="shared" si="321"/>
        <v>0</v>
      </c>
    </row>
    <row r="2888" spans="1:29">
      <c r="A2888" s="83" t="str">
        <f t="shared" si="315"/>
        <v/>
      </c>
      <c r="B2888" s="83" t="str">
        <f t="shared" si="316"/>
        <v/>
      </c>
      <c r="U2888" s="83" t="str">
        <f t="shared" si="317"/>
        <v/>
      </c>
      <c r="V2888" s="83" t="str">
        <f t="shared" si="318"/>
        <v/>
      </c>
      <c r="AA2888" s="60">
        <f t="shared" si="319"/>
        <v>0</v>
      </c>
      <c r="AB2888" s="49">
        <f t="shared" si="320"/>
        <v>0</v>
      </c>
      <c r="AC2888" s="60">
        <f t="shared" si="321"/>
        <v>0</v>
      </c>
    </row>
    <row r="2889" spans="1:29">
      <c r="A2889" s="83" t="str">
        <f t="shared" si="315"/>
        <v/>
      </c>
      <c r="B2889" s="83" t="str">
        <f t="shared" si="316"/>
        <v/>
      </c>
      <c r="U2889" s="83" t="str">
        <f t="shared" si="317"/>
        <v/>
      </c>
      <c r="V2889" s="83" t="str">
        <f t="shared" si="318"/>
        <v/>
      </c>
      <c r="AA2889" s="60">
        <f t="shared" si="319"/>
        <v>0</v>
      </c>
      <c r="AB2889" s="49">
        <f t="shared" si="320"/>
        <v>0</v>
      </c>
      <c r="AC2889" s="60">
        <f t="shared" si="321"/>
        <v>0</v>
      </c>
    </row>
    <row r="2890" spans="1:29">
      <c r="A2890" s="83" t="str">
        <f t="shared" si="315"/>
        <v/>
      </c>
      <c r="B2890" s="83" t="str">
        <f t="shared" si="316"/>
        <v/>
      </c>
      <c r="U2890" s="83" t="str">
        <f t="shared" si="317"/>
        <v/>
      </c>
      <c r="V2890" s="83" t="str">
        <f t="shared" si="318"/>
        <v/>
      </c>
      <c r="AA2890" s="60">
        <f t="shared" si="319"/>
        <v>0</v>
      </c>
      <c r="AB2890" s="49">
        <f t="shared" si="320"/>
        <v>0</v>
      </c>
      <c r="AC2890" s="60">
        <f t="shared" si="321"/>
        <v>0</v>
      </c>
    </row>
    <row r="2891" spans="1:29">
      <c r="A2891" s="83" t="str">
        <f t="shared" si="315"/>
        <v/>
      </c>
      <c r="B2891" s="83" t="str">
        <f t="shared" si="316"/>
        <v/>
      </c>
      <c r="U2891" s="83" t="str">
        <f t="shared" si="317"/>
        <v/>
      </c>
      <c r="V2891" s="83" t="str">
        <f t="shared" si="318"/>
        <v/>
      </c>
      <c r="AA2891" s="60">
        <f t="shared" si="319"/>
        <v>0</v>
      </c>
      <c r="AB2891" s="49">
        <f t="shared" si="320"/>
        <v>0</v>
      </c>
      <c r="AC2891" s="60">
        <f t="shared" si="321"/>
        <v>0</v>
      </c>
    </row>
    <row r="2892" spans="1:29">
      <c r="A2892" s="83" t="str">
        <f t="shared" si="315"/>
        <v/>
      </c>
      <c r="B2892" s="83" t="str">
        <f t="shared" si="316"/>
        <v/>
      </c>
      <c r="U2892" s="83" t="str">
        <f t="shared" si="317"/>
        <v/>
      </c>
      <c r="V2892" s="83" t="str">
        <f t="shared" si="318"/>
        <v/>
      </c>
      <c r="AA2892" s="60">
        <f t="shared" si="319"/>
        <v>0</v>
      </c>
      <c r="AB2892" s="49">
        <f t="shared" si="320"/>
        <v>0</v>
      </c>
      <c r="AC2892" s="60">
        <f t="shared" si="321"/>
        <v>0</v>
      </c>
    </row>
    <row r="2893" spans="1:29">
      <c r="A2893" s="83" t="str">
        <f t="shared" si="315"/>
        <v/>
      </c>
      <c r="B2893" s="83" t="str">
        <f t="shared" si="316"/>
        <v/>
      </c>
      <c r="U2893" s="83" t="str">
        <f t="shared" si="317"/>
        <v/>
      </c>
      <c r="V2893" s="83" t="str">
        <f t="shared" si="318"/>
        <v/>
      </c>
      <c r="AA2893" s="60">
        <f t="shared" si="319"/>
        <v>0</v>
      </c>
      <c r="AB2893" s="49">
        <f t="shared" si="320"/>
        <v>0</v>
      </c>
      <c r="AC2893" s="60">
        <f t="shared" si="321"/>
        <v>0</v>
      </c>
    </row>
    <row r="2894" spans="1:29">
      <c r="A2894" s="83" t="str">
        <f t="shared" si="315"/>
        <v/>
      </c>
      <c r="B2894" s="83" t="str">
        <f t="shared" si="316"/>
        <v/>
      </c>
      <c r="U2894" s="83" t="str">
        <f t="shared" si="317"/>
        <v/>
      </c>
      <c r="V2894" s="83" t="str">
        <f t="shared" si="318"/>
        <v/>
      </c>
      <c r="AA2894" s="60">
        <f t="shared" si="319"/>
        <v>0</v>
      </c>
      <c r="AB2894" s="49">
        <f t="shared" si="320"/>
        <v>0</v>
      </c>
      <c r="AC2894" s="60">
        <f t="shared" si="321"/>
        <v>0</v>
      </c>
    </row>
    <row r="2895" spans="1:29">
      <c r="A2895" s="83" t="str">
        <f t="shared" si="315"/>
        <v/>
      </c>
      <c r="B2895" s="83" t="str">
        <f t="shared" si="316"/>
        <v/>
      </c>
      <c r="U2895" s="83" t="str">
        <f t="shared" si="317"/>
        <v/>
      </c>
      <c r="V2895" s="83" t="str">
        <f t="shared" si="318"/>
        <v/>
      </c>
      <c r="AA2895" s="60">
        <f t="shared" si="319"/>
        <v>0</v>
      </c>
      <c r="AB2895" s="49">
        <f t="shared" si="320"/>
        <v>0</v>
      </c>
      <c r="AC2895" s="60">
        <f t="shared" si="321"/>
        <v>0</v>
      </c>
    </row>
    <row r="2896" spans="1:29">
      <c r="A2896" s="83" t="str">
        <f t="shared" si="315"/>
        <v/>
      </c>
      <c r="B2896" s="83" t="str">
        <f t="shared" si="316"/>
        <v/>
      </c>
      <c r="U2896" s="83" t="str">
        <f t="shared" si="317"/>
        <v/>
      </c>
      <c r="V2896" s="83" t="str">
        <f t="shared" si="318"/>
        <v/>
      </c>
      <c r="AA2896" s="60">
        <f t="shared" si="319"/>
        <v>0</v>
      </c>
      <c r="AB2896" s="49">
        <f t="shared" si="320"/>
        <v>0</v>
      </c>
      <c r="AC2896" s="60">
        <f t="shared" si="321"/>
        <v>0</v>
      </c>
    </row>
    <row r="2897" spans="1:29">
      <c r="A2897" s="83" t="str">
        <f t="shared" si="315"/>
        <v/>
      </c>
      <c r="B2897" s="83" t="str">
        <f t="shared" si="316"/>
        <v/>
      </c>
      <c r="U2897" s="83" t="str">
        <f t="shared" si="317"/>
        <v/>
      </c>
      <c r="V2897" s="83" t="str">
        <f t="shared" si="318"/>
        <v/>
      </c>
      <c r="AA2897" s="60">
        <f t="shared" si="319"/>
        <v>0</v>
      </c>
      <c r="AB2897" s="49">
        <f t="shared" si="320"/>
        <v>0</v>
      </c>
      <c r="AC2897" s="60">
        <f t="shared" si="321"/>
        <v>0</v>
      </c>
    </row>
    <row r="2898" spans="1:29">
      <c r="A2898" s="83" t="str">
        <f t="shared" si="315"/>
        <v/>
      </c>
      <c r="B2898" s="83" t="str">
        <f t="shared" si="316"/>
        <v/>
      </c>
      <c r="U2898" s="83" t="str">
        <f t="shared" si="317"/>
        <v/>
      </c>
      <c r="V2898" s="83" t="str">
        <f t="shared" si="318"/>
        <v/>
      </c>
      <c r="AA2898" s="60">
        <f t="shared" si="319"/>
        <v>0</v>
      </c>
      <c r="AB2898" s="49">
        <f t="shared" si="320"/>
        <v>0</v>
      </c>
      <c r="AC2898" s="60">
        <f t="shared" si="321"/>
        <v>0</v>
      </c>
    </row>
    <row r="2899" spans="1:29">
      <c r="A2899" s="83" t="str">
        <f t="shared" si="315"/>
        <v/>
      </c>
      <c r="B2899" s="83" t="str">
        <f t="shared" si="316"/>
        <v/>
      </c>
      <c r="U2899" s="83" t="str">
        <f t="shared" si="317"/>
        <v/>
      </c>
      <c r="V2899" s="83" t="str">
        <f t="shared" si="318"/>
        <v/>
      </c>
      <c r="AA2899" s="60">
        <f t="shared" si="319"/>
        <v>0</v>
      </c>
      <c r="AB2899" s="49">
        <f t="shared" si="320"/>
        <v>0</v>
      </c>
      <c r="AC2899" s="60">
        <f t="shared" si="321"/>
        <v>0</v>
      </c>
    </row>
    <row r="2900" spans="1:29">
      <c r="A2900" s="83" t="str">
        <f t="shared" si="315"/>
        <v/>
      </c>
      <c r="B2900" s="83" t="str">
        <f t="shared" si="316"/>
        <v/>
      </c>
      <c r="U2900" s="83" t="str">
        <f t="shared" si="317"/>
        <v/>
      </c>
      <c r="V2900" s="83" t="str">
        <f t="shared" si="318"/>
        <v/>
      </c>
      <c r="AA2900" s="60">
        <f t="shared" si="319"/>
        <v>0</v>
      </c>
      <c r="AB2900" s="49">
        <f t="shared" si="320"/>
        <v>0</v>
      </c>
      <c r="AC2900" s="60">
        <f t="shared" si="321"/>
        <v>0</v>
      </c>
    </row>
    <row r="2901" spans="1:29">
      <c r="A2901" s="83" t="str">
        <f t="shared" si="315"/>
        <v/>
      </c>
      <c r="B2901" s="83" t="str">
        <f t="shared" si="316"/>
        <v/>
      </c>
      <c r="U2901" s="83" t="str">
        <f t="shared" si="317"/>
        <v/>
      </c>
      <c r="V2901" s="83" t="str">
        <f t="shared" si="318"/>
        <v/>
      </c>
      <c r="AA2901" s="60">
        <f t="shared" si="319"/>
        <v>0</v>
      </c>
      <c r="AB2901" s="49">
        <f t="shared" si="320"/>
        <v>0</v>
      </c>
      <c r="AC2901" s="60">
        <f t="shared" si="321"/>
        <v>0</v>
      </c>
    </row>
    <row r="2902" spans="1:29">
      <c r="A2902" s="83" t="str">
        <f t="shared" si="315"/>
        <v/>
      </c>
      <c r="B2902" s="83" t="str">
        <f t="shared" si="316"/>
        <v/>
      </c>
      <c r="U2902" s="83" t="str">
        <f t="shared" si="317"/>
        <v/>
      </c>
      <c r="V2902" s="83" t="str">
        <f t="shared" si="318"/>
        <v/>
      </c>
      <c r="AA2902" s="60">
        <f t="shared" si="319"/>
        <v>0</v>
      </c>
      <c r="AB2902" s="49">
        <f t="shared" si="320"/>
        <v>0</v>
      </c>
      <c r="AC2902" s="60">
        <f t="shared" si="321"/>
        <v>0</v>
      </c>
    </row>
    <row r="2903" spans="1:29">
      <c r="A2903" s="83" t="str">
        <f t="shared" si="315"/>
        <v/>
      </c>
      <c r="B2903" s="83" t="str">
        <f t="shared" si="316"/>
        <v/>
      </c>
      <c r="U2903" s="83" t="str">
        <f t="shared" si="317"/>
        <v/>
      </c>
      <c r="V2903" s="83" t="str">
        <f t="shared" si="318"/>
        <v/>
      </c>
      <c r="AA2903" s="60">
        <f t="shared" si="319"/>
        <v>0</v>
      </c>
      <c r="AB2903" s="49">
        <f t="shared" si="320"/>
        <v>0</v>
      </c>
      <c r="AC2903" s="60">
        <f t="shared" si="321"/>
        <v>0</v>
      </c>
    </row>
    <row r="2904" spans="1:29">
      <c r="A2904" s="83" t="str">
        <f t="shared" si="315"/>
        <v/>
      </c>
      <c r="B2904" s="83" t="str">
        <f t="shared" si="316"/>
        <v/>
      </c>
      <c r="U2904" s="83" t="str">
        <f t="shared" si="317"/>
        <v/>
      </c>
      <c r="V2904" s="83" t="str">
        <f t="shared" si="318"/>
        <v/>
      </c>
      <c r="AA2904" s="60">
        <f t="shared" si="319"/>
        <v>0</v>
      </c>
      <c r="AB2904" s="49">
        <f t="shared" si="320"/>
        <v>0</v>
      </c>
      <c r="AC2904" s="60">
        <f t="shared" si="321"/>
        <v>0</v>
      </c>
    </row>
    <row r="2905" spans="1:29">
      <c r="A2905" s="83" t="str">
        <f t="shared" si="315"/>
        <v/>
      </c>
      <c r="B2905" s="83" t="str">
        <f t="shared" si="316"/>
        <v/>
      </c>
      <c r="U2905" s="83" t="str">
        <f t="shared" si="317"/>
        <v/>
      </c>
      <c r="V2905" s="83" t="str">
        <f t="shared" si="318"/>
        <v/>
      </c>
      <c r="AA2905" s="60">
        <f t="shared" si="319"/>
        <v>0</v>
      </c>
      <c r="AB2905" s="49">
        <f t="shared" si="320"/>
        <v>0</v>
      </c>
      <c r="AC2905" s="60">
        <f t="shared" si="321"/>
        <v>0</v>
      </c>
    </row>
    <row r="2906" spans="1:29">
      <c r="A2906" s="83" t="str">
        <f t="shared" si="315"/>
        <v/>
      </c>
      <c r="B2906" s="83" t="str">
        <f t="shared" si="316"/>
        <v/>
      </c>
      <c r="U2906" s="83" t="str">
        <f t="shared" si="317"/>
        <v/>
      </c>
      <c r="V2906" s="83" t="str">
        <f t="shared" si="318"/>
        <v/>
      </c>
      <c r="AA2906" s="60">
        <f t="shared" si="319"/>
        <v>0</v>
      </c>
      <c r="AB2906" s="49">
        <f t="shared" si="320"/>
        <v>0</v>
      </c>
      <c r="AC2906" s="60">
        <f t="shared" si="321"/>
        <v>0</v>
      </c>
    </row>
    <row r="2907" spans="1:29">
      <c r="A2907" s="83" t="str">
        <f t="shared" si="315"/>
        <v/>
      </c>
      <c r="B2907" s="83" t="str">
        <f t="shared" si="316"/>
        <v/>
      </c>
      <c r="U2907" s="83" t="str">
        <f t="shared" si="317"/>
        <v/>
      </c>
      <c r="V2907" s="83" t="str">
        <f t="shared" si="318"/>
        <v/>
      </c>
      <c r="AA2907" s="60">
        <f t="shared" si="319"/>
        <v>0</v>
      </c>
      <c r="AB2907" s="49">
        <f t="shared" si="320"/>
        <v>0</v>
      </c>
      <c r="AC2907" s="60">
        <f t="shared" si="321"/>
        <v>0</v>
      </c>
    </row>
    <row r="2908" spans="1:29">
      <c r="A2908" s="83" t="str">
        <f t="shared" si="315"/>
        <v/>
      </c>
      <c r="B2908" s="83" t="str">
        <f t="shared" si="316"/>
        <v/>
      </c>
      <c r="U2908" s="83" t="str">
        <f t="shared" si="317"/>
        <v/>
      </c>
      <c r="V2908" s="83" t="str">
        <f t="shared" si="318"/>
        <v/>
      </c>
      <c r="AA2908" s="60">
        <f t="shared" si="319"/>
        <v>0</v>
      </c>
      <c r="AB2908" s="49">
        <f t="shared" si="320"/>
        <v>0</v>
      </c>
      <c r="AC2908" s="60">
        <f t="shared" si="321"/>
        <v>0</v>
      </c>
    </row>
    <row r="2909" spans="1:29">
      <c r="A2909" s="83" t="str">
        <f t="shared" si="315"/>
        <v/>
      </c>
      <c r="B2909" s="83" t="str">
        <f t="shared" si="316"/>
        <v/>
      </c>
      <c r="U2909" s="83" t="str">
        <f t="shared" si="317"/>
        <v/>
      </c>
      <c r="V2909" s="83" t="str">
        <f t="shared" si="318"/>
        <v/>
      </c>
      <c r="AA2909" s="60">
        <f t="shared" si="319"/>
        <v>0</v>
      </c>
      <c r="AB2909" s="49">
        <f t="shared" si="320"/>
        <v>0</v>
      </c>
      <c r="AC2909" s="60">
        <f t="shared" si="321"/>
        <v>0</v>
      </c>
    </row>
    <row r="2910" spans="1:29">
      <c r="A2910" s="83" t="str">
        <f t="shared" si="315"/>
        <v/>
      </c>
      <c r="B2910" s="83" t="str">
        <f t="shared" si="316"/>
        <v/>
      </c>
      <c r="U2910" s="83" t="str">
        <f t="shared" si="317"/>
        <v/>
      </c>
      <c r="V2910" s="83" t="str">
        <f t="shared" si="318"/>
        <v/>
      </c>
      <c r="AA2910" s="60">
        <f t="shared" si="319"/>
        <v>0</v>
      </c>
      <c r="AB2910" s="49">
        <f t="shared" si="320"/>
        <v>0</v>
      </c>
      <c r="AC2910" s="60">
        <f t="shared" si="321"/>
        <v>0</v>
      </c>
    </row>
    <row r="2911" spans="1:29">
      <c r="A2911" s="83" t="str">
        <f t="shared" si="315"/>
        <v/>
      </c>
      <c r="B2911" s="83" t="str">
        <f t="shared" si="316"/>
        <v/>
      </c>
      <c r="U2911" s="83" t="str">
        <f t="shared" si="317"/>
        <v/>
      </c>
      <c r="V2911" s="83" t="str">
        <f t="shared" si="318"/>
        <v/>
      </c>
      <c r="AA2911" s="60">
        <f t="shared" si="319"/>
        <v>0</v>
      </c>
      <c r="AB2911" s="49">
        <f t="shared" si="320"/>
        <v>0</v>
      </c>
      <c r="AC2911" s="60">
        <f t="shared" si="321"/>
        <v>0</v>
      </c>
    </row>
    <row r="2912" spans="1:29">
      <c r="A2912" s="83" t="str">
        <f t="shared" si="315"/>
        <v/>
      </c>
      <c r="B2912" s="83" t="str">
        <f t="shared" si="316"/>
        <v/>
      </c>
      <c r="U2912" s="83" t="str">
        <f t="shared" si="317"/>
        <v/>
      </c>
      <c r="V2912" s="83" t="str">
        <f t="shared" si="318"/>
        <v/>
      </c>
      <c r="AA2912" s="60">
        <f t="shared" si="319"/>
        <v>0</v>
      </c>
      <c r="AB2912" s="49">
        <f t="shared" si="320"/>
        <v>0</v>
      </c>
      <c r="AC2912" s="60">
        <f t="shared" si="321"/>
        <v>0</v>
      </c>
    </row>
    <row r="2913" spans="1:29">
      <c r="A2913" s="83" t="str">
        <f t="shared" si="315"/>
        <v/>
      </c>
      <c r="B2913" s="83" t="str">
        <f t="shared" si="316"/>
        <v/>
      </c>
      <c r="U2913" s="83" t="str">
        <f t="shared" si="317"/>
        <v/>
      </c>
      <c r="V2913" s="83" t="str">
        <f t="shared" si="318"/>
        <v/>
      </c>
      <c r="AA2913" s="60">
        <f t="shared" si="319"/>
        <v>0</v>
      </c>
      <c r="AB2913" s="49">
        <f t="shared" si="320"/>
        <v>0</v>
      </c>
      <c r="AC2913" s="60">
        <f t="shared" si="321"/>
        <v>0</v>
      </c>
    </row>
    <row r="2914" spans="1:29">
      <c r="A2914" s="83" t="str">
        <f t="shared" si="315"/>
        <v/>
      </c>
      <c r="B2914" s="83" t="str">
        <f t="shared" si="316"/>
        <v/>
      </c>
      <c r="U2914" s="83" t="str">
        <f t="shared" si="317"/>
        <v/>
      </c>
      <c r="V2914" s="83" t="str">
        <f t="shared" si="318"/>
        <v/>
      </c>
      <c r="AA2914" s="60">
        <f t="shared" si="319"/>
        <v>0</v>
      </c>
      <c r="AB2914" s="49">
        <f t="shared" si="320"/>
        <v>0</v>
      </c>
      <c r="AC2914" s="60">
        <f t="shared" si="321"/>
        <v>0</v>
      </c>
    </row>
    <row r="2915" spans="1:29">
      <c r="A2915" s="83" t="str">
        <f t="shared" si="315"/>
        <v/>
      </c>
      <c r="B2915" s="83" t="str">
        <f t="shared" si="316"/>
        <v/>
      </c>
      <c r="U2915" s="83" t="str">
        <f t="shared" si="317"/>
        <v/>
      </c>
      <c r="V2915" s="83" t="str">
        <f t="shared" si="318"/>
        <v/>
      </c>
      <c r="AA2915" s="60">
        <f t="shared" si="319"/>
        <v>0</v>
      </c>
      <c r="AB2915" s="49">
        <f t="shared" si="320"/>
        <v>0</v>
      </c>
      <c r="AC2915" s="60">
        <f t="shared" si="321"/>
        <v>0</v>
      </c>
    </row>
    <row r="2916" spans="1:29">
      <c r="A2916" s="83" t="str">
        <f t="shared" si="315"/>
        <v/>
      </c>
      <c r="B2916" s="83" t="str">
        <f t="shared" si="316"/>
        <v/>
      </c>
      <c r="U2916" s="83" t="str">
        <f t="shared" si="317"/>
        <v/>
      </c>
      <c r="V2916" s="83" t="str">
        <f t="shared" si="318"/>
        <v/>
      </c>
      <c r="AA2916" s="60">
        <f t="shared" si="319"/>
        <v>0</v>
      </c>
      <c r="AB2916" s="49">
        <f t="shared" si="320"/>
        <v>0</v>
      </c>
      <c r="AC2916" s="60">
        <f t="shared" si="321"/>
        <v>0</v>
      </c>
    </row>
    <row r="2917" spans="1:29">
      <c r="A2917" s="83" t="str">
        <f t="shared" si="315"/>
        <v/>
      </c>
      <c r="B2917" s="83" t="str">
        <f t="shared" si="316"/>
        <v/>
      </c>
      <c r="U2917" s="83" t="str">
        <f t="shared" si="317"/>
        <v/>
      </c>
      <c r="V2917" s="83" t="str">
        <f t="shared" si="318"/>
        <v/>
      </c>
      <c r="AA2917" s="60">
        <f t="shared" si="319"/>
        <v>0</v>
      </c>
      <c r="AB2917" s="49">
        <f t="shared" si="320"/>
        <v>0</v>
      </c>
      <c r="AC2917" s="60">
        <f t="shared" si="321"/>
        <v>0</v>
      </c>
    </row>
    <row r="2918" spans="1:29">
      <c r="A2918" s="83" t="str">
        <f t="shared" si="315"/>
        <v/>
      </c>
      <c r="B2918" s="83" t="str">
        <f t="shared" si="316"/>
        <v/>
      </c>
      <c r="U2918" s="83" t="str">
        <f t="shared" si="317"/>
        <v/>
      </c>
      <c r="V2918" s="83" t="str">
        <f t="shared" si="318"/>
        <v/>
      </c>
      <c r="AA2918" s="60">
        <f t="shared" si="319"/>
        <v>0</v>
      </c>
      <c r="AB2918" s="49">
        <f t="shared" si="320"/>
        <v>0</v>
      </c>
      <c r="AC2918" s="60">
        <f t="shared" si="321"/>
        <v>0</v>
      </c>
    </row>
    <row r="2919" spans="1:29">
      <c r="A2919" s="83" t="str">
        <f t="shared" si="315"/>
        <v/>
      </c>
      <c r="B2919" s="83" t="str">
        <f t="shared" si="316"/>
        <v/>
      </c>
      <c r="U2919" s="83" t="str">
        <f t="shared" si="317"/>
        <v/>
      </c>
      <c r="V2919" s="83" t="str">
        <f t="shared" si="318"/>
        <v/>
      </c>
      <c r="AA2919" s="60">
        <f t="shared" si="319"/>
        <v>0</v>
      </c>
      <c r="AB2919" s="49">
        <f t="shared" si="320"/>
        <v>0</v>
      </c>
      <c r="AC2919" s="60">
        <f t="shared" si="321"/>
        <v>0</v>
      </c>
    </row>
    <row r="2920" spans="1:29">
      <c r="A2920" s="83" t="str">
        <f t="shared" si="315"/>
        <v/>
      </c>
      <c r="B2920" s="83" t="str">
        <f t="shared" si="316"/>
        <v/>
      </c>
      <c r="U2920" s="83" t="str">
        <f t="shared" si="317"/>
        <v/>
      </c>
      <c r="V2920" s="83" t="str">
        <f t="shared" si="318"/>
        <v/>
      </c>
      <c r="AA2920" s="60">
        <f t="shared" si="319"/>
        <v>0</v>
      </c>
      <c r="AB2920" s="49">
        <f t="shared" si="320"/>
        <v>0</v>
      </c>
      <c r="AC2920" s="60">
        <f t="shared" si="321"/>
        <v>0</v>
      </c>
    </row>
    <row r="2921" spans="1:29">
      <c r="A2921" s="83" t="str">
        <f t="shared" si="315"/>
        <v/>
      </c>
      <c r="B2921" s="83" t="str">
        <f t="shared" si="316"/>
        <v/>
      </c>
      <c r="U2921" s="83" t="str">
        <f t="shared" si="317"/>
        <v/>
      </c>
      <c r="V2921" s="83" t="str">
        <f t="shared" si="318"/>
        <v/>
      </c>
      <c r="AA2921" s="60">
        <f t="shared" si="319"/>
        <v>0</v>
      </c>
      <c r="AB2921" s="49">
        <f t="shared" si="320"/>
        <v>0</v>
      </c>
      <c r="AC2921" s="60">
        <f t="shared" si="321"/>
        <v>0</v>
      </c>
    </row>
    <row r="2922" spans="1:29">
      <c r="A2922" s="83" t="str">
        <f t="shared" si="315"/>
        <v/>
      </c>
      <c r="B2922" s="83" t="str">
        <f t="shared" si="316"/>
        <v/>
      </c>
      <c r="U2922" s="83" t="str">
        <f t="shared" si="317"/>
        <v/>
      </c>
      <c r="V2922" s="83" t="str">
        <f t="shared" si="318"/>
        <v/>
      </c>
      <c r="AA2922" s="60">
        <f t="shared" si="319"/>
        <v>0</v>
      </c>
      <c r="AB2922" s="49">
        <f t="shared" si="320"/>
        <v>0</v>
      </c>
      <c r="AC2922" s="60">
        <f t="shared" si="321"/>
        <v>0</v>
      </c>
    </row>
    <row r="2923" spans="1:29">
      <c r="A2923" s="83" t="str">
        <f t="shared" si="315"/>
        <v/>
      </c>
      <c r="B2923" s="83" t="str">
        <f t="shared" si="316"/>
        <v/>
      </c>
      <c r="U2923" s="83" t="str">
        <f t="shared" si="317"/>
        <v/>
      </c>
      <c r="V2923" s="83" t="str">
        <f t="shared" si="318"/>
        <v/>
      </c>
      <c r="AA2923" s="60">
        <f t="shared" si="319"/>
        <v>0</v>
      </c>
      <c r="AB2923" s="49">
        <f t="shared" si="320"/>
        <v>0</v>
      </c>
      <c r="AC2923" s="60">
        <f t="shared" si="321"/>
        <v>0</v>
      </c>
    </row>
    <row r="2924" spans="1:29">
      <c r="A2924" s="83" t="str">
        <f t="shared" si="315"/>
        <v/>
      </c>
      <c r="B2924" s="83" t="str">
        <f t="shared" si="316"/>
        <v/>
      </c>
      <c r="U2924" s="83" t="str">
        <f t="shared" si="317"/>
        <v/>
      </c>
      <c r="V2924" s="83" t="str">
        <f t="shared" si="318"/>
        <v/>
      </c>
      <c r="AA2924" s="60">
        <f t="shared" si="319"/>
        <v>0</v>
      </c>
      <c r="AB2924" s="49">
        <f t="shared" si="320"/>
        <v>0</v>
      </c>
      <c r="AC2924" s="60">
        <f t="shared" si="321"/>
        <v>0</v>
      </c>
    </row>
    <row r="2925" spans="1:29">
      <c r="A2925" s="83" t="str">
        <f t="shared" si="315"/>
        <v/>
      </c>
      <c r="B2925" s="83" t="str">
        <f t="shared" si="316"/>
        <v/>
      </c>
      <c r="U2925" s="83" t="str">
        <f t="shared" si="317"/>
        <v/>
      </c>
      <c r="V2925" s="83" t="str">
        <f t="shared" si="318"/>
        <v/>
      </c>
      <c r="AA2925" s="60">
        <f t="shared" si="319"/>
        <v>0</v>
      </c>
      <c r="AB2925" s="49">
        <f t="shared" si="320"/>
        <v>0</v>
      </c>
      <c r="AC2925" s="60">
        <f t="shared" si="321"/>
        <v>0</v>
      </c>
    </row>
    <row r="2926" spans="1:29">
      <c r="A2926" s="83" t="str">
        <f t="shared" si="315"/>
        <v/>
      </c>
      <c r="B2926" s="83" t="str">
        <f t="shared" si="316"/>
        <v/>
      </c>
      <c r="U2926" s="83" t="str">
        <f t="shared" si="317"/>
        <v/>
      </c>
      <c r="V2926" s="83" t="str">
        <f t="shared" si="318"/>
        <v/>
      </c>
      <c r="AA2926" s="60">
        <f t="shared" si="319"/>
        <v>0</v>
      </c>
      <c r="AB2926" s="49">
        <f t="shared" si="320"/>
        <v>0</v>
      </c>
      <c r="AC2926" s="60">
        <f t="shared" si="321"/>
        <v>0</v>
      </c>
    </row>
    <row r="2927" spans="1:29">
      <c r="A2927" s="83" t="str">
        <f t="shared" si="315"/>
        <v/>
      </c>
      <c r="B2927" s="83" t="str">
        <f t="shared" si="316"/>
        <v/>
      </c>
      <c r="U2927" s="83" t="str">
        <f t="shared" si="317"/>
        <v/>
      </c>
      <c r="V2927" s="83" t="str">
        <f t="shared" si="318"/>
        <v/>
      </c>
      <c r="AA2927" s="60">
        <f t="shared" si="319"/>
        <v>0</v>
      </c>
      <c r="AB2927" s="49">
        <f t="shared" si="320"/>
        <v>0</v>
      </c>
      <c r="AC2927" s="60">
        <f t="shared" si="321"/>
        <v>0</v>
      </c>
    </row>
    <row r="2928" spans="1:29">
      <c r="A2928" s="83" t="str">
        <f t="shared" si="315"/>
        <v/>
      </c>
      <c r="B2928" s="83" t="str">
        <f t="shared" si="316"/>
        <v/>
      </c>
      <c r="U2928" s="83" t="str">
        <f t="shared" si="317"/>
        <v/>
      </c>
      <c r="V2928" s="83" t="str">
        <f t="shared" si="318"/>
        <v/>
      </c>
      <c r="AA2928" s="60">
        <f t="shared" si="319"/>
        <v>0</v>
      </c>
      <c r="AB2928" s="49">
        <f t="shared" si="320"/>
        <v>0</v>
      </c>
      <c r="AC2928" s="60">
        <f t="shared" si="321"/>
        <v>0</v>
      </c>
    </row>
    <row r="2929" spans="1:29">
      <c r="A2929" s="83" t="str">
        <f t="shared" si="315"/>
        <v/>
      </c>
      <c r="B2929" s="83" t="str">
        <f t="shared" si="316"/>
        <v/>
      </c>
      <c r="U2929" s="83" t="str">
        <f t="shared" si="317"/>
        <v/>
      </c>
      <c r="V2929" s="83" t="str">
        <f t="shared" si="318"/>
        <v/>
      </c>
      <c r="AA2929" s="60">
        <f t="shared" si="319"/>
        <v>0</v>
      </c>
      <c r="AB2929" s="49">
        <f t="shared" si="320"/>
        <v>0</v>
      </c>
      <c r="AC2929" s="60">
        <f t="shared" si="321"/>
        <v>0</v>
      </c>
    </row>
    <row r="2930" spans="1:29">
      <c r="A2930" s="83" t="str">
        <f t="shared" si="315"/>
        <v/>
      </c>
      <c r="B2930" s="83" t="str">
        <f t="shared" si="316"/>
        <v/>
      </c>
      <c r="U2930" s="83" t="str">
        <f t="shared" si="317"/>
        <v/>
      </c>
      <c r="V2930" s="83" t="str">
        <f t="shared" si="318"/>
        <v/>
      </c>
      <c r="AA2930" s="60">
        <f t="shared" si="319"/>
        <v>0</v>
      </c>
      <c r="AB2930" s="49">
        <f t="shared" si="320"/>
        <v>0</v>
      </c>
      <c r="AC2930" s="60">
        <f t="shared" si="321"/>
        <v>0</v>
      </c>
    </row>
    <row r="2931" spans="1:29">
      <c r="A2931" s="83" t="str">
        <f t="shared" si="315"/>
        <v/>
      </c>
      <c r="B2931" s="83" t="str">
        <f t="shared" si="316"/>
        <v/>
      </c>
      <c r="U2931" s="83" t="str">
        <f t="shared" si="317"/>
        <v/>
      </c>
      <c r="V2931" s="83" t="str">
        <f t="shared" si="318"/>
        <v/>
      </c>
      <c r="AA2931" s="60">
        <f t="shared" si="319"/>
        <v>0</v>
      </c>
      <c r="AB2931" s="49">
        <f t="shared" si="320"/>
        <v>0</v>
      </c>
      <c r="AC2931" s="60">
        <f t="shared" si="321"/>
        <v>0</v>
      </c>
    </row>
    <row r="2932" spans="1:29">
      <c r="A2932" s="83" t="str">
        <f t="shared" si="315"/>
        <v/>
      </c>
      <c r="B2932" s="83" t="str">
        <f t="shared" si="316"/>
        <v/>
      </c>
      <c r="U2932" s="83" t="str">
        <f t="shared" si="317"/>
        <v/>
      </c>
      <c r="V2932" s="83" t="str">
        <f t="shared" si="318"/>
        <v/>
      </c>
      <c r="AA2932" s="60">
        <f t="shared" si="319"/>
        <v>0</v>
      </c>
      <c r="AB2932" s="49">
        <f t="shared" si="320"/>
        <v>0</v>
      </c>
      <c r="AC2932" s="60">
        <f t="shared" si="321"/>
        <v>0</v>
      </c>
    </row>
    <row r="2933" spans="1:29">
      <c r="A2933" s="83" t="str">
        <f t="shared" si="315"/>
        <v/>
      </c>
      <c r="B2933" s="83" t="str">
        <f t="shared" si="316"/>
        <v/>
      </c>
      <c r="U2933" s="83" t="str">
        <f t="shared" si="317"/>
        <v/>
      </c>
      <c r="V2933" s="83" t="str">
        <f t="shared" si="318"/>
        <v/>
      </c>
      <c r="AA2933" s="60">
        <f t="shared" si="319"/>
        <v>0</v>
      </c>
      <c r="AB2933" s="49">
        <f t="shared" si="320"/>
        <v>0</v>
      </c>
      <c r="AC2933" s="60">
        <f t="shared" si="321"/>
        <v>0</v>
      </c>
    </row>
    <row r="2934" spans="1:29">
      <c r="A2934" s="83" t="str">
        <f t="shared" si="315"/>
        <v/>
      </c>
      <c r="B2934" s="83" t="str">
        <f t="shared" si="316"/>
        <v/>
      </c>
      <c r="U2934" s="83" t="str">
        <f t="shared" si="317"/>
        <v/>
      </c>
      <c r="V2934" s="83" t="str">
        <f t="shared" si="318"/>
        <v/>
      </c>
      <c r="AA2934" s="60">
        <f t="shared" si="319"/>
        <v>0</v>
      </c>
      <c r="AB2934" s="49">
        <f t="shared" si="320"/>
        <v>0</v>
      </c>
      <c r="AC2934" s="60">
        <f t="shared" si="321"/>
        <v>0</v>
      </c>
    </row>
    <row r="2935" spans="1:29">
      <c r="A2935" s="83" t="str">
        <f t="shared" si="315"/>
        <v/>
      </c>
      <c r="B2935" s="83" t="str">
        <f t="shared" si="316"/>
        <v/>
      </c>
      <c r="U2935" s="83" t="str">
        <f t="shared" si="317"/>
        <v/>
      </c>
      <c r="V2935" s="83" t="str">
        <f t="shared" si="318"/>
        <v/>
      </c>
      <c r="AA2935" s="60">
        <f t="shared" si="319"/>
        <v>0</v>
      </c>
      <c r="AB2935" s="49">
        <f t="shared" si="320"/>
        <v>0</v>
      </c>
      <c r="AC2935" s="60">
        <f t="shared" si="321"/>
        <v>0</v>
      </c>
    </row>
    <row r="2936" spans="1:29">
      <c r="A2936" s="83" t="str">
        <f t="shared" si="315"/>
        <v/>
      </c>
      <c r="B2936" s="83" t="str">
        <f t="shared" si="316"/>
        <v/>
      </c>
      <c r="U2936" s="83" t="str">
        <f t="shared" si="317"/>
        <v/>
      </c>
      <c r="V2936" s="83" t="str">
        <f t="shared" si="318"/>
        <v/>
      </c>
      <c r="AA2936" s="60">
        <f t="shared" si="319"/>
        <v>0</v>
      </c>
      <c r="AB2936" s="49">
        <f t="shared" si="320"/>
        <v>0</v>
      </c>
      <c r="AC2936" s="60">
        <f t="shared" si="321"/>
        <v>0</v>
      </c>
    </row>
    <row r="2937" spans="1:29">
      <c r="A2937" s="83" t="str">
        <f t="shared" si="315"/>
        <v/>
      </c>
      <c r="B2937" s="83" t="str">
        <f t="shared" si="316"/>
        <v/>
      </c>
      <c r="U2937" s="83" t="str">
        <f t="shared" si="317"/>
        <v/>
      </c>
      <c r="V2937" s="83" t="str">
        <f t="shared" si="318"/>
        <v/>
      </c>
      <c r="AA2937" s="60">
        <f t="shared" si="319"/>
        <v>0</v>
      </c>
      <c r="AB2937" s="49">
        <f t="shared" si="320"/>
        <v>0</v>
      </c>
      <c r="AC2937" s="60">
        <f t="shared" si="321"/>
        <v>0</v>
      </c>
    </row>
    <row r="2938" spans="1:29">
      <c r="A2938" s="83" t="str">
        <f t="shared" si="315"/>
        <v/>
      </c>
      <c r="B2938" s="83" t="str">
        <f t="shared" si="316"/>
        <v/>
      </c>
      <c r="U2938" s="83" t="str">
        <f t="shared" si="317"/>
        <v/>
      </c>
      <c r="V2938" s="83" t="str">
        <f t="shared" si="318"/>
        <v/>
      </c>
      <c r="AA2938" s="60">
        <f t="shared" si="319"/>
        <v>0</v>
      </c>
      <c r="AB2938" s="49">
        <f t="shared" si="320"/>
        <v>0</v>
      </c>
      <c r="AC2938" s="60">
        <f t="shared" si="321"/>
        <v>0</v>
      </c>
    </row>
    <row r="2939" spans="1:29">
      <c r="A2939" s="83" t="str">
        <f t="shared" si="315"/>
        <v/>
      </c>
      <c r="B2939" s="83" t="str">
        <f t="shared" si="316"/>
        <v/>
      </c>
      <c r="U2939" s="83" t="str">
        <f t="shared" si="317"/>
        <v/>
      </c>
      <c r="V2939" s="83" t="str">
        <f t="shared" si="318"/>
        <v/>
      </c>
      <c r="AA2939" s="60">
        <f t="shared" si="319"/>
        <v>0</v>
      </c>
      <c r="AB2939" s="49">
        <f t="shared" si="320"/>
        <v>0</v>
      </c>
      <c r="AC2939" s="60">
        <f t="shared" si="321"/>
        <v>0</v>
      </c>
    </row>
    <row r="2940" spans="1:29">
      <c r="A2940" s="83" t="str">
        <f t="shared" si="315"/>
        <v/>
      </c>
      <c r="B2940" s="83" t="str">
        <f t="shared" si="316"/>
        <v/>
      </c>
      <c r="U2940" s="83" t="str">
        <f t="shared" si="317"/>
        <v/>
      </c>
      <c r="V2940" s="83" t="str">
        <f t="shared" si="318"/>
        <v/>
      </c>
      <c r="AA2940" s="60">
        <f t="shared" si="319"/>
        <v>0</v>
      </c>
      <c r="AB2940" s="49">
        <f t="shared" si="320"/>
        <v>0</v>
      </c>
      <c r="AC2940" s="60">
        <f t="shared" si="321"/>
        <v>0</v>
      </c>
    </row>
    <row r="2941" spans="1:29">
      <c r="A2941" s="83" t="str">
        <f t="shared" si="315"/>
        <v/>
      </c>
      <c r="B2941" s="83" t="str">
        <f t="shared" si="316"/>
        <v/>
      </c>
      <c r="U2941" s="83" t="str">
        <f t="shared" si="317"/>
        <v/>
      </c>
      <c r="V2941" s="83" t="str">
        <f t="shared" si="318"/>
        <v/>
      </c>
      <c r="AA2941" s="60">
        <f t="shared" si="319"/>
        <v>0</v>
      </c>
      <c r="AB2941" s="49">
        <f t="shared" si="320"/>
        <v>0</v>
      </c>
      <c r="AC2941" s="60">
        <f t="shared" si="321"/>
        <v>0</v>
      </c>
    </row>
    <row r="2942" spans="1:29">
      <c r="A2942" s="83" t="str">
        <f t="shared" si="315"/>
        <v/>
      </c>
      <c r="B2942" s="83" t="str">
        <f t="shared" si="316"/>
        <v/>
      </c>
      <c r="U2942" s="83" t="str">
        <f t="shared" si="317"/>
        <v/>
      </c>
      <c r="V2942" s="83" t="str">
        <f t="shared" si="318"/>
        <v/>
      </c>
      <c r="AA2942" s="60">
        <f t="shared" si="319"/>
        <v>0</v>
      </c>
      <c r="AB2942" s="49">
        <f t="shared" si="320"/>
        <v>0</v>
      </c>
      <c r="AC2942" s="60">
        <f t="shared" si="321"/>
        <v>0</v>
      </c>
    </row>
    <row r="2943" spans="1:29">
      <c r="A2943" s="83" t="str">
        <f t="shared" si="315"/>
        <v/>
      </c>
      <c r="B2943" s="83" t="str">
        <f t="shared" si="316"/>
        <v/>
      </c>
      <c r="U2943" s="83" t="str">
        <f t="shared" si="317"/>
        <v/>
      </c>
      <c r="V2943" s="83" t="str">
        <f t="shared" si="318"/>
        <v/>
      </c>
      <c r="AA2943" s="60">
        <f t="shared" si="319"/>
        <v>0</v>
      </c>
      <c r="AB2943" s="49">
        <f t="shared" si="320"/>
        <v>0</v>
      </c>
      <c r="AC2943" s="60">
        <f t="shared" si="321"/>
        <v>0</v>
      </c>
    </row>
    <row r="2944" spans="1:29">
      <c r="A2944" s="83" t="str">
        <f t="shared" si="315"/>
        <v/>
      </c>
      <c r="B2944" s="83" t="str">
        <f t="shared" si="316"/>
        <v/>
      </c>
      <c r="U2944" s="83" t="str">
        <f t="shared" si="317"/>
        <v/>
      </c>
      <c r="V2944" s="83" t="str">
        <f t="shared" si="318"/>
        <v/>
      </c>
      <c r="AA2944" s="60">
        <f t="shared" si="319"/>
        <v>0</v>
      </c>
      <c r="AB2944" s="49">
        <f t="shared" si="320"/>
        <v>0</v>
      </c>
      <c r="AC2944" s="60">
        <f t="shared" si="321"/>
        <v>0</v>
      </c>
    </row>
    <row r="2945" spans="1:29">
      <c r="A2945" s="83" t="str">
        <f t="shared" si="315"/>
        <v/>
      </c>
      <c r="B2945" s="83" t="str">
        <f t="shared" si="316"/>
        <v/>
      </c>
      <c r="U2945" s="83" t="str">
        <f t="shared" si="317"/>
        <v/>
      </c>
      <c r="V2945" s="83" t="str">
        <f t="shared" si="318"/>
        <v/>
      </c>
      <c r="AA2945" s="60">
        <f t="shared" si="319"/>
        <v>0</v>
      </c>
      <c r="AB2945" s="49">
        <f t="shared" si="320"/>
        <v>0</v>
      </c>
      <c r="AC2945" s="60">
        <f t="shared" si="321"/>
        <v>0</v>
      </c>
    </row>
    <row r="2946" spans="1:29">
      <c r="A2946" s="83" t="str">
        <f t="shared" si="315"/>
        <v/>
      </c>
      <c r="B2946" s="83" t="str">
        <f t="shared" si="316"/>
        <v/>
      </c>
      <c r="U2946" s="83" t="str">
        <f t="shared" si="317"/>
        <v/>
      </c>
      <c r="V2946" s="83" t="str">
        <f t="shared" si="318"/>
        <v/>
      </c>
      <c r="AA2946" s="60">
        <f t="shared" si="319"/>
        <v>0</v>
      </c>
      <c r="AB2946" s="49">
        <f t="shared" si="320"/>
        <v>0</v>
      </c>
      <c r="AC2946" s="60">
        <f t="shared" si="321"/>
        <v>0</v>
      </c>
    </row>
    <row r="2947" spans="1:29">
      <c r="A2947" s="83" t="str">
        <f t="shared" ref="A2947:A3010" si="322">IF(G2947&amp;Q2947&lt;&gt;"",U2947&amp;Q2947,"")</f>
        <v/>
      </c>
      <c r="B2947" s="83" t="str">
        <f t="shared" ref="B2947:B3010" si="323">IF(C2947&lt;&gt;"",LEFT(C2947,9),"")</f>
        <v/>
      </c>
      <c r="U2947" s="83" t="str">
        <f t="shared" ref="U2947:U3010" si="324">IF(G2947&lt;&gt;"",IF(StyleSpaceSplit,IFERROR(IF(FIND(" ",G2947)&gt;=1,MID(G2947,1,FIND(" ",G2947)-1),G2947),G2947),G2947),"")</f>
        <v/>
      </c>
      <c r="V2947" s="83" t="str">
        <f t="shared" ref="V2947:V3010" si="325">IF(A2947&lt;&gt;"",IFERROR(IF(FIND(" ",G2947)&gt;=1,MID(G2947,FIND(" ",G2947)+1,LEN(G2947)),""),G2947),"")</f>
        <v/>
      </c>
      <c r="AA2947" s="60">
        <f t="shared" ref="AA2947:AA3010" si="326">IFERROR(VALUE(MID($C2947,1,2)),0)</f>
        <v>0</v>
      </c>
      <c r="AB2947" s="49">
        <f t="shared" ref="AB2947:AB3010" si="327">IFERROR(VALUE(MID($C2947,4,3)),0)</f>
        <v>0</v>
      </c>
      <c r="AC2947" s="60">
        <f t="shared" ref="AC2947:AC3010" si="328">VALUE(RIGHT("00"&amp;AA2947,2)&amp;RIGHT("000"&amp;AB2947,3))</f>
        <v>0</v>
      </c>
    </row>
    <row r="2948" spans="1:29">
      <c r="A2948" s="83" t="str">
        <f t="shared" si="322"/>
        <v/>
      </c>
      <c r="B2948" s="83" t="str">
        <f t="shared" si="323"/>
        <v/>
      </c>
      <c r="U2948" s="83" t="str">
        <f t="shared" si="324"/>
        <v/>
      </c>
      <c r="V2948" s="83" t="str">
        <f t="shared" si="325"/>
        <v/>
      </c>
      <c r="AA2948" s="60">
        <f t="shared" si="326"/>
        <v>0</v>
      </c>
      <c r="AB2948" s="49">
        <f t="shared" si="327"/>
        <v>0</v>
      </c>
      <c r="AC2948" s="60">
        <f t="shared" si="328"/>
        <v>0</v>
      </c>
    </row>
    <row r="2949" spans="1:29">
      <c r="A2949" s="83" t="str">
        <f t="shared" si="322"/>
        <v/>
      </c>
      <c r="B2949" s="83" t="str">
        <f t="shared" si="323"/>
        <v/>
      </c>
      <c r="U2949" s="83" t="str">
        <f t="shared" si="324"/>
        <v/>
      </c>
      <c r="V2949" s="83" t="str">
        <f t="shared" si="325"/>
        <v/>
      </c>
      <c r="AA2949" s="60">
        <f t="shared" si="326"/>
        <v>0</v>
      </c>
      <c r="AB2949" s="49">
        <f t="shared" si="327"/>
        <v>0</v>
      </c>
      <c r="AC2949" s="60">
        <f t="shared" si="328"/>
        <v>0</v>
      </c>
    </row>
    <row r="2950" spans="1:29">
      <c r="A2950" s="83" t="str">
        <f t="shared" si="322"/>
        <v/>
      </c>
      <c r="B2950" s="83" t="str">
        <f t="shared" si="323"/>
        <v/>
      </c>
      <c r="U2950" s="83" t="str">
        <f t="shared" si="324"/>
        <v/>
      </c>
      <c r="V2950" s="83" t="str">
        <f t="shared" si="325"/>
        <v/>
      </c>
      <c r="AA2950" s="60">
        <f t="shared" si="326"/>
        <v>0</v>
      </c>
      <c r="AB2950" s="49">
        <f t="shared" si="327"/>
        <v>0</v>
      </c>
      <c r="AC2950" s="60">
        <f t="shared" si="328"/>
        <v>0</v>
      </c>
    </row>
    <row r="2951" spans="1:29">
      <c r="A2951" s="83" t="str">
        <f t="shared" si="322"/>
        <v/>
      </c>
      <c r="B2951" s="83" t="str">
        <f t="shared" si="323"/>
        <v/>
      </c>
      <c r="U2951" s="83" t="str">
        <f t="shared" si="324"/>
        <v/>
      </c>
      <c r="V2951" s="83" t="str">
        <f t="shared" si="325"/>
        <v/>
      </c>
      <c r="AA2951" s="60">
        <f t="shared" si="326"/>
        <v>0</v>
      </c>
      <c r="AB2951" s="49">
        <f t="shared" si="327"/>
        <v>0</v>
      </c>
      <c r="AC2951" s="60">
        <f t="shared" si="328"/>
        <v>0</v>
      </c>
    </row>
    <row r="2952" spans="1:29">
      <c r="A2952" s="83" t="str">
        <f t="shared" si="322"/>
        <v/>
      </c>
      <c r="B2952" s="83" t="str">
        <f t="shared" si="323"/>
        <v/>
      </c>
      <c r="U2952" s="83" t="str">
        <f t="shared" si="324"/>
        <v/>
      </c>
      <c r="V2952" s="83" t="str">
        <f t="shared" si="325"/>
        <v/>
      </c>
      <c r="AA2952" s="60">
        <f t="shared" si="326"/>
        <v>0</v>
      </c>
      <c r="AB2952" s="49">
        <f t="shared" si="327"/>
        <v>0</v>
      </c>
      <c r="AC2952" s="60">
        <f t="shared" si="328"/>
        <v>0</v>
      </c>
    </row>
    <row r="2953" spans="1:29">
      <c r="A2953" s="83" t="str">
        <f t="shared" si="322"/>
        <v/>
      </c>
      <c r="B2953" s="83" t="str">
        <f t="shared" si="323"/>
        <v/>
      </c>
      <c r="U2953" s="83" t="str">
        <f t="shared" si="324"/>
        <v/>
      </c>
      <c r="V2953" s="83" t="str">
        <f t="shared" si="325"/>
        <v/>
      </c>
      <c r="AA2953" s="60">
        <f t="shared" si="326"/>
        <v>0</v>
      </c>
      <c r="AB2953" s="49">
        <f t="shared" si="327"/>
        <v>0</v>
      </c>
      <c r="AC2953" s="60">
        <f t="shared" si="328"/>
        <v>0</v>
      </c>
    </row>
    <row r="2954" spans="1:29">
      <c r="A2954" s="83" t="str">
        <f t="shared" si="322"/>
        <v/>
      </c>
      <c r="B2954" s="83" t="str">
        <f t="shared" si="323"/>
        <v/>
      </c>
      <c r="U2954" s="83" t="str">
        <f t="shared" si="324"/>
        <v/>
      </c>
      <c r="V2954" s="83" t="str">
        <f t="shared" si="325"/>
        <v/>
      </c>
      <c r="AA2954" s="60">
        <f t="shared" si="326"/>
        <v>0</v>
      </c>
      <c r="AB2954" s="49">
        <f t="shared" si="327"/>
        <v>0</v>
      </c>
      <c r="AC2954" s="60">
        <f t="shared" si="328"/>
        <v>0</v>
      </c>
    </row>
    <row r="2955" spans="1:29">
      <c r="A2955" s="83" t="str">
        <f t="shared" si="322"/>
        <v/>
      </c>
      <c r="B2955" s="83" t="str">
        <f t="shared" si="323"/>
        <v/>
      </c>
      <c r="U2955" s="83" t="str">
        <f t="shared" si="324"/>
        <v/>
      </c>
      <c r="V2955" s="83" t="str">
        <f t="shared" si="325"/>
        <v/>
      </c>
      <c r="AA2955" s="60">
        <f t="shared" si="326"/>
        <v>0</v>
      </c>
      <c r="AB2955" s="49">
        <f t="shared" si="327"/>
        <v>0</v>
      </c>
      <c r="AC2955" s="60">
        <f t="shared" si="328"/>
        <v>0</v>
      </c>
    </row>
    <row r="2956" spans="1:29">
      <c r="A2956" s="83" t="str">
        <f t="shared" si="322"/>
        <v/>
      </c>
      <c r="B2956" s="83" t="str">
        <f t="shared" si="323"/>
        <v/>
      </c>
      <c r="U2956" s="83" t="str">
        <f t="shared" si="324"/>
        <v/>
      </c>
      <c r="V2956" s="83" t="str">
        <f t="shared" si="325"/>
        <v/>
      </c>
      <c r="AA2956" s="60">
        <f t="shared" si="326"/>
        <v>0</v>
      </c>
      <c r="AB2956" s="49">
        <f t="shared" si="327"/>
        <v>0</v>
      </c>
      <c r="AC2956" s="60">
        <f t="shared" si="328"/>
        <v>0</v>
      </c>
    </row>
    <row r="2957" spans="1:29">
      <c r="A2957" s="83" t="str">
        <f t="shared" si="322"/>
        <v/>
      </c>
      <c r="B2957" s="83" t="str">
        <f t="shared" si="323"/>
        <v/>
      </c>
      <c r="U2957" s="83" t="str">
        <f t="shared" si="324"/>
        <v/>
      </c>
      <c r="V2957" s="83" t="str">
        <f t="shared" si="325"/>
        <v/>
      </c>
      <c r="AA2957" s="60">
        <f t="shared" si="326"/>
        <v>0</v>
      </c>
      <c r="AB2957" s="49">
        <f t="shared" si="327"/>
        <v>0</v>
      </c>
      <c r="AC2957" s="60">
        <f t="shared" si="328"/>
        <v>0</v>
      </c>
    </row>
    <row r="2958" spans="1:29">
      <c r="A2958" s="83" t="str">
        <f t="shared" si="322"/>
        <v/>
      </c>
      <c r="B2958" s="83" t="str">
        <f t="shared" si="323"/>
        <v/>
      </c>
      <c r="U2958" s="83" t="str">
        <f t="shared" si="324"/>
        <v/>
      </c>
      <c r="V2958" s="83" t="str">
        <f t="shared" si="325"/>
        <v/>
      </c>
      <c r="AA2958" s="60">
        <f t="shared" si="326"/>
        <v>0</v>
      </c>
      <c r="AB2958" s="49">
        <f t="shared" si="327"/>
        <v>0</v>
      </c>
      <c r="AC2958" s="60">
        <f t="shared" si="328"/>
        <v>0</v>
      </c>
    </row>
    <row r="2959" spans="1:29">
      <c r="A2959" s="83" t="str">
        <f t="shared" si="322"/>
        <v/>
      </c>
      <c r="B2959" s="83" t="str">
        <f t="shared" si="323"/>
        <v/>
      </c>
      <c r="U2959" s="83" t="str">
        <f t="shared" si="324"/>
        <v/>
      </c>
      <c r="V2959" s="83" t="str">
        <f t="shared" si="325"/>
        <v/>
      </c>
      <c r="AA2959" s="60">
        <f t="shared" si="326"/>
        <v>0</v>
      </c>
      <c r="AB2959" s="49">
        <f t="shared" si="327"/>
        <v>0</v>
      </c>
      <c r="AC2959" s="60">
        <f t="shared" si="328"/>
        <v>0</v>
      </c>
    </row>
    <row r="2960" spans="1:29">
      <c r="A2960" s="83" t="str">
        <f t="shared" si="322"/>
        <v/>
      </c>
      <c r="B2960" s="83" t="str">
        <f t="shared" si="323"/>
        <v/>
      </c>
      <c r="U2960" s="83" t="str">
        <f t="shared" si="324"/>
        <v/>
      </c>
      <c r="V2960" s="83" t="str">
        <f t="shared" si="325"/>
        <v/>
      </c>
      <c r="AA2960" s="60">
        <f t="shared" si="326"/>
        <v>0</v>
      </c>
      <c r="AB2960" s="49">
        <f t="shared" si="327"/>
        <v>0</v>
      </c>
      <c r="AC2960" s="60">
        <f t="shared" si="328"/>
        <v>0</v>
      </c>
    </row>
    <row r="2961" spans="1:29">
      <c r="A2961" s="83" t="str">
        <f t="shared" si="322"/>
        <v/>
      </c>
      <c r="B2961" s="83" t="str">
        <f t="shared" si="323"/>
        <v/>
      </c>
      <c r="U2961" s="83" t="str">
        <f t="shared" si="324"/>
        <v/>
      </c>
      <c r="V2961" s="83" t="str">
        <f t="shared" si="325"/>
        <v/>
      </c>
      <c r="AA2961" s="60">
        <f t="shared" si="326"/>
        <v>0</v>
      </c>
      <c r="AB2961" s="49">
        <f t="shared" si="327"/>
        <v>0</v>
      </c>
      <c r="AC2961" s="60">
        <f t="shared" si="328"/>
        <v>0</v>
      </c>
    </row>
    <row r="2962" spans="1:29">
      <c r="A2962" s="83" t="str">
        <f t="shared" si="322"/>
        <v/>
      </c>
      <c r="B2962" s="83" t="str">
        <f t="shared" si="323"/>
        <v/>
      </c>
      <c r="U2962" s="83" t="str">
        <f t="shared" si="324"/>
        <v/>
      </c>
      <c r="V2962" s="83" t="str">
        <f t="shared" si="325"/>
        <v/>
      </c>
      <c r="AA2962" s="60">
        <f t="shared" si="326"/>
        <v>0</v>
      </c>
      <c r="AB2962" s="49">
        <f t="shared" si="327"/>
        <v>0</v>
      </c>
      <c r="AC2962" s="60">
        <f t="shared" si="328"/>
        <v>0</v>
      </c>
    </row>
    <row r="2963" spans="1:29">
      <c r="A2963" s="83" t="str">
        <f t="shared" si="322"/>
        <v/>
      </c>
      <c r="B2963" s="83" t="str">
        <f t="shared" si="323"/>
        <v/>
      </c>
      <c r="U2963" s="83" t="str">
        <f t="shared" si="324"/>
        <v/>
      </c>
      <c r="V2963" s="83" t="str">
        <f t="shared" si="325"/>
        <v/>
      </c>
      <c r="AA2963" s="60">
        <f t="shared" si="326"/>
        <v>0</v>
      </c>
      <c r="AB2963" s="49">
        <f t="shared" si="327"/>
        <v>0</v>
      </c>
      <c r="AC2963" s="60">
        <f t="shared" si="328"/>
        <v>0</v>
      </c>
    </row>
    <row r="2964" spans="1:29">
      <c r="A2964" s="83" t="str">
        <f t="shared" si="322"/>
        <v/>
      </c>
      <c r="B2964" s="83" t="str">
        <f t="shared" si="323"/>
        <v/>
      </c>
      <c r="U2964" s="83" t="str">
        <f t="shared" si="324"/>
        <v/>
      </c>
      <c r="V2964" s="83" t="str">
        <f t="shared" si="325"/>
        <v/>
      </c>
      <c r="AA2964" s="60">
        <f t="shared" si="326"/>
        <v>0</v>
      </c>
      <c r="AB2964" s="49">
        <f t="shared" si="327"/>
        <v>0</v>
      </c>
      <c r="AC2964" s="60">
        <f t="shared" si="328"/>
        <v>0</v>
      </c>
    </row>
    <row r="2965" spans="1:29">
      <c r="A2965" s="83" t="str">
        <f t="shared" si="322"/>
        <v/>
      </c>
      <c r="B2965" s="83" t="str">
        <f t="shared" si="323"/>
        <v/>
      </c>
      <c r="U2965" s="83" t="str">
        <f t="shared" si="324"/>
        <v/>
      </c>
      <c r="V2965" s="83" t="str">
        <f t="shared" si="325"/>
        <v/>
      </c>
      <c r="AA2965" s="60">
        <f t="shared" si="326"/>
        <v>0</v>
      </c>
      <c r="AB2965" s="49">
        <f t="shared" si="327"/>
        <v>0</v>
      </c>
      <c r="AC2965" s="60">
        <f t="shared" si="328"/>
        <v>0</v>
      </c>
    </row>
    <row r="2966" spans="1:29">
      <c r="A2966" s="83" t="str">
        <f t="shared" si="322"/>
        <v/>
      </c>
      <c r="B2966" s="83" t="str">
        <f t="shared" si="323"/>
        <v/>
      </c>
      <c r="U2966" s="83" t="str">
        <f t="shared" si="324"/>
        <v/>
      </c>
      <c r="V2966" s="83" t="str">
        <f t="shared" si="325"/>
        <v/>
      </c>
      <c r="AA2966" s="60">
        <f t="shared" si="326"/>
        <v>0</v>
      </c>
      <c r="AB2966" s="49">
        <f t="shared" si="327"/>
        <v>0</v>
      </c>
      <c r="AC2966" s="60">
        <f t="shared" si="328"/>
        <v>0</v>
      </c>
    </row>
    <row r="2967" spans="1:29">
      <c r="A2967" s="83" t="str">
        <f t="shared" si="322"/>
        <v/>
      </c>
      <c r="B2967" s="83" t="str">
        <f t="shared" si="323"/>
        <v/>
      </c>
      <c r="U2967" s="83" t="str">
        <f t="shared" si="324"/>
        <v/>
      </c>
      <c r="V2967" s="83" t="str">
        <f t="shared" si="325"/>
        <v/>
      </c>
      <c r="AA2967" s="60">
        <f t="shared" si="326"/>
        <v>0</v>
      </c>
      <c r="AB2967" s="49">
        <f t="shared" si="327"/>
        <v>0</v>
      </c>
      <c r="AC2967" s="60">
        <f t="shared" si="328"/>
        <v>0</v>
      </c>
    </row>
    <row r="2968" spans="1:29">
      <c r="A2968" s="83" t="str">
        <f t="shared" si="322"/>
        <v/>
      </c>
      <c r="B2968" s="83" t="str">
        <f t="shared" si="323"/>
        <v/>
      </c>
      <c r="U2968" s="83" t="str">
        <f t="shared" si="324"/>
        <v/>
      </c>
      <c r="V2968" s="83" t="str">
        <f t="shared" si="325"/>
        <v/>
      </c>
      <c r="AA2968" s="60">
        <f t="shared" si="326"/>
        <v>0</v>
      </c>
      <c r="AB2968" s="49">
        <f t="shared" si="327"/>
        <v>0</v>
      </c>
      <c r="AC2968" s="60">
        <f t="shared" si="328"/>
        <v>0</v>
      </c>
    </row>
    <row r="2969" spans="1:29">
      <c r="A2969" s="83" t="str">
        <f t="shared" si="322"/>
        <v/>
      </c>
      <c r="B2969" s="83" t="str">
        <f t="shared" si="323"/>
        <v/>
      </c>
      <c r="U2969" s="83" t="str">
        <f t="shared" si="324"/>
        <v/>
      </c>
      <c r="V2969" s="83" t="str">
        <f t="shared" si="325"/>
        <v/>
      </c>
      <c r="AA2969" s="60">
        <f t="shared" si="326"/>
        <v>0</v>
      </c>
      <c r="AB2969" s="49">
        <f t="shared" si="327"/>
        <v>0</v>
      </c>
      <c r="AC2969" s="60">
        <f t="shared" si="328"/>
        <v>0</v>
      </c>
    </row>
    <row r="2970" spans="1:29">
      <c r="A2970" s="83" t="str">
        <f t="shared" si="322"/>
        <v/>
      </c>
      <c r="B2970" s="83" t="str">
        <f t="shared" si="323"/>
        <v/>
      </c>
      <c r="U2970" s="83" t="str">
        <f t="shared" si="324"/>
        <v/>
      </c>
      <c r="V2970" s="83" t="str">
        <f t="shared" si="325"/>
        <v/>
      </c>
      <c r="AA2970" s="60">
        <f t="shared" si="326"/>
        <v>0</v>
      </c>
      <c r="AB2970" s="49">
        <f t="shared" si="327"/>
        <v>0</v>
      </c>
      <c r="AC2970" s="60">
        <f t="shared" si="328"/>
        <v>0</v>
      </c>
    </row>
    <row r="2971" spans="1:29">
      <c r="A2971" s="83" t="str">
        <f t="shared" si="322"/>
        <v/>
      </c>
      <c r="B2971" s="83" t="str">
        <f t="shared" si="323"/>
        <v/>
      </c>
      <c r="U2971" s="83" t="str">
        <f t="shared" si="324"/>
        <v/>
      </c>
      <c r="V2971" s="83" t="str">
        <f t="shared" si="325"/>
        <v/>
      </c>
      <c r="AA2971" s="60">
        <f t="shared" si="326"/>
        <v>0</v>
      </c>
      <c r="AB2971" s="49">
        <f t="shared" si="327"/>
        <v>0</v>
      </c>
      <c r="AC2971" s="60">
        <f t="shared" si="328"/>
        <v>0</v>
      </c>
    </row>
    <row r="2972" spans="1:29">
      <c r="A2972" s="83" t="str">
        <f t="shared" si="322"/>
        <v/>
      </c>
      <c r="B2972" s="83" t="str">
        <f t="shared" si="323"/>
        <v/>
      </c>
      <c r="U2972" s="83" t="str">
        <f t="shared" si="324"/>
        <v/>
      </c>
      <c r="V2972" s="83" t="str">
        <f t="shared" si="325"/>
        <v/>
      </c>
      <c r="AA2972" s="60">
        <f t="shared" si="326"/>
        <v>0</v>
      </c>
      <c r="AB2972" s="49">
        <f t="shared" si="327"/>
        <v>0</v>
      </c>
      <c r="AC2972" s="60">
        <f t="shared" si="328"/>
        <v>0</v>
      </c>
    </row>
    <row r="2973" spans="1:29">
      <c r="A2973" s="83" t="str">
        <f t="shared" si="322"/>
        <v/>
      </c>
      <c r="B2973" s="83" t="str">
        <f t="shared" si="323"/>
        <v/>
      </c>
      <c r="U2973" s="83" t="str">
        <f t="shared" si="324"/>
        <v/>
      </c>
      <c r="V2973" s="83" t="str">
        <f t="shared" si="325"/>
        <v/>
      </c>
      <c r="AA2973" s="60">
        <f t="shared" si="326"/>
        <v>0</v>
      </c>
      <c r="AB2973" s="49">
        <f t="shared" si="327"/>
        <v>0</v>
      </c>
      <c r="AC2973" s="60">
        <f t="shared" si="328"/>
        <v>0</v>
      </c>
    </row>
    <row r="2974" spans="1:29">
      <c r="A2974" s="83" t="str">
        <f t="shared" si="322"/>
        <v/>
      </c>
      <c r="B2974" s="83" t="str">
        <f t="shared" si="323"/>
        <v/>
      </c>
      <c r="U2974" s="83" t="str">
        <f t="shared" si="324"/>
        <v/>
      </c>
      <c r="V2974" s="83" t="str">
        <f t="shared" si="325"/>
        <v/>
      </c>
      <c r="AA2974" s="60">
        <f t="shared" si="326"/>
        <v>0</v>
      </c>
      <c r="AB2974" s="49">
        <f t="shared" si="327"/>
        <v>0</v>
      </c>
      <c r="AC2974" s="60">
        <f t="shared" si="328"/>
        <v>0</v>
      </c>
    </row>
    <row r="2975" spans="1:29">
      <c r="A2975" s="83" t="str">
        <f t="shared" si="322"/>
        <v/>
      </c>
      <c r="B2975" s="83" t="str">
        <f t="shared" si="323"/>
        <v/>
      </c>
      <c r="U2975" s="83" t="str">
        <f t="shared" si="324"/>
        <v/>
      </c>
      <c r="V2975" s="83" t="str">
        <f t="shared" si="325"/>
        <v/>
      </c>
      <c r="AA2975" s="60">
        <f t="shared" si="326"/>
        <v>0</v>
      </c>
      <c r="AB2975" s="49">
        <f t="shared" si="327"/>
        <v>0</v>
      </c>
      <c r="AC2975" s="60">
        <f t="shared" si="328"/>
        <v>0</v>
      </c>
    </row>
    <row r="2976" spans="1:29">
      <c r="A2976" s="83" t="str">
        <f t="shared" si="322"/>
        <v/>
      </c>
      <c r="B2976" s="83" t="str">
        <f t="shared" si="323"/>
        <v/>
      </c>
      <c r="U2976" s="83" t="str">
        <f t="shared" si="324"/>
        <v/>
      </c>
      <c r="V2976" s="83" t="str">
        <f t="shared" si="325"/>
        <v/>
      </c>
      <c r="AA2976" s="60">
        <f t="shared" si="326"/>
        <v>0</v>
      </c>
      <c r="AB2976" s="49">
        <f t="shared" si="327"/>
        <v>0</v>
      </c>
      <c r="AC2976" s="60">
        <f t="shared" si="328"/>
        <v>0</v>
      </c>
    </row>
    <row r="2977" spans="1:29">
      <c r="A2977" s="83" t="str">
        <f t="shared" si="322"/>
        <v/>
      </c>
      <c r="B2977" s="83" t="str">
        <f t="shared" si="323"/>
        <v/>
      </c>
      <c r="U2977" s="83" t="str">
        <f t="shared" si="324"/>
        <v/>
      </c>
      <c r="V2977" s="83" t="str">
        <f t="shared" si="325"/>
        <v/>
      </c>
      <c r="AA2977" s="60">
        <f t="shared" si="326"/>
        <v>0</v>
      </c>
      <c r="AB2977" s="49">
        <f t="shared" si="327"/>
        <v>0</v>
      </c>
      <c r="AC2977" s="60">
        <f t="shared" si="328"/>
        <v>0</v>
      </c>
    </row>
    <row r="2978" spans="1:29">
      <c r="A2978" s="83" t="str">
        <f t="shared" si="322"/>
        <v/>
      </c>
      <c r="B2978" s="83" t="str">
        <f t="shared" si="323"/>
        <v/>
      </c>
      <c r="U2978" s="83" t="str">
        <f t="shared" si="324"/>
        <v/>
      </c>
      <c r="V2978" s="83" t="str">
        <f t="shared" si="325"/>
        <v/>
      </c>
      <c r="AA2978" s="60">
        <f t="shared" si="326"/>
        <v>0</v>
      </c>
      <c r="AB2978" s="49">
        <f t="shared" si="327"/>
        <v>0</v>
      </c>
      <c r="AC2978" s="60">
        <f t="shared" si="328"/>
        <v>0</v>
      </c>
    </row>
    <row r="2979" spans="1:29">
      <c r="A2979" s="83" t="str">
        <f t="shared" si="322"/>
        <v/>
      </c>
      <c r="B2979" s="83" t="str">
        <f t="shared" si="323"/>
        <v/>
      </c>
      <c r="U2979" s="83" t="str">
        <f t="shared" si="324"/>
        <v/>
      </c>
      <c r="V2979" s="83" t="str">
        <f t="shared" si="325"/>
        <v/>
      </c>
      <c r="AA2979" s="60">
        <f t="shared" si="326"/>
        <v>0</v>
      </c>
      <c r="AB2979" s="49">
        <f t="shared" si="327"/>
        <v>0</v>
      </c>
      <c r="AC2979" s="60">
        <f t="shared" si="328"/>
        <v>0</v>
      </c>
    </row>
    <row r="2980" spans="1:29">
      <c r="A2980" s="83" t="str">
        <f t="shared" si="322"/>
        <v/>
      </c>
      <c r="B2980" s="83" t="str">
        <f t="shared" si="323"/>
        <v/>
      </c>
      <c r="U2980" s="83" t="str">
        <f t="shared" si="324"/>
        <v/>
      </c>
      <c r="V2980" s="83" t="str">
        <f t="shared" si="325"/>
        <v/>
      </c>
      <c r="AA2980" s="60">
        <f t="shared" si="326"/>
        <v>0</v>
      </c>
      <c r="AB2980" s="49">
        <f t="shared" si="327"/>
        <v>0</v>
      </c>
      <c r="AC2980" s="60">
        <f t="shared" si="328"/>
        <v>0</v>
      </c>
    </row>
    <row r="2981" spans="1:29">
      <c r="A2981" s="83" t="str">
        <f t="shared" si="322"/>
        <v/>
      </c>
      <c r="B2981" s="83" t="str">
        <f t="shared" si="323"/>
        <v/>
      </c>
      <c r="U2981" s="83" t="str">
        <f t="shared" si="324"/>
        <v/>
      </c>
      <c r="V2981" s="83" t="str">
        <f t="shared" si="325"/>
        <v/>
      </c>
      <c r="AA2981" s="60">
        <f t="shared" si="326"/>
        <v>0</v>
      </c>
      <c r="AB2981" s="49">
        <f t="shared" si="327"/>
        <v>0</v>
      </c>
      <c r="AC2981" s="60">
        <f t="shared" si="328"/>
        <v>0</v>
      </c>
    </row>
    <row r="2982" spans="1:29">
      <c r="A2982" s="83" t="str">
        <f t="shared" si="322"/>
        <v/>
      </c>
      <c r="B2982" s="83" t="str">
        <f t="shared" si="323"/>
        <v/>
      </c>
      <c r="U2982" s="83" t="str">
        <f t="shared" si="324"/>
        <v/>
      </c>
      <c r="V2982" s="83" t="str">
        <f t="shared" si="325"/>
        <v/>
      </c>
      <c r="AA2982" s="60">
        <f t="shared" si="326"/>
        <v>0</v>
      </c>
      <c r="AB2982" s="49">
        <f t="shared" si="327"/>
        <v>0</v>
      </c>
      <c r="AC2982" s="60">
        <f t="shared" si="328"/>
        <v>0</v>
      </c>
    </row>
    <row r="2983" spans="1:29">
      <c r="A2983" s="83" t="str">
        <f t="shared" si="322"/>
        <v/>
      </c>
      <c r="B2983" s="83" t="str">
        <f t="shared" si="323"/>
        <v/>
      </c>
      <c r="U2983" s="83" t="str">
        <f t="shared" si="324"/>
        <v/>
      </c>
      <c r="V2983" s="83" t="str">
        <f t="shared" si="325"/>
        <v/>
      </c>
      <c r="AA2983" s="60">
        <f t="shared" si="326"/>
        <v>0</v>
      </c>
      <c r="AB2983" s="49">
        <f t="shared" si="327"/>
        <v>0</v>
      </c>
      <c r="AC2983" s="60">
        <f t="shared" si="328"/>
        <v>0</v>
      </c>
    </row>
    <row r="2984" spans="1:29">
      <c r="A2984" s="83" t="str">
        <f t="shared" si="322"/>
        <v/>
      </c>
      <c r="B2984" s="83" t="str">
        <f t="shared" si="323"/>
        <v/>
      </c>
      <c r="U2984" s="83" t="str">
        <f t="shared" si="324"/>
        <v/>
      </c>
      <c r="V2984" s="83" t="str">
        <f t="shared" si="325"/>
        <v/>
      </c>
      <c r="AA2984" s="60">
        <f t="shared" si="326"/>
        <v>0</v>
      </c>
      <c r="AB2984" s="49">
        <f t="shared" si="327"/>
        <v>0</v>
      </c>
      <c r="AC2984" s="60">
        <f t="shared" si="328"/>
        <v>0</v>
      </c>
    </row>
    <row r="2985" spans="1:29">
      <c r="A2985" s="83" t="str">
        <f t="shared" si="322"/>
        <v/>
      </c>
      <c r="B2985" s="83" t="str">
        <f t="shared" si="323"/>
        <v/>
      </c>
      <c r="U2985" s="83" t="str">
        <f t="shared" si="324"/>
        <v/>
      </c>
      <c r="V2985" s="83" t="str">
        <f t="shared" si="325"/>
        <v/>
      </c>
      <c r="AA2985" s="60">
        <f t="shared" si="326"/>
        <v>0</v>
      </c>
      <c r="AB2985" s="49">
        <f t="shared" si="327"/>
        <v>0</v>
      </c>
      <c r="AC2985" s="60">
        <f t="shared" si="328"/>
        <v>0</v>
      </c>
    </row>
    <row r="2986" spans="1:29">
      <c r="A2986" s="83" t="str">
        <f t="shared" si="322"/>
        <v/>
      </c>
      <c r="B2986" s="83" t="str">
        <f t="shared" si="323"/>
        <v/>
      </c>
      <c r="U2986" s="83" t="str">
        <f t="shared" si="324"/>
        <v/>
      </c>
      <c r="V2986" s="83" t="str">
        <f t="shared" si="325"/>
        <v/>
      </c>
      <c r="AA2986" s="60">
        <f t="shared" si="326"/>
        <v>0</v>
      </c>
      <c r="AB2986" s="49">
        <f t="shared" si="327"/>
        <v>0</v>
      </c>
      <c r="AC2986" s="60">
        <f t="shared" si="328"/>
        <v>0</v>
      </c>
    </row>
    <row r="2987" spans="1:29">
      <c r="A2987" s="83" t="str">
        <f t="shared" si="322"/>
        <v/>
      </c>
      <c r="B2987" s="83" t="str">
        <f t="shared" si="323"/>
        <v/>
      </c>
      <c r="U2987" s="83" t="str">
        <f t="shared" si="324"/>
        <v/>
      </c>
      <c r="V2987" s="83" t="str">
        <f t="shared" si="325"/>
        <v/>
      </c>
      <c r="AA2987" s="60">
        <f t="shared" si="326"/>
        <v>0</v>
      </c>
      <c r="AB2987" s="49">
        <f t="shared" si="327"/>
        <v>0</v>
      </c>
      <c r="AC2987" s="60">
        <f t="shared" si="328"/>
        <v>0</v>
      </c>
    </row>
    <row r="2988" spans="1:29">
      <c r="A2988" s="83" t="str">
        <f t="shared" si="322"/>
        <v/>
      </c>
      <c r="B2988" s="83" t="str">
        <f t="shared" si="323"/>
        <v/>
      </c>
      <c r="U2988" s="83" t="str">
        <f t="shared" si="324"/>
        <v/>
      </c>
      <c r="V2988" s="83" t="str">
        <f t="shared" si="325"/>
        <v/>
      </c>
      <c r="AA2988" s="60">
        <f t="shared" si="326"/>
        <v>0</v>
      </c>
      <c r="AB2988" s="49">
        <f t="shared" si="327"/>
        <v>0</v>
      </c>
      <c r="AC2988" s="60">
        <f t="shared" si="328"/>
        <v>0</v>
      </c>
    </row>
    <row r="2989" spans="1:29">
      <c r="A2989" s="83" t="str">
        <f t="shared" si="322"/>
        <v/>
      </c>
      <c r="B2989" s="83" t="str">
        <f t="shared" si="323"/>
        <v/>
      </c>
      <c r="U2989" s="83" t="str">
        <f t="shared" si="324"/>
        <v/>
      </c>
      <c r="V2989" s="83" t="str">
        <f t="shared" si="325"/>
        <v/>
      </c>
      <c r="AA2989" s="60">
        <f t="shared" si="326"/>
        <v>0</v>
      </c>
      <c r="AB2989" s="49">
        <f t="shared" si="327"/>
        <v>0</v>
      </c>
      <c r="AC2989" s="60">
        <f t="shared" si="328"/>
        <v>0</v>
      </c>
    </row>
    <row r="2990" spans="1:29">
      <c r="A2990" s="83" t="str">
        <f t="shared" si="322"/>
        <v/>
      </c>
      <c r="B2990" s="83" t="str">
        <f t="shared" si="323"/>
        <v/>
      </c>
      <c r="U2990" s="83" t="str">
        <f t="shared" si="324"/>
        <v/>
      </c>
      <c r="V2990" s="83" t="str">
        <f t="shared" si="325"/>
        <v/>
      </c>
      <c r="AA2990" s="60">
        <f t="shared" si="326"/>
        <v>0</v>
      </c>
      <c r="AB2990" s="49">
        <f t="shared" si="327"/>
        <v>0</v>
      </c>
      <c r="AC2990" s="60">
        <f t="shared" si="328"/>
        <v>0</v>
      </c>
    </row>
    <row r="2991" spans="1:29">
      <c r="A2991" s="83" t="str">
        <f t="shared" si="322"/>
        <v/>
      </c>
      <c r="B2991" s="83" t="str">
        <f t="shared" si="323"/>
        <v/>
      </c>
      <c r="U2991" s="83" t="str">
        <f t="shared" si="324"/>
        <v/>
      </c>
      <c r="V2991" s="83" t="str">
        <f t="shared" si="325"/>
        <v/>
      </c>
      <c r="AA2991" s="60">
        <f t="shared" si="326"/>
        <v>0</v>
      </c>
      <c r="AB2991" s="49">
        <f t="shared" si="327"/>
        <v>0</v>
      </c>
      <c r="AC2991" s="60">
        <f t="shared" si="328"/>
        <v>0</v>
      </c>
    </row>
    <row r="2992" spans="1:29">
      <c r="A2992" s="83" t="str">
        <f t="shared" si="322"/>
        <v/>
      </c>
      <c r="B2992" s="83" t="str">
        <f t="shared" si="323"/>
        <v/>
      </c>
      <c r="U2992" s="83" t="str">
        <f t="shared" si="324"/>
        <v/>
      </c>
      <c r="V2992" s="83" t="str">
        <f t="shared" si="325"/>
        <v/>
      </c>
      <c r="AA2992" s="60">
        <f t="shared" si="326"/>
        <v>0</v>
      </c>
      <c r="AB2992" s="49">
        <f t="shared" si="327"/>
        <v>0</v>
      </c>
      <c r="AC2992" s="60">
        <f t="shared" si="328"/>
        <v>0</v>
      </c>
    </row>
    <row r="2993" spans="1:29">
      <c r="A2993" s="83" t="str">
        <f t="shared" si="322"/>
        <v/>
      </c>
      <c r="B2993" s="83" t="str">
        <f t="shared" si="323"/>
        <v/>
      </c>
      <c r="U2993" s="83" t="str">
        <f t="shared" si="324"/>
        <v/>
      </c>
      <c r="V2993" s="83" t="str">
        <f t="shared" si="325"/>
        <v/>
      </c>
      <c r="AA2993" s="60">
        <f t="shared" si="326"/>
        <v>0</v>
      </c>
      <c r="AB2993" s="49">
        <f t="shared" si="327"/>
        <v>0</v>
      </c>
      <c r="AC2993" s="60">
        <f t="shared" si="328"/>
        <v>0</v>
      </c>
    </row>
    <row r="2994" spans="1:29">
      <c r="A2994" s="83" t="str">
        <f t="shared" si="322"/>
        <v/>
      </c>
      <c r="B2994" s="83" t="str">
        <f t="shared" si="323"/>
        <v/>
      </c>
      <c r="U2994" s="83" t="str">
        <f t="shared" si="324"/>
        <v/>
      </c>
      <c r="V2994" s="83" t="str">
        <f t="shared" si="325"/>
        <v/>
      </c>
      <c r="AA2994" s="60">
        <f t="shared" si="326"/>
        <v>0</v>
      </c>
      <c r="AB2994" s="49">
        <f t="shared" si="327"/>
        <v>0</v>
      </c>
      <c r="AC2994" s="60">
        <f t="shared" si="328"/>
        <v>0</v>
      </c>
    </row>
    <row r="2995" spans="1:29">
      <c r="A2995" s="83" t="str">
        <f t="shared" si="322"/>
        <v/>
      </c>
      <c r="B2995" s="83" t="str">
        <f t="shared" si="323"/>
        <v/>
      </c>
      <c r="U2995" s="83" t="str">
        <f t="shared" si="324"/>
        <v/>
      </c>
      <c r="V2995" s="83" t="str">
        <f t="shared" si="325"/>
        <v/>
      </c>
      <c r="AA2995" s="60">
        <f t="shared" si="326"/>
        <v>0</v>
      </c>
      <c r="AB2995" s="49">
        <f t="shared" si="327"/>
        <v>0</v>
      </c>
      <c r="AC2995" s="60">
        <f t="shared" si="328"/>
        <v>0</v>
      </c>
    </row>
    <row r="2996" spans="1:29">
      <c r="A2996" s="83" t="str">
        <f t="shared" si="322"/>
        <v/>
      </c>
      <c r="B2996" s="83" t="str">
        <f t="shared" si="323"/>
        <v/>
      </c>
      <c r="U2996" s="83" t="str">
        <f t="shared" si="324"/>
        <v/>
      </c>
      <c r="V2996" s="83" t="str">
        <f t="shared" si="325"/>
        <v/>
      </c>
      <c r="AA2996" s="60">
        <f t="shared" si="326"/>
        <v>0</v>
      </c>
      <c r="AB2996" s="49">
        <f t="shared" si="327"/>
        <v>0</v>
      </c>
      <c r="AC2996" s="60">
        <f t="shared" si="328"/>
        <v>0</v>
      </c>
    </row>
    <row r="2997" spans="1:29">
      <c r="A2997" s="83" t="str">
        <f t="shared" si="322"/>
        <v/>
      </c>
      <c r="B2997" s="83" t="str">
        <f t="shared" si="323"/>
        <v/>
      </c>
      <c r="U2997" s="83" t="str">
        <f t="shared" si="324"/>
        <v/>
      </c>
      <c r="V2997" s="83" t="str">
        <f t="shared" si="325"/>
        <v/>
      </c>
      <c r="AA2997" s="60">
        <f t="shared" si="326"/>
        <v>0</v>
      </c>
      <c r="AB2997" s="49">
        <f t="shared" si="327"/>
        <v>0</v>
      </c>
      <c r="AC2997" s="60">
        <f t="shared" si="328"/>
        <v>0</v>
      </c>
    </row>
    <row r="2998" spans="1:29">
      <c r="A2998" s="83" t="str">
        <f t="shared" si="322"/>
        <v/>
      </c>
      <c r="B2998" s="83" t="str">
        <f t="shared" si="323"/>
        <v/>
      </c>
      <c r="U2998" s="83" t="str">
        <f t="shared" si="324"/>
        <v/>
      </c>
      <c r="V2998" s="83" t="str">
        <f t="shared" si="325"/>
        <v/>
      </c>
      <c r="AA2998" s="60">
        <f t="shared" si="326"/>
        <v>0</v>
      </c>
      <c r="AB2998" s="49">
        <f t="shared" si="327"/>
        <v>0</v>
      </c>
      <c r="AC2998" s="60">
        <f t="shared" si="328"/>
        <v>0</v>
      </c>
    </row>
    <row r="2999" spans="1:29">
      <c r="A2999" s="83" t="str">
        <f t="shared" si="322"/>
        <v/>
      </c>
      <c r="B2999" s="83" t="str">
        <f t="shared" si="323"/>
        <v/>
      </c>
      <c r="U2999" s="83" t="str">
        <f t="shared" si="324"/>
        <v/>
      </c>
      <c r="V2999" s="83" t="str">
        <f t="shared" si="325"/>
        <v/>
      </c>
      <c r="AA2999" s="60">
        <f t="shared" si="326"/>
        <v>0</v>
      </c>
      <c r="AB2999" s="49">
        <f t="shared" si="327"/>
        <v>0</v>
      </c>
      <c r="AC2999" s="60">
        <f t="shared" si="328"/>
        <v>0</v>
      </c>
    </row>
    <row r="3000" spans="1:29">
      <c r="A3000" s="83" t="str">
        <f t="shared" si="322"/>
        <v/>
      </c>
      <c r="B3000" s="83" t="str">
        <f t="shared" si="323"/>
        <v/>
      </c>
      <c r="U3000" s="83" t="str">
        <f t="shared" si="324"/>
        <v/>
      </c>
      <c r="V3000" s="83" t="str">
        <f t="shared" si="325"/>
        <v/>
      </c>
      <c r="AA3000" s="60">
        <f t="shared" si="326"/>
        <v>0</v>
      </c>
      <c r="AB3000" s="49">
        <f t="shared" si="327"/>
        <v>0</v>
      </c>
      <c r="AC3000" s="60">
        <f t="shared" si="328"/>
        <v>0</v>
      </c>
    </row>
    <row r="3001" spans="1:29">
      <c r="A3001" s="83" t="str">
        <f t="shared" si="322"/>
        <v/>
      </c>
      <c r="B3001" s="83" t="str">
        <f t="shared" si="323"/>
        <v/>
      </c>
      <c r="U3001" s="83" t="str">
        <f t="shared" si="324"/>
        <v/>
      </c>
      <c r="V3001" s="83" t="str">
        <f t="shared" si="325"/>
        <v/>
      </c>
      <c r="AA3001" s="60">
        <f t="shared" si="326"/>
        <v>0</v>
      </c>
      <c r="AB3001" s="49">
        <f t="shared" si="327"/>
        <v>0</v>
      </c>
      <c r="AC3001" s="60">
        <f t="shared" si="328"/>
        <v>0</v>
      </c>
    </row>
    <row r="3002" spans="1:29">
      <c r="A3002" s="83" t="str">
        <f t="shared" si="322"/>
        <v/>
      </c>
      <c r="B3002" s="83" t="str">
        <f t="shared" si="323"/>
        <v/>
      </c>
      <c r="U3002" s="83" t="str">
        <f t="shared" si="324"/>
        <v/>
      </c>
      <c r="V3002" s="83" t="str">
        <f t="shared" si="325"/>
        <v/>
      </c>
      <c r="AA3002" s="60">
        <f t="shared" si="326"/>
        <v>0</v>
      </c>
      <c r="AB3002" s="49">
        <f t="shared" si="327"/>
        <v>0</v>
      </c>
      <c r="AC3002" s="60">
        <f t="shared" si="328"/>
        <v>0</v>
      </c>
    </row>
    <row r="3003" spans="1:29">
      <c r="A3003" s="83" t="str">
        <f t="shared" si="322"/>
        <v/>
      </c>
      <c r="B3003" s="83" t="str">
        <f t="shared" si="323"/>
        <v/>
      </c>
      <c r="U3003" s="83" t="str">
        <f t="shared" si="324"/>
        <v/>
      </c>
      <c r="V3003" s="83" t="str">
        <f t="shared" si="325"/>
        <v/>
      </c>
      <c r="AA3003" s="60">
        <f t="shared" si="326"/>
        <v>0</v>
      </c>
      <c r="AB3003" s="49">
        <f t="shared" si="327"/>
        <v>0</v>
      </c>
      <c r="AC3003" s="60">
        <f t="shared" si="328"/>
        <v>0</v>
      </c>
    </row>
    <row r="3004" spans="1:29">
      <c r="A3004" s="83" t="str">
        <f t="shared" si="322"/>
        <v/>
      </c>
      <c r="B3004" s="83" t="str">
        <f t="shared" si="323"/>
        <v/>
      </c>
      <c r="U3004" s="83" t="str">
        <f t="shared" si="324"/>
        <v/>
      </c>
      <c r="V3004" s="83" t="str">
        <f t="shared" si="325"/>
        <v/>
      </c>
      <c r="AA3004" s="60">
        <f t="shared" si="326"/>
        <v>0</v>
      </c>
      <c r="AB3004" s="49">
        <f t="shared" si="327"/>
        <v>0</v>
      </c>
      <c r="AC3004" s="60">
        <f t="shared" si="328"/>
        <v>0</v>
      </c>
    </row>
    <row r="3005" spans="1:29">
      <c r="A3005" s="83" t="str">
        <f t="shared" si="322"/>
        <v/>
      </c>
      <c r="B3005" s="83" t="str">
        <f t="shared" si="323"/>
        <v/>
      </c>
      <c r="U3005" s="83" t="str">
        <f t="shared" si="324"/>
        <v/>
      </c>
      <c r="V3005" s="83" t="str">
        <f t="shared" si="325"/>
        <v/>
      </c>
      <c r="AA3005" s="60">
        <f t="shared" si="326"/>
        <v>0</v>
      </c>
      <c r="AB3005" s="49">
        <f t="shared" si="327"/>
        <v>0</v>
      </c>
      <c r="AC3005" s="60">
        <f t="shared" si="328"/>
        <v>0</v>
      </c>
    </row>
    <row r="3006" spans="1:29">
      <c r="A3006" s="83" t="str">
        <f t="shared" si="322"/>
        <v/>
      </c>
      <c r="B3006" s="83" t="str">
        <f t="shared" si="323"/>
        <v/>
      </c>
      <c r="U3006" s="83" t="str">
        <f t="shared" si="324"/>
        <v/>
      </c>
      <c r="V3006" s="83" t="str">
        <f t="shared" si="325"/>
        <v/>
      </c>
      <c r="AA3006" s="60">
        <f t="shared" si="326"/>
        <v>0</v>
      </c>
      <c r="AB3006" s="49">
        <f t="shared" si="327"/>
        <v>0</v>
      </c>
      <c r="AC3006" s="60">
        <f t="shared" si="328"/>
        <v>0</v>
      </c>
    </row>
    <row r="3007" spans="1:29">
      <c r="A3007" s="83" t="str">
        <f t="shared" si="322"/>
        <v/>
      </c>
      <c r="B3007" s="83" t="str">
        <f t="shared" si="323"/>
        <v/>
      </c>
      <c r="U3007" s="83" t="str">
        <f t="shared" si="324"/>
        <v/>
      </c>
      <c r="V3007" s="83" t="str">
        <f t="shared" si="325"/>
        <v/>
      </c>
      <c r="AA3007" s="60">
        <f t="shared" si="326"/>
        <v>0</v>
      </c>
      <c r="AB3007" s="49">
        <f t="shared" si="327"/>
        <v>0</v>
      </c>
      <c r="AC3007" s="60">
        <f t="shared" si="328"/>
        <v>0</v>
      </c>
    </row>
    <row r="3008" spans="1:29">
      <c r="A3008" s="83" t="str">
        <f t="shared" si="322"/>
        <v/>
      </c>
      <c r="B3008" s="83" t="str">
        <f t="shared" si="323"/>
        <v/>
      </c>
      <c r="U3008" s="83" t="str">
        <f t="shared" si="324"/>
        <v/>
      </c>
      <c r="V3008" s="83" t="str">
        <f t="shared" si="325"/>
        <v/>
      </c>
      <c r="AA3008" s="60">
        <f t="shared" si="326"/>
        <v>0</v>
      </c>
      <c r="AB3008" s="49">
        <f t="shared" si="327"/>
        <v>0</v>
      </c>
      <c r="AC3008" s="60">
        <f t="shared" si="328"/>
        <v>0</v>
      </c>
    </row>
    <row r="3009" spans="1:29">
      <c r="A3009" s="83" t="str">
        <f t="shared" si="322"/>
        <v/>
      </c>
      <c r="B3009" s="83" t="str">
        <f t="shared" si="323"/>
        <v/>
      </c>
      <c r="U3009" s="83" t="str">
        <f t="shared" si="324"/>
        <v/>
      </c>
      <c r="V3009" s="83" t="str">
        <f t="shared" si="325"/>
        <v/>
      </c>
      <c r="AA3009" s="60">
        <f t="shared" si="326"/>
        <v>0</v>
      </c>
      <c r="AB3009" s="49">
        <f t="shared" si="327"/>
        <v>0</v>
      </c>
      <c r="AC3009" s="60">
        <f t="shared" si="328"/>
        <v>0</v>
      </c>
    </row>
    <row r="3010" spans="1:29">
      <c r="A3010" s="83" t="str">
        <f t="shared" si="322"/>
        <v/>
      </c>
      <c r="B3010" s="83" t="str">
        <f t="shared" si="323"/>
        <v/>
      </c>
      <c r="U3010" s="83" t="str">
        <f t="shared" si="324"/>
        <v/>
      </c>
      <c r="V3010" s="83" t="str">
        <f t="shared" si="325"/>
        <v/>
      </c>
      <c r="AA3010" s="60">
        <f t="shared" si="326"/>
        <v>0</v>
      </c>
      <c r="AB3010" s="49">
        <f t="shared" si="327"/>
        <v>0</v>
      </c>
      <c r="AC3010" s="60">
        <f t="shared" si="328"/>
        <v>0</v>
      </c>
    </row>
    <row r="3011" spans="1:29">
      <c r="A3011" s="83" t="str">
        <f t="shared" ref="A3011:A3074" si="329">IF(G3011&amp;Q3011&lt;&gt;"",U3011&amp;Q3011,"")</f>
        <v/>
      </c>
      <c r="B3011" s="83" t="str">
        <f t="shared" ref="B3011:B3074" si="330">IF(C3011&lt;&gt;"",LEFT(C3011,9),"")</f>
        <v/>
      </c>
      <c r="U3011" s="83" t="str">
        <f t="shared" ref="U3011:U3074" si="331">IF(G3011&lt;&gt;"",IF(StyleSpaceSplit,IFERROR(IF(FIND(" ",G3011)&gt;=1,MID(G3011,1,FIND(" ",G3011)-1),G3011),G3011),G3011),"")</f>
        <v/>
      </c>
      <c r="V3011" s="83" t="str">
        <f t="shared" ref="V3011:V3074" si="332">IF(A3011&lt;&gt;"",IFERROR(IF(FIND(" ",G3011)&gt;=1,MID(G3011,FIND(" ",G3011)+1,LEN(G3011)),""),G3011),"")</f>
        <v/>
      </c>
      <c r="AA3011" s="60">
        <f t="shared" ref="AA3011:AA3074" si="333">IFERROR(VALUE(MID($C3011,1,2)),0)</f>
        <v>0</v>
      </c>
      <c r="AB3011" s="49">
        <f t="shared" ref="AB3011:AB3074" si="334">IFERROR(VALUE(MID($C3011,4,3)),0)</f>
        <v>0</v>
      </c>
      <c r="AC3011" s="60">
        <f t="shared" ref="AC3011:AC3074" si="335">VALUE(RIGHT("00"&amp;AA3011,2)&amp;RIGHT("000"&amp;AB3011,3))</f>
        <v>0</v>
      </c>
    </row>
    <row r="3012" spans="1:29">
      <c r="A3012" s="83" t="str">
        <f t="shared" si="329"/>
        <v/>
      </c>
      <c r="B3012" s="83" t="str">
        <f t="shared" si="330"/>
        <v/>
      </c>
      <c r="U3012" s="83" t="str">
        <f t="shared" si="331"/>
        <v/>
      </c>
      <c r="V3012" s="83" t="str">
        <f t="shared" si="332"/>
        <v/>
      </c>
      <c r="AA3012" s="60">
        <f t="shared" si="333"/>
        <v>0</v>
      </c>
      <c r="AB3012" s="49">
        <f t="shared" si="334"/>
        <v>0</v>
      </c>
      <c r="AC3012" s="60">
        <f t="shared" si="335"/>
        <v>0</v>
      </c>
    </row>
    <row r="3013" spans="1:29">
      <c r="A3013" s="83" t="str">
        <f t="shared" si="329"/>
        <v/>
      </c>
      <c r="B3013" s="83" t="str">
        <f t="shared" si="330"/>
        <v/>
      </c>
      <c r="U3013" s="83" t="str">
        <f t="shared" si="331"/>
        <v/>
      </c>
      <c r="V3013" s="83" t="str">
        <f t="shared" si="332"/>
        <v/>
      </c>
      <c r="AA3013" s="60">
        <f t="shared" si="333"/>
        <v>0</v>
      </c>
      <c r="AB3013" s="49">
        <f t="shared" si="334"/>
        <v>0</v>
      </c>
      <c r="AC3013" s="60">
        <f t="shared" si="335"/>
        <v>0</v>
      </c>
    </row>
    <row r="3014" spans="1:29">
      <c r="A3014" s="83" t="str">
        <f t="shared" si="329"/>
        <v/>
      </c>
      <c r="B3014" s="83" t="str">
        <f t="shared" si="330"/>
        <v/>
      </c>
      <c r="U3014" s="83" t="str">
        <f t="shared" si="331"/>
        <v/>
      </c>
      <c r="V3014" s="83" t="str">
        <f t="shared" si="332"/>
        <v/>
      </c>
      <c r="AA3014" s="60">
        <f t="shared" si="333"/>
        <v>0</v>
      </c>
      <c r="AB3014" s="49">
        <f t="shared" si="334"/>
        <v>0</v>
      </c>
      <c r="AC3014" s="60">
        <f t="shared" si="335"/>
        <v>0</v>
      </c>
    </row>
    <row r="3015" spans="1:29">
      <c r="A3015" s="83" t="str">
        <f t="shared" si="329"/>
        <v/>
      </c>
      <c r="B3015" s="83" t="str">
        <f t="shared" si="330"/>
        <v/>
      </c>
      <c r="U3015" s="83" t="str">
        <f t="shared" si="331"/>
        <v/>
      </c>
      <c r="V3015" s="83" t="str">
        <f t="shared" si="332"/>
        <v/>
      </c>
      <c r="AA3015" s="60">
        <f t="shared" si="333"/>
        <v>0</v>
      </c>
      <c r="AB3015" s="49">
        <f t="shared" si="334"/>
        <v>0</v>
      </c>
      <c r="AC3015" s="60">
        <f t="shared" si="335"/>
        <v>0</v>
      </c>
    </row>
    <row r="3016" spans="1:29">
      <c r="A3016" s="83" t="str">
        <f t="shared" si="329"/>
        <v/>
      </c>
      <c r="B3016" s="83" t="str">
        <f t="shared" si="330"/>
        <v/>
      </c>
      <c r="U3016" s="83" t="str">
        <f t="shared" si="331"/>
        <v/>
      </c>
      <c r="V3016" s="83" t="str">
        <f t="shared" si="332"/>
        <v/>
      </c>
      <c r="AA3016" s="60">
        <f t="shared" si="333"/>
        <v>0</v>
      </c>
      <c r="AB3016" s="49">
        <f t="shared" si="334"/>
        <v>0</v>
      </c>
      <c r="AC3016" s="60">
        <f t="shared" si="335"/>
        <v>0</v>
      </c>
    </row>
    <row r="3017" spans="1:29">
      <c r="A3017" s="83" t="str">
        <f t="shared" si="329"/>
        <v/>
      </c>
      <c r="B3017" s="83" t="str">
        <f t="shared" si="330"/>
        <v/>
      </c>
      <c r="U3017" s="83" t="str">
        <f t="shared" si="331"/>
        <v/>
      </c>
      <c r="V3017" s="83" t="str">
        <f t="shared" si="332"/>
        <v/>
      </c>
      <c r="AA3017" s="60">
        <f t="shared" si="333"/>
        <v>0</v>
      </c>
      <c r="AB3017" s="49">
        <f t="shared" si="334"/>
        <v>0</v>
      </c>
      <c r="AC3017" s="60">
        <f t="shared" si="335"/>
        <v>0</v>
      </c>
    </row>
    <row r="3018" spans="1:29">
      <c r="A3018" s="83" t="str">
        <f t="shared" si="329"/>
        <v/>
      </c>
      <c r="B3018" s="83" t="str">
        <f t="shared" si="330"/>
        <v/>
      </c>
      <c r="U3018" s="83" t="str">
        <f t="shared" si="331"/>
        <v/>
      </c>
      <c r="V3018" s="83" t="str">
        <f t="shared" si="332"/>
        <v/>
      </c>
      <c r="AA3018" s="60">
        <f t="shared" si="333"/>
        <v>0</v>
      </c>
      <c r="AB3018" s="49">
        <f t="shared" si="334"/>
        <v>0</v>
      </c>
      <c r="AC3018" s="60">
        <f t="shared" si="335"/>
        <v>0</v>
      </c>
    </row>
    <row r="3019" spans="1:29">
      <c r="A3019" s="83" t="str">
        <f t="shared" si="329"/>
        <v/>
      </c>
      <c r="B3019" s="83" t="str">
        <f t="shared" si="330"/>
        <v/>
      </c>
      <c r="U3019" s="83" t="str">
        <f t="shared" si="331"/>
        <v/>
      </c>
      <c r="V3019" s="83" t="str">
        <f t="shared" si="332"/>
        <v/>
      </c>
      <c r="AA3019" s="60">
        <f t="shared" si="333"/>
        <v>0</v>
      </c>
      <c r="AB3019" s="49">
        <f t="shared" si="334"/>
        <v>0</v>
      </c>
      <c r="AC3019" s="60">
        <f t="shared" si="335"/>
        <v>0</v>
      </c>
    </row>
    <row r="3020" spans="1:29">
      <c r="A3020" s="83" t="str">
        <f t="shared" si="329"/>
        <v/>
      </c>
      <c r="B3020" s="83" t="str">
        <f t="shared" si="330"/>
        <v/>
      </c>
      <c r="U3020" s="83" t="str">
        <f t="shared" si="331"/>
        <v/>
      </c>
      <c r="V3020" s="83" t="str">
        <f t="shared" si="332"/>
        <v/>
      </c>
      <c r="AA3020" s="60">
        <f t="shared" si="333"/>
        <v>0</v>
      </c>
      <c r="AB3020" s="49">
        <f t="shared" si="334"/>
        <v>0</v>
      </c>
      <c r="AC3020" s="60">
        <f t="shared" si="335"/>
        <v>0</v>
      </c>
    </row>
    <row r="3021" spans="1:29">
      <c r="A3021" s="83" t="str">
        <f t="shared" si="329"/>
        <v/>
      </c>
      <c r="B3021" s="83" t="str">
        <f t="shared" si="330"/>
        <v/>
      </c>
      <c r="U3021" s="83" t="str">
        <f t="shared" si="331"/>
        <v/>
      </c>
      <c r="V3021" s="83" t="str">
        <f t="shared" si="332"/>
        <v/>
      </c>
      <c r="AA3021" s="60">
        <f t="shared" si="333"/>
        <v>0</v>
      </c>
      <c r="AB3021" s="49">
        <f t="shared" si="334"/>
        <v>0</v>
      </c>
      <c r="AC3021" s="60">
        <f t="shared" si="335"/>
        <v>0</v>
      </c>
    </row>
    <row r="3022" spans="1:29">
      <c r="A3022" s="83" t="str">
        <f t="shared" si="329"/>
        <v/>
      </c>
      <c r="B3022" s="83" t="str">
        <f t="shared" si="330"/>
        <v/>
      </c>
      <c r="U3022" s="83" t="str">
        <f t="shared" si="331"/>
        <v/>
      </c>
      <c r="V3022" s="83" t="str">
        <f t="shared" si="332"/>
        <v/>
      </c>
      <c r="AA3022" s="60">
        <f t="shared" si="333"/>
        <v>0</v>
      </c>
      <c r="AB3022" s="49">
        <f t="shared" si="334"/>
        <v>0</v>
      </c>
      <c r="AC3022" s="60">
        <f t="shared" si="335"/>
        <v>0</v>
      </c>
    </row>
    <row r="3023" spans="1:29">
      <c r="A3023" s="83" t="str">
        <f t="shared" si="329"/>
        <v/>
      </c>
      <c r="B3023" s="83" t="str">
        <f t="shared" si="330"/>
        <v/>
      </c>
      <c r="U3023" s="83" t="str">
        <f t="shared" si="331"/>
        <v/>
      </c>
      <c r="V3023" s="83" t="str">
        <f t="shared" si="332"/>
        <v/>
      </c>
      <c r="AA3023" s="60">
        <f t="shared" si="333"/>
        <v>0</v>
      </c>
      <c r="AB3023" s="49">
        <f t="shared" si="334"/>
        <v>0</v>
      </c>
      <c r="AC3023" s="60">
        <f t="shared" si="335"/>
        <v>0</v>
      </c>
    </row>
    <row r="3024" spans="1:29">
      <c r="A3024" s="83" t="str">
        <f t="shared" si="329"/>
        <v/>
      </c>
      <c r="B3024" s="83" t="str">
        <f t="shared" si="330"/>
        <v/>
      </c>
      <c r="U3024" s="83" t="str">
        <f t="shared" si="331"/>
        <v/>
      </c>
      <c r="V3024" s="83" t="str">
        <f t="shared" si="332"/>
        <v/>
      </c>
      <c r="AA3024" s="60">
        <f t="shared" si="333"/>
        <v>0</v>
      </c>
      <c r="AB3024" s="49">
        <f t="shared" si="334"/>
        <v>0</v>
      </c>
      <c r="AC3024" s="60">
        <f t="shared" si="335"/>
        <v>0</v>
      </c>
    </row>
    <row r="3025" spans="1:29">
      <c r="A3025" s="83" t="str">
        <f t="shared" si="329"/>
        <v/>
      </c>
      <c r="B3025" s="83" t="str">
        <f t="shared" si="330"/>
        <v/>
      </c>
      <c r="U3025" s="83" t="str">
        <f t="shared" si="331"/>
        <v/>
      </c>
      <c r="V3025" s="83" t="str">
        <f t="shared" si="332"/>
        <v/>
      </c>
      <c r="AA3025" s="60">
        <f t="shared" si="333"/>
        <v>0</v>
      </c>
      <c r="AB3025" s="49">
        <f t="shared" si="334"/>
        <v>0</v>
      </c>
      <c r="AC3025" s="60">
        <f t="shared" si="335"/>
        <v>0</v>
      </c>
    </row>
    <row r="3026" spans="1:29">
      <c r="A3026" s="83" t="str">
        <f t="shared" si="329"/>
        <v/>
      </c>
      <c r="B3026" s="83" t="str">
        <f t="shared" si="330"/>
        <v/>
      </c>
      <c r="U3026" s="83" t="str">
        <f t="shared" si="331"/>
        <v/>
      </c>
      <c r="V3026" s="83" t="str">
        <f t="shared" si="332"/>
        <v/>
      </c>
      <c r="AA3026" s="60">
        <f t="shared" si="333"/>
        <v>0</v>
      </c>
      <c r="AB3026" s="49">
        <f t="shared" si="334"/>
        <v>0</v>
      </c>
      <c r="AC3026" s="60">
        <f t="shared" si="335"/>
        <v>0</v>
      </c>
    </row>
    <row r="3027" spans="1:29">
      <c r="A3027" s="83" t="str">
        <f t="shared" si="329"/>
        <v/>
      </c>
      <c r="B3027" s="83" t="str">
        <f t="shared" si="330"/>
        <v/>
      </c>
      <c r="U3027" s="83" t="str">
        <f t="shared" si="331"/>
        <v/>
      </c>
      <c r="V3027" s="83" t="str">
        <f t="shared" si="332"/>
        <v/>
      </c>
      <c r="AA3027" s="60">
        <f t="shared" si="333"/>
        <v>0</v>
      </c>
      <c r="AB3027" s="49">
        <f t="shared" si="334"/>
        <v>0</v>
      </c>
      <c r="AC3027" s="60">
        <f t="shared" si="335"/>
        <v>0</v>
      </c>
    </row>
    <row r="3028" spans="1:29">
      <c r="A3028" s="83" t="str">
        <f t="shared" si="329"/>
        <v/>
      </c>
      <c r="B3028" s="83" t="str">
        <f t="shared" si="330"/>
        <v/>
      </c>
      <c r="U3028" s="83" t="str">
        <f t="shared" si="331"/>
        <v/>
      </c>
      <c r="V3028" s="83" t="str">
        <f t="shared" si="332"/>
        <v/>
      </c>
      <c r="AA3028" s="60">
        <f t="shared" si="333"/>
        <v>0</v>
      </c>
      <c r="AB3028" s="49">
        <f t="shared" si="334"/>
        <v>0</v>
      </c>
      <c r="AC3028" s="60">
        <f t="shared" si="335"/>
        <v>0</v>
      </c>
    </row>
    <row r="3029" spans="1:29">
      <c r="A3029" s="83" t="str">
        <f t="shared" si="329"/>
        <v/>
      </c>
      <c r="B3029" s="83" t="str">
        <f t="shared" si="330"/>
        <v/>
      </c>
      <c r="U3029" s="83" t="str">
        <f t="shared" si="331"/>
        <v/>
      </c>
      <c r="V3029" s="83" t="str">
        <f t="shared" si="332"/>
        <v/>
      </c>
      <c r="AA3029" s="60">
        <f t="shared" si="333"/>
        <v>0</v>
      </c>
      <c r="AB3029" s="49">
        <f t="shared" si="334"/>
        <v>0</v>
      </c>
      <c r="AC3029" s="60">
        <f t="shared" si="335"/>
        <v>0</v>
      </c>
    </row>
    <row r="3030" spans="1:29">
      <c r="A3030" s="83" t="str">
        <f t="shared" si="329"/>
        <v/>
      </c>
      <c r="B3030" s="83" t="str">
        <f t="shared" si="330"/>
        <v/>
      </c>
      <c r="U3030" s="83" t="str">
        <f t="shared" si="331"/>
        <v/>
      </c>
      <c r="V3030" s="83" t="str">
        <f t="shared" si="332"/>
        <v/>
      </c>
      <c r="AA3030" s="60">
        <f t="shared" si="333"/>
        <v>0</v>
      </c>
      <c r="AB3030" s="49">
        <f t="shared" si="334"/>
        <v>0</v>
      </c>
      <c r="AC3030" s="60">
        <f t="shared" si="335"/>
        <v>0</v>
      </c>
    </row>
    <row r="3031" spans="1:29">
      <c r="A3031" s="83" t="str">
        <f t="shared" si="329"/>
        <v/>
      </c>
      <c r="B3031" s="83" t="str">
        <f t="shared" si="330"/>
        <v/>
      </c>
      <c r="U3031" s="83" t="str">
        <f t="shared" si="331"/>
        <v/>
      </c>
      <c r="V3031" s="83" t="str">
        <f t="shared" si="332"/>
        <v/>
      </c>
      <c r="AA3031" s="60">
        <f t="shared" si="333"/>
        <v>0</v>
      </c>
      <c r="AB3031" s="49">
        <f t="shared" si="334"/>
        <v>0</v>
      </c>
      <c r="AC3031" s="60">
        <f t="shared" si="335"/>
        <v>0</v>
      </c>
    </row>
    <row r="3032" spans="1:29">
      <c r="A3032" s="83" t="str">
        <f t="shared" si="329"/>
        <v/>
      </c>
      <c r="B3032" s="83" t="str">
        <f t="shared" si="330"/>
        <v/>
      </c>
      <c r="U3032" s="83" t="str">
        <f t="shared" si="331"/>
        <v/>
      </c>
      <c r="V3032" s="83" t="str">
        <f t="shared" si="332"/>
        <v/>
      </c>
      <c r="AA3032" s="60">
        <f t="shared" si="333"/>
        <v>0</v>
      </c>
      <c r="AB3032" s="49">
        <f t="shared" si="334"/>
        <v>0</v>
      </c>
      <c r="AC3032" s="60">
        <f t="shared" si="335"/>
        <v>0</v>
      </c>
    </row>
    <row r="3033" spans="1:29">
      <c r="A3033" s="83" t="str">
        <f t="shared" si="329"/>
        <v/>
      </c>
      <c r="B3033" s="83" t="str">
        <f t="shared" si="330"/>
        <v/>
      </c>
      <c r="U3033" s="83" t="str">
        <f t="shared" si="331"/>
        <v/>
      </c>
      <c r="V3033" s="83" t="str">
        <f t="shared" si="332"/>
        <v/>
      </c>
      <c r="AA3033" s="60">
        <f t="shared" si="333"/>
        <v>0</v>
      </c>
      <c r="AB3033" s="49">
        <f t="shared" si="334"/>
        <v>0</v>
      </c>
      <c r="AC3033" s="60">
        <f t="shared" si="335"/>
        <v>0</v>
      </c>
    </row>
    <row r="3034" spans="1:29">
      <c r="A3034" s="83" t="str">
        <f t="shared" si="329"/>
        <v/>
      </c>
      <c r="B3034" s="83" t="str">
        <f t="shared" si="330"/>
        <v/>
      </c>
      <c r="U3034" s="83" t="str">
        <f t="shared" si="331"/>
        <v/>
      </c>
      <c r="V3034" s="83" t="str">
        <f t="shared" si="332"/>
        <v/>
      </c>
      <c r="AA3034" s="60">
        <f t="shared" si="333"/>
        <v>0</v>
      </c>
      <c r="AB3034" s="49">
        <f t="shared" si="334"/>
        <v>0</v>
      </c>
      <c r="AC3034" s="60">
        <f t="shared" si="335"/>
        <v>0</v>
      </c>
    </row>
    <row r="3035" spans="1:29">
      <c r="A3035" s="83" t="str">
        <f t="shared" si="329"/>
        <v/>
      </c>
      <c r="B3035" s="83" t="str">
        <f t="shared" si="330"/>
        <v/>
      </c>
      <c r="U3035" s="83" t="str">
        <f t="shared" si="331"/>
        <v/>
      </c>
      <c r="V3035" s="83" t="str">
        <f t="shared" si="332"/>
        <v/>
      </c>
      <c r="AA3035" s="60">
        <f t="shared" si="333"/>
        <v>0</v>
      </c>
      <c r="AB3035" s="49">
        <f t="shared" si="334"/>
        <v>0</v>
      </c>
      <c r="AC3035" s="60">
        <f t="shared" si="335"/>
        <v>0</v>
      </c>
    </row>
    <row r="3036" spans="1:29">
      <c r="A3036" s="83" t="str">
        <f t="shared" si="329"/>
        <v/>
      </c>
      <c r="B3036" s="83" t="str">
        <f t="shared" si="330"/>
        <v/>
      </c>
      <c r="U3036" s="83" t="str">
        <f t="shared" si="331"/>
        <v/>
      </c>
      <c r="V3036" s="83" t="str">
        <f t="shared" si="332"/>
        <v/>
      </c>
      <c r="AA3036" s="60">
        <f t="shared" si="333"/>
        <v>0</v>
      </c>
      <c r="AB3036" s="49">
        <f t="shared" si="334"/>
        <v>0</v>
      </c>
      <c r="AC3036" s="60">
        <f t="shared" si="335"/>
        <v>0</v>
      </c>
    </row>
    <row r="3037" spans="1:29">
      <c r="A3037" s="83" t="str">
        <f t="shared" si="329"/>
        <v/>
      </c>
      <c r="B3037" s="83" t="str">
        <f t="shared" si="330"/>
        <v/>
      </c>
      <c r="U3037" s="83" t="str">
        <f t="shared" si="331"/>
        <v/>
      </c>
      <c r="V3037" s="83" t="str">
        <f t="shared" si="332"/>
        <v/>
      </c>
      <c r="AA3037" s="60">
        <f t="shared" si="333"/>
        <v>0</v>
      </c>
      <c r="AB3037" s="49">
        <f t="shared" si="334"/>
        <v>0</v>
      </c>
      <c r="AC3037" s="60">
        <f t="shared" si="335"/>
        <v>0</v>
      </c>
    </row>
    <row r="3038" spans="1:29">
      <c r="A3038" s="83" t="str">
        <f t="shared" si="329"/>
        <v/>
      </c>
      <c r="B3038" s="83" t="str">
        <f t="shared" si="330"/>
        <v/>
      </c>
      <c r="U3038" s="83" t="str">
        <f t="shared" si="331"/>
        <v/>
      </c>
      <c r="V3038" s="83" t="str">
        <f t="shared" si="332"/>
        <v/>
      </c>
      <c r="AA3038" s="60">
        <f t="shared" si="333"/>
        <v>0</v>
      </c>
      <c r="AB3038" s="49">
        <f t="shared" si="334"/>
        <v>0</v>
      </c>
      <c r="AC3038" s="60">
        <f t="shared" si="335"/>
        <v>0</v>
      </c>
    </row>
    <row r="3039" spans="1:29">
      <c r="A3039" s="83" t="str">
        <f t="shared" si="329"/>
        <v/>
      </c>
      <c r="B3039" s="83" t="str">
        <f t="shared" si="330"/>
        <v/>
      </c>
      <c r="U3039" s="83" t="str">
        <f t="shared" si="331"/>
        <v/>
      </c>
      <c r="V3039" s="83" t="str">
        <f t="shared" si="332"/>
        <v/>
      </c>
      <c r="AA3039" s="60">
        <f t="shared" si="333"/>
        <v>0</v>
      </c>
      <c r="AB3039" s="49">
        <f t="shared" si="334"/>
        <v>0</v>
      </c>
      <c r="AC3039" s="60">
        <f t="shared" si="335"/>
        <v>0</v>
      </c>
    </row>
    <row r="3040" spans="1:29">
      <c r="A3040" s="83" t="str">
        <f t="shared" si="329"/>
        <v/>
      </c>
      <c r="B3040" s="83" t="str">
        <f t="shared" si="330"/>
        <v/>
      </c>
      <c r="U3040" s="83" t="str">
        <f t="shared" si="331"/>
        <v/>
      </c>
      <c r="V3040" s="83" t="str">
        <f t="shared" si="332"/>
        <v/>
      </c>
      <c r="AA3040" s="60">
        <f t="shared" si="333"/>
        <v>0</v>
      </c>
      <c r="AB3040" s="49">
        <f t="shared" si="334"/>
        <v>0</v>
      </c>
      <c r="AC3040" s="60">
        <f t="shared" si="335"/>
        <v>0</v>
      </c>
    </row>
    <row r="3041" spans="1:29">
      <c r="A3041" s="83" t="str">
        <f t="shared" si="329"/>
        <v/>
      </c>
      <c r="B3041" s="83" t="str">
        <f t="shared" si="330"/>
        <v/>
      </c>
      <c r="U3041" s="83" t="str">
        <f t="shared" si="331"/>
        <v/>
      </c>
      <c r="V3041" s="83" t="str">
        <f t="shared" si="332"/>
        <v/>
      </c>
      <c r="AA3041" s="60">
        <f t="shared" si="333"/>
        <v>0</v>
      </c>
      <c r="AB3041" s="49">
        <f t="shared" si="334"/>
        <v>0</v>
      </c>
      <c r="AC3041" s="60">
        <f t="shared" si="335"/>
        <v>0</v>
      </c>
    </row>
    <row r="3042" spans="1:29">
      <c r="A3042" s="83" t="str">
        <f t="shared" si="329"/>
        <v/>
      </c>
      <c r="B3042" s="83" t="str">
        <f t="shared" si="330"/>
        <v/>
      </c>
      <c r="U3042" s="83" t="str">
        <f t="shared" si="331"/>
        <v/>
      </c>
      <c r="V3042" s="83" t="str">
        <f t="shared" si="332"/>
        <v/>
      </c>
      <c r="AA3042" s="60">
        <f t="shared" si="333"/>
        <v>0</v>
      </c>
      <c r="AB3042" s="49">
        <f t="shared" si="334"/>
        <v>0</v>
      </c>
      <c r="AC3042" s="60">
        <f t="shared" si="335"/>
        <v>0</v>
      </c>
    </row>
    <row r="3043" spans="1:29">
      <c r="A3043" s="83" t="str">
        <f t="shared" si="329"/>
        <v/>
      </c>
      <c r="B3043" s="83" t="str">
        <f t="shared" si="330"/>
        <v/>
      </c>
      <c r="U3043" s="83" t="str">
        <f t="shared" si="331"/>
        <v/>
      </c>
      <c r="V3043" s="83" t="str">
        <f t="shared" si="332"/>
        <v/>
      </c>
      <c r="AA3043" s="60">
        <f t="shared" si="333"/>
        <v>0</v>
      </c>
      <c r="AB3043" s="49">
        <f t="shared" si="334"/>
        <v>0</v>
      </c>
      <c r="AC3043" s="60">
        <f t="shared" si="335"/>
        <v>0</v>
      </c>
    </row>
    <row r="3044" spans="1:29">
      <c r="A3044" s="83" t="str">
        <f t="shared" si="329"/>
        <v/>
      </c>
      <c r="B3044" s="83" t="str">
        <f t="shared" si="330"/>
        <v/>
      </c>
      <c r="U3044" s="83" t="str">
        <f t="shared" si="331"/>
        <v/>
      </c>
      <c r="V3044" s="83" t="str">
        <f t="shared" si="332"/>
        <v/>
      </c>
      <c r="AA3044" s="60">
        <f t="shared" si="333"/>
        <v>0</v>
      </c>
      <c r="AB3044" s="49">
        <f t="shared" si="334"/>
        <v>0</v>
      </c>
      <c r="AC3044" s="60">
        <f t="shared" si="335"/>
        <v>0</v>
      </c>
    </row>
    <row r="3045" spans="1:29">
      <c r="A3045" s="83" t="str">
        <f t="shared" si="329"/>
        <v/>
      </c>
      <c r="B3045" s="83" t="str">
        <f t="shared" si="330"/>
        <v/>
      </c>
      <c r="U3045" s="83" t="str">
        <f t="shared" si="331"/>
        <v/>
      </c>
      <c r="V3045" s="83" t="str">
        <f t="shared" si="332"/>
        <v/>
      </c>
      <c r="AA3045" s="60">
        <f t="shared" si="333"/>
        <v>0</v>
      </c>
      <c r="AB3045" s="49">
        <f t="shared" si="334"/>
        <v>0</v>
      </c>
      <c r="AC3045" s="60">
        <f t="shared" si="335"/>
        <v>0</v>
      </c>
    </row>
    <row r="3046" spans="1:29">
      <c r="A3046" s="83" t="str">
        <f t="shared" si="329"/>
        <v/>
      </c>
      <c r="B3046" s="83" t="str">
        <f t="shared" si="330"/>
        <v/>
      </c>
      <c r="U3046" s="83" t="str">
        <f t="shared" si="331"/>
        <v/>
      </c>
      <c r="V3046" s="83" t="str">
        <f t="shared" si="332"/>
        <v/>
      </c>
      <c r="AA3046" s="60">
        <f t="shared" si="333"/>
        <v>0</v>
      </c>
      <c r="AB3046" s="49">
        <f t="shared" si="334"/>
        <v>0</v>
      </c>
      <c r="AC3046" s="60">
        <f t="shared" si="335"/>
        <v>0</v>
      </c>
    </row>
    <row r="3047" spans="1:29">
      <c r="A3047" s="83" t="str">
        <f t="shared" si="329"/>
        <v/>
      </c>
      <c r="B3047" s="83" t="str">
        <f t="shared" si="330"/>
        <v/>
      </c>
      <c r="U3047" s="83" t="str">
        <f t="shared" si="331"/>
        <v/>
      </c>
      <c r="V3047" s="83" t="str">
        <f t="shared" si="332"/>
        <v/>
      </c>
      <c r="AA3047" s="60">
        <f t="shared" si="333"/>
        <v>0</v>
      </c>
      <c r="AB3047" s="49">
        <f t="shared" si="334"/>
        <v>0</v>
      </c>
      <c r="AC3047" s="60">
        <f t="shared" si="335"/>
        <v>0</v>
      </c>
    </row>
    <row r="3048" spans="1:29">
      <c r="A3048" s="83" t="str">
        <f t="shared" si="329"/>
        <v/>
      </c>
      <c r="B3048" s="83" t="str">
        <f t="shared" si="330"/>
        <v/>
      </c>
      <c r="U3048" s="83" t="str">
        <f t="shared" si="331"/>
        <v/>
      </c>
      <c r="V3048" s="83" t="str">
        <f t="shared" si="332"/>
        <v/>
      </c>
      <c r="AA3048" s="60">
        <f t="shared" si="333"/>
        <v>0</v>
      </c>
      <c r="AB3048" s="49">
        <f t="shared" si="334"/>
        <v>0</v>
      </c>
      <c r="AC3048" s="60">
        <f t="shared" si="335"/>
        <v>0</v>
      </c>
    </row>
    <row r="3049" spans="1:29">
      <c r="A3049" s="83" t="str">
        <f t="shared" si="329"/>
        <v/>
      </c>
      <c r="B3049" s="83" t="str">
        <f t="shared" si="330"/>
        <v/>
      </c>
      <c r="U3049" s="83" t="str">
        <f t="shared" si="331"/>
        <v/>
      </c>
      <c r="V3049" s="83" t="str">
        <f t="shared" si="332"/>
        <v/>
      </c>
      <c r="AA3049" s="60">
        <f t="shared" si="333"/>
        <v>0</v>
      </c>
      <c r="AB3049" s="49">
        <f t="shared" si="334"/>
        <v>0</v>
      </c>
      <c r="AC3049" s="60">
        <f t="shared" si="335"/>
        <v>0</v>
      </c>
    </row>
    <row r="3050" spans="1:29">
      <c r="A3050" s="83" t="str">
        <f t="shared" si="329"/>
        <v/>
      </c>
      <c r="B3050" s="83" t="str">
        <f t="shared" si="330"/>
        <v/>
      </c>
      <c r="U3050" s="83" t="str">
        <f t="shared" si="331"/>
        <v/>
      </c>
      <c r="V3050" s="83" t="str">
        <f t="shared" si="332"/>
        <v/>
      </c>
      <c r="AA3050" s="60">
        <f t="shared" si="333"/>
        <v>0</v>
      </c>
      <c r="AB3050" s="49">
        <f t="shared" si="334"/>
        <v>0</v>
      </c>
      <c r="AC3050" s="60">
        <f t="shared" si="335"/>
        <v>0</v>
      </c>
    </row>
    <row r="3051" spans="1:29">
      <c r="A3051" s="83" t="str">
        <f t="shared" si="329"/>
        <v/>
      </c>
      <c r="B3051" s="83" t="str">
        <f t="shared" si="330"/>
        <v/>
      </c>
      <c r="U3051" s="83" t="str">
        <f t="shared" si="331"/>
        <v/>
      </c>
      <c r="V3051" s="83" t="str">
        <f t="shared" si="332"/>
        <v/>
      </c>
      <c r="AA3051" s="60">
        <f t="shared" si="333"/>
        <v>0</v>
      </c>
      <c r="AB3051" s="49">
        <f t="shared" si="334"/>
        <v>0</v>
      </c>
      <c r="AC3051" s="60">
        <f t="shared" si="335"/>
        <v>0</v>
      </c>
    </row>
    <row r="3052" spans="1:29">
      <c r="A3052" s="83" t="str">
        <f t="shared" si="329"/>
        <v/>
      </c>
      <c r="B3052" s="83" t="str">
        <f t="shared" si="330"/>
        <v/>
      </c>
      <c r="U3052" s="83" t="str">
        <f t="shared" si="331"/>
        <v/>
      </c>
      <c r="V3052" s="83" t="str">
        <f t="shared" si="332"/>
        <v/>
      </c>
      <c r="AA3052" s="60">
        <f t="shared" si="333"/>
        <v>0</v>
      </c>
      <c r="AB3052" s="49">
        <f t="shared" si="334"/>
        <v>0</v>
      </c>
      <c r="AC3052" s="60">
        <f t="shared" si="335"/>
        <v>0</v>
      </c>
    </row>
    <row r="3053" spans="1:29">
      <c r="A3053" s="83" t="str">
        <f t="shared" si="329"/>
        <v/>
      </c>
      <c r="B3053" s="83" t="str">
        <f t="shared" si="330"/>
        <v/>
      </c>
      <c r="U3053" s="83" t="str">
        <f t="shared" si="331"/>
        <v/>
      </c>
      <c r="V3053" s="83" t="str">
        <f t="shared" si="332"/>
        <v/>
      </c>
      <c r="AA3053" s="60">
        <f t="shared" si="333"/>
        <v>0</v>
      </c>
      <c r="AB3053" s="49">
        <f t="shared" si="334"/>
        <v>0</v>
      </c>
      <c r="AC3053" s="60">
        <f t="shared" si="335"/>
        <v>0</v>
      </c>
    </row>
    <row r="3054" spans="1:29">
      <c r="A3054" s="83" t="str">
        <f t="shared" si="329"/>
        <v/>
      </c>
      <c r="B3054" s="83" t="str">
        <f t="shared" si="330"/>
        <v/>
      </c>
      <c r="U3054" s="83" t="str">
        <f t="shared" si="331"/>
        <v/>
      </c>
      <c r="V3054" s="83" t="str">
        <f t="shared" si="332"/>
        <v/>
      </c>
      <c r="AA3054" s="60">
        <f t="shared" si="333"/>
        <v>0</v>
      </c>
      <c r="AB3054" s="49">
        <f t="shared" si="334"/>
        <v>0</v>
      </c>
      <c r="AC3054" s="60">
        <f t="shared" si="335"/>
        <v>0</v>
      </c>
    </row>
    <row r="3055" spans="1:29">
      <c r="A3055" s="83" t="str">
        <f t="shared" si="329"/>
        <v/>
      </c>
      <c r="B3055" s="83" t="str">
        <f t="shared" si="330"/>
        <v/>
      </c>
      <c r="U3055" s="83" t="str">
        <f t="shared" si="331"/>
        <v/>
      </c>
      <c r="V3055" s="83" t="str">
        <f t="shared" si="332"/>
        <v/>
      </c>
      <c r="AA3055" s="60">
        <f t="shared" si="333"/>
        <v>0</v>
      </c>
      <c r="AB3055" s="49">
        <f t="shared" si="334"/>
        <v>0</v>
      </c>
      <c r="AC3055" s="60">
        <f t="shared" si="335"/>
        <v>0</v>
      </c>
    </row>
    <row r="3056" spans="1:29">
      <c r="A3056" s="83" t="str">
        <f t="shared" si="329"/>
        <v/>
      </c>
      <c r="B3056" s="83" t="str">
        <f t="shared" si="330"/>
        <v/>
      </c>
      <c r="U3056" s="83" t="str">
        <f t="shared" si="331"/>
        <v/>
      </c>
      <c r="V3056" s="83" t="str">
        <f t="shared" si="332"/>
        <v/>
      </c>
      <c r="AA3056" s="60">
        <f t="shared" si="333"/>
        <v>0</v>
      </c>
      <c r="AB3056" s="49">
        <f t="shared" si="334"/>
        <v>0</v>
      </c>
      <c r="AC3056" s="60">
        <f t="shared" si="335"/>
        <v>0</v>
      </c>
    </row>
    <row r="3057" spans="1:29">
      <c r="A3057" s="83" t="str">
        <f t="shared" si="329"/>
        <v/>
      </c>
      <c r="B3057" s="83" t="str">
        <f t="shared" si="330"/>
        <v/>
      </c>
      <c r="U3057" s="83" t="str">
        <f t="shared" si="331"/>
        <v/>
      </c>
      <c r="V3057" s="83" t="str">
        <f t="shared" si="332"/>
        <v/>
      </c>
      <c r="AA3057" s="60">
        <f t="shared" si="333"/>
        <v>0</v>
      </c>
      <c r="AB3057" s="49">
        <f t="shared" si="334"/>
        <v>0</v>
      </c>
      <c r="AC3057" s="60">
        <f t="shared" si="335"/>
        <v>0</v>
      </c>
    </row>
    <row r="3058" spans="1:29">
      <c r="A3058" s="83" t="str">
        <f t="shared" si="329"/>
        <v/>
      </c>
      <c r="B3058" s="83" t="str">
        <f t="shared" si="330"/>
        <v/>
      </c>
      <c r="U3058" s="83" t="str">
        <f t="shared" si="331"/>
        <v/>
      </c>
      <c r="V3058" s="83" t="str">
        <f t="shared" si="332"/>
        <v/>
      </c>
      <c r="AA3058" s="60">
        <f t="shared" si="333"/>
        <v>0</v>
      </c>
      <c r="AB3058" s="49">
        <f t="shared" si="334"/>
        <v>0</v>
      </c>
      <c r="AC3058" s="60">
        <f t="shared" si="335"/>
        <v>0</v>
      </c>
    </row>
    <row r="3059" spans="1:29">
      <c r="A3059" s="83" t="str">
        <f t="shared" si="329"/>
        <v/>
      </c>
      <c r="B3059" s="83" t="str">
        <f t="shared" si="330"/>
        <v/>
      </c>
      <c r="U3059" s="83" t="str">
        <f t="shared" si="331"/>
        <v/>
      </c>
      <c r="V3059" s="83" t="str">
        <f t="shared" si="332"/>
        <v/>
      </c>
      <c r="AA3059" s="60">
        <f t="shared" si="333"/>
        <v>0</v>
      </c>
      <c r="AB3059" s="49">
        <f t="shared" si="334"/>
        <v>0</v>
      </c>
      <c r="AC3059" s="60">
        <f t="shared" si="335"/>
        <v>0</v>
      </c>
    </row>
    <row r="3060" spans="1:29">
      <c r="A3060" s="83" t="str">
        <f t="shared" si="329"/>
        <v/>
      </c>
      <c r="B3060" s="83" t="str">
        <f t="shared" si="330"/>
        <v/>
      </c>
      <c r="U3060" s="83" t="str">
        <f t="shared" si="331"/>
        <v/>
      </c>
      <c r="V3060" s="83" t="str">
        <f t="shared" si="332"/>
        <v/>
      </c>
      <c r="AA3060" s="60">
        <f t="shared" si="333"/>
        <v>0</v>
      </c>
      <c r="AB3060" s="49">
        <f t="shared" si="334"/>
        <v>0</v>
      </c>
      <c r="AC3060" s="60">
        <f t="shared" si="335"/>
        <v>0</v>
      </c>
    </row>
    <row r="3061" spans="1:29">
      <c r="A3061" s="83" t="str">
        <f t="shared" si="329"/>
        <v/>
      </c>
      <c r="B3061" s="83" t="str">
        <f t="shared" si="330"/>
        <v/>
      </c>
      <c r="U3061" s="83" t="str">
        <f t="shared" si="331"/>
        <v/>
      </c>
      <c r="V3061" s="83" t="str">
        <f t="shared" si="332"/>
        <v/>
      </c>
      <c r="AA3061" s="60">
        <f t="shared" si="333"/>
        <v>0</v>
      </c>
      <c r="AB3061" s="49">
        <f t="shared" si="334"/>
        <v>0</v>
      </c>
      <c r="AC3061" s="60">
        <f t="shared" si="335"/>
        <v>0</v>
      </c>
    </row>
    <row r="3062" spans="1:29">
      <c r="A3062" s="83" t="str">
        <f t="shared" si="329"/>
        <v/>
      </c>
      <c r="B3062" s="83" t="str">
        <f t="shared" si="330"/>
        <v/>
      </c>
      <c r="U3062" s="83" t="str">
        <f t="shared" si="331"/>
        <v/>
      </c>
      <c r="V3062" s="83" t="str">
        <f t="shared" si="332"/>
        <v/>
      </c>
      <c r="AA3062" s="60">
        <f t="shared" si="333"/>
        <v>0</v>
      </c>
      <c r="AB3062" s="49">
        <f t="shared" si="334"/>
        <v>0</v>
      </c>
      <c r="AC3062" s="60">
        <f t="shared" si="335"/>
        <v>0</v>
      </c>
    </row>
    <row r="3063" spans="1:29">
      <c r="A3063" s="83" t="str">
        <f t="shared" si="329"/>
        <v/>
      </c>
      <c r="B3063" s="83" t="str">
        <f t="shared" si="330"/>
        <v/>
      </c>
      <c r="U3063" s="83" t="str">
        <f t="shared" si="331"/>
        <v/>
      </c>
      <c r="V3063" s="83" t="str">
        <f t="shared" si="332"/>
        <v/>
      </c>
      <c r="AA3063" s="60">
        <f t="shared" si="333"/>
        <v>0</v>
      </c>
      <c r="AB3063" s="49">
        <f t="shared" si="334"/>
        <v>0</v>
      </c>
      <c r="AC3063" s="60">
        <f t="shared" si="335"/>
        <v>0</v>
      </c>
    </row>
    <row r="3064" spans="1:29">
      <c r="A3064" s="83" t="str">
        <f t="shared" si="329"/>
        <v/>
      </c>
      <c r="B3064" s="83" t="str">
        <f t="shared" si="330"/>
        <v/>
      </c>
      <c r="U3064" s="83" t="str">
        <f t="shared" si="331"/>
        <v/>
      </c>
      <c r="V3064" s="83" t="str">
        <f t="shared" si="332"/>
        <v/>
      </c>
      <c r="AA3064" s="60">
        <f t="shared" si="333"/>
        <v>0</v>
      </c>
      <c r="AB3064" s="49">
        <f t="shared" si="334"/>
        <v>0</v>
      </c>
      <c r="AC3064" s="60">
        <f t="shared" si="335"/>
        <v>0</v>
      </c>
    </row>
    <row r="3065" spans="1:29">
      <c r="A3065" s="83" t="str">
        <f t="shared" si="329"/>
        <v/>
      </c>
      <c r="B3065" s="83" t="str">
        <f t="shared" si="330"/>
        <v/>
      </c>
      <c r="U3065" s="83" t="str">
        <f t="shared" si="331"/>
        <v/>
      </c>
      <c r="V3065" s="83" t="str">
        <f t="shared" si="332"/>
        <v/>
      </c>
      <c r="AA3065" s="60">
        <f t="shared" si="333"/>
        <v>0</v>
      </c>
      <c r="AB3065" s="49">
        <f t="shared" si="334"/>
        <v>0</v>
      </c>
      <c r="AC3065" s="60">
        <f t="shared" si="335"/>
        <v>0</v>
      </c>
    </row>
    <row r="3066" spans="1:29">
      <c r="A3066" s="83" t="str">
        <f t="shared" si="329"/>
        <v/>
      </c>
      <c r="B3066" s="83" t="str">
        <f t="shared" si="330"/>
        <v/>
      </c>
      <c r="U3066" s="83" t="str">
        <f t="shared" si="331"/>
        <v/>
      </c>
      <c r="V3066" s="83" t="str">
        <f t="shared" si="332"/>
        <v/>
      </c>
      <c r="AA3066" s="60">
        <f t="shared" si="333"/>
        <v>0</v>
      </c>
      <c r="AB3066" s="49">
        <f t="shared" si="334"/>
        <v>0</v>
      </c>
      <c r="AC3066" s="60">
        <f t="shared" si="335"/>
        <v>0</v>
      </c>
    </row>
    <row r="3067" spans="1:29">
      <c r="A3067" s="83" t="str">
        <f t="shared" si="329"/>
        <v/>
      </c>
      <c r="B3067" s="83" t="str">
        <f t="shared" si="330"/>
        <v/>
      </c>
      <c r="U3067" s="83" t="str">
        <f t="shared" si="331"/>
        <v/>
      </c>
      <c r="V3067" s="83" t="str">
        <f t="shared" si="332"/>
        <v/>
      </c>
      <c r="AA3067" s="60">
        <f t="shared" si="333"/>
        <v>0</v>
      </c>
      <c r="AB3067" s="49">
        <f t="shared" si="334"/>
        <v>0</v>
      </c>
      <c r="AC3067" s="60">
        <f t="shared" si="335"/>
        <v>0</v>
      </c>
    </row>
    <row r="3068" spans="1:29">
      <c r="A3068" s="83" t="str">
        <f t="shared" si="329"/>
        <v/>
      </c>
      <c r="B3068" s="83" t="str">
        <f t="shared" si="330"/>
        <v/>
      </c>
      <c r="U3068" s="83" t="str">
        <f t="shared" si="331"/>
        <v/>
      </c>
      <c r="V3068" s="83" t="str">
        <f t="shared" si="332"/>
        <v/>
      </c>
      <c r="AA3068" s="60">
        <f t="shared" si="333"/>
        <v>0</v>
      </c>
      <c r="AB3068" s="49">
        <f t="shared" si="334"/>
        <v>0</v>
      </c>
      <c r="AC3068" s="60">
        <f t="shared" si="335"/>
        <v>0</v>
      </c>
    </row>
    <row r="3069" spans="1:29">
      <c r="A3069" s="83" t="str">
        <f t="shared" si="329"/>
        <v/>
      </c>
      <c r="B3069" s="83" t="str">
        <f t="shared" si="330"/>
        <v/>
      </c>
      <c r="U3069" s="83" t="str">
        <f t="shared" si="331"/>
        <v/>
      </c>
      <c r="V3069" s="83" t="str">
        <f t="shared" si="332"/>
        <v/>
      </c>
      <c r="AA3069" s="60">
        <f t="shared" si="333"/>
        <v>0</v>
      </c>
      <c r="AB3069" s="49">
        <f t="shared" si="334"/>
        <v>0</v>
      </c>
      <c r="AC3069" s="60">
        <f t="shared" si="335"/>
        <v>0</v>
      </c>
    </row>
    <row r="3070" spans="1:29">
      <c r="A3070" s="83" t="str">
        <f t="shared" si="329"/>
        <v/>
      </c>
      <c r="B3070" s="83" t="str">
        <f t="shared" si="330"/>
        <v/>
      </c>
      <c r="U3070" s="83" t="str">
        <f t="shared" si="331"/>
        <v/>
      </c>
      <c r="V3070" s="83" t="str">
        <f t="shared" si="332"/>
        <v/>
      </c>
      <c r="AA3070" s="60">
        <f t="shared" si="333"/>
        <v>0</v>
      </c>
      <c r="AB3070" s="49">
        <f t="shared" si="334"/>
        <v>0</v>
      </c>
      <c r="AC3070" s="60">
        <f t="shared" si="335"/>
        <v>0</v>
      </c>
    </row>
    <row r="3071" spans="1:29">
      <c r="A3071" s="83" t="str">
        <f t="shared" si="329"/>
        <v/>
      </c>
      <c r="B3071" s="83" t="str">
        <f t="shared" si="330"/>
        <v/>
      </c>
      <c r="U3071" s="83" t="str">
        <f t="shared" si="331"/>
        <v/>
      </c>
      <c r="V3071" s="83" t="str">
        <f t="shared" si="332"/>
        <v/>
      </c>
      <c r="AA3071" s="60">
        <f t="shared" si="333"/>
        <v>0</v>
      </c>
      <c r="AB3071" s="49">
        <f t="shared" si="334"/>
        <v>0</v>
      </c>
      <c r="AC3071" s="60">
        <f t="shared" si="335"/>
        <v>0</v>
      </c>
    </row>
    <row r="3072" spans="1:29">
      <c r="A3072" s="83" t="str">
        <f t="shared" si="329"/>
        <v/>
      </c>
      <c r="B3072" s="83" t="str">
        <f t="shared" si="330"/>
        <v/>
      </c>
      <c r="U3072" s="83" t="str">
        <f t="shared" si="331"/>
        <v/>
      </c>
      <c r="V3072" s="83" t="str">
        <f t="shared" si="332"/>
        <v/>
      </c>
      <c r="AA3072" s="60">
        <f t="shared" si="333"/>
        <v>0</v>
      </c>
      <c r="AB3072" s="49">
        <f t="shared" si="334"/>
        <v>0</v>
      </c>
      <c r="AC3072" s="60">
        <f t="shared" si="335"/>
        <v>0</v>
      </c>
    </row>
    <row r="3073" spans="1:29">
      <c r="A3073" s="83" t="str">
        <f t="shared" si="329"/>
        <v/>
      </c>
      <c r="B3073" s="83" t="str">
        <f t="shared" si="330"/>
        <v/>
      </c>
      <c r="U3073" s="83" t="str">
        <f t="shared" si="331"/>
        <v/>
      </c>
      <c r="V3073" s="83" t="str">
        <f t="shared" si="332"/>
        <v/>
      </c>
      <c r="AA3073" s="60">
        <f t="shared" si="333"/>
        <v>0</v>
      </c>
      <c r="AB3073" s="49">
        <f t="shared" si="334"/>
        <v>0</v>
      </c>
      <c r="AC3073" s="60">
        <f t="shared" si="335"/>
        <v>0</v>
      </c>
    </row>
    <row r="3074" spans="1:29">
      <c r="A3074" s="83" t="str">
        <f t="shared" si="329"/>
        <v/>
      </c>
      <c r="B3074" s="83" t="str">
        <f t="shared" si="330"/>
        <v/>
      </c>
      <c r="U3074" s="83" t="str">
        <f t="shared" si="331"/>
        <v/>
      </c>
      <c r="V3074" s="83" t="str">
        <f t="shared" si="332"/>
        <v/>
      </c>
      <c r="AA3074" s="60">
        <f t="shared" si="333"/>
        <v>0</v>
      </c>
      <c r="AB3074" s="49">
        <f t="shared" si="334"/>
        <v>0</v>
      </c>
      <c r="AC3074" s="60">
        <f t="shared" si="335"/>
        <v>0</v>
      </c>
    </row>
    <row r="3075" spans="1:29">
      <c r="A3075" s="83" t="str">
        <f t="shared" ref="A3075:A3138" si="336">IF(G3075&amp;Q3075&lt;&gt;"",U3075&amp;Q3075,"")</f>
        <v/>
      </c>
      <c r="B3075" s="83" t="str">
        <f t="shared" ref="B3075:B3138" si="337">IF(C3075&lt;&gt;"",LEFT(C3075,9),"")</f>
        <v/>
      </c>
      <c r="U3075" s="83" t="str">
        <f t="shared" ref="U3075:U3138" si="338">IF(G3075&lt;&gt;"",IF(StyleSpaceSplit,IFERROR(IF(FIND(" ",G3075)&gt;=1,MID(G3075,1,FIND(" ",G3075)-1),G3075),G3075),G3075),"")</f>
        <v/>
      </c>
      <c r="V3075" s="83" t="str">
        <f t="shared" ref="V3075:V3138" si="339">IF(A3075&lt;&gt;"",IFERROR(IF(FIND(" ",G3075)&gt;=1,MID(G3075,FIND(" ",G3075)+1,LEN(G3075)),""),G3075),"")</f>
        <v/>
      </c>
      <c r="AA3075" s="60">
        <f t="shared" ref="AA3075:AA3138" si="340">IFERROR(VALUE(MID($C3075,1,2)),0)</f>
        <v>0</v>
      </c>
      <c r="AB3075" s="49">
        <f t="shared" ref="AB3075:AB3138" si="341">IFERROR(VALUE(MID($C3075,4,3)),0)</f>
        <v>0</v>
      </c>
      <c r="AC3075" s="60">
        <f t="shared" ref="AC3075:AC3138" si="342">VALUE(RIGHT("00"&amp;AA3075,2)&amp;RIGHT("000"&amp;AB3075,3))</f>
        <v>0</v>
      </c>
    </row>
    <row r="3076" spans="1:29">
      <c r="A3076" s="83" t="str">
        <f t="shared" si="336"/>
        <v/>
      </c>
      <c r="B3076" s="83" t="str">
        <f t="shared" si="337"/>
        <v/>
      </c>
      <c r="U3076" s="83" t="str">
        <f t="shared" si="338"/>
        <v/>
      </c>
      <c r="V3076" s="83" t="str">
        <f t="shared" si="339"/>
        <v/>
      </c>
      <c r="AA3076" s="60">
        <f t="shared" si="340"/>
        <v>0</v>
      </c>
      <c r="AB3076" s="49">
        <f t="shared" si="341"/>
        <v>0</v>
      </c>
      <c r="AC3076" s="60">
        <f t="shared" si="342"/>
        <v>0</v>
      </c>
    </row>
    <row r="3077" spans="1:29">
      <c r="A3077" s="83" t="str">
        <f t="shared" si="336"/>
        <v/>
      </c>
      <c r="B3077" s="83" t="str">
        <f t="shared" si="337"/>
        <v/>
      </c>
      <c r="U3077" s="83" t="str">
        <f t="shared" si="338"/>
        <v/>
      </c>
      <c r="V3077" s="83" t="str">
        <f t="shared" si="339"/>
        <v/>
      </c>
      <c r="AA3077" s="60">
        <f t="shared" si="340"/>
        <v>0</v>
      </c>
      <c r="AB3077" s="49">
        <f t="shared" si="341"/>
        <v>0</v>
      </c>
      <c r="AC3077" s="60">
        <f t="shared" si="342"/>
        <v>0</v>
      </c>
    </row>
    <row r="3078" spans="1:29">
      <c r="A3078" s="83" t="str">
        <f t="shared" si="336"/>
        <v/>
      </c>
      <c r="B3078" s="83" t="str">
        <f t="shared" si="337"/>
        <v/>
      </c>
      <c r="U3078" s="83" t="str">
        <f t="shared" si="338"/>
        <v/>
      </c>
      <c r="V3078" s="83" t="str">
        <f t="shared" si="339"/>
        <v/>
      </c>
      <c r="AA3078" s="60">
        <f t="shared" si="340"/>
        <v>0</v>
      </c>
      <c r="AB3078" s="49">
        <f t="shared" si="341"/>
        <v>0</v>
      </c>
      <c r="AC3078" s="60">
        <f t="shared" si="342"/>
        <v>0</v>
      </c>
    </row>
    <row r="3079" spans="1:29">
      <c r="A3079" s="83" t="str">
        <f t="shared" si="336"/>
        <v/>
      </c>
      <c r="B3079" s="83" t="str">
        <f t="shared" si="337"/>
        <v/>
      </c>
      <c r="U3079" s="83" t="str">
        <f t="shared" si="338"/>
        <v/>
      </c>
      <c r="V3079" s="83" t="str">
        <f t="shared" si="339"/>
        <v/>
      </c>
      <c r="AA3079" s="60">
        <f t="shared" si="340"/>
        <v>0</v>
      </c>
      <c r="AB3079" s="49">
        <f t="shared" si="341"/>
        <v>0</v>
      </c>
      <c r="AC3079" s="60">
        <f t="shared" si="342"/>
        <v>0</v>
      </c>
    </row>
    <row r="3080" spans="1:29">
      <c r="A3080" s="83" t="str">
        <f t="shared" si="336"/>
        <v/>
      </c>
      <c r="B3080" s="83" t="str">
        <f t="shared" si="337"/>
        <v/>
      </c>
      <c r="U3080" s="83" t="str">
        <f t="shared" si="338"/>
        <v/>
      </c>
      <c r="V3080" s="83" t="str">
        <f t="shared" si="339"/>
        <v/>
      </c>
      <c r="AA3080" s="60">
        <f t="shared" si="340"/>
        <v>0</v>
      </c>
      <c r="AB3080" s="49">
        <f t="shared" si="341"/>
        <v>0</v>
      </c>
      <c r="AC3080" s="60">
        <f t="shared" si="342"/>
        <v>0</v>
      </c>
    </row>
    <row r="3081" spans="1:29">
      <c r="A3081" s="83" t="str">
        <f t="shared" si="336"/>
        <v/>
      </c>
      <c r="B3081" s="83" t="str">
        <f t="shared" si="337"/>
        <v/>
      </c>
      <c r="U3081" s="83" t="str">
        <f t="shared" si="338"/>
        <v/>
      </c>
      <c r="V3081" s="83" t="str">
        <f t="shared" si="339"/>
        <v/>
      </c>
      <c r="AA3081" s="60">
        <f t="shared" si="340"/>
        <v>0</v>
      </c>
      <c r="AB3081" s="49">
        <f t="shared" si="341"/>
        <v>0</v>
      </c>
      <c r="AC3081" s="60">
        <f t="shared" si="342"/>
        <v>0</v>
      </c>
    </row>
    <row r="3082" spans="1:29">
      <c r="A3082" s="83" t="str">
        <f t="shared" si="336"/>
        <v/>
      </c>
      <c r="B3082" s="83" t="str">
        <f t="shared" si="337"/>
        <v/>
      </c>
      <c r="U3082" s="83" t="str">
        <f t="shared" si="338"/>
        <v/>
      </c>
      <c r="V3082" s="83" t="str">
        <f t="shared" si="339"/>
        <v/>
      </c>
      <c r="AA3082" s="60">
        <f t="shared" si="340"/>
        <v>0</v>
      </c>
      <c r="AB3082" s="49">
        <f t="shared" si="341"/>
        <v>0</v>
      </c>
      <c r="AC3082" s="60">
        <f t="shared" si="342"/>
        <v>0</v>
      </c>
    </row>
    <row r="3083" spans="1:29">
      <c r="A3083" s="83" t="str">
        <f t="shared" si="336"/>
        <v/>
      </c>
      <c r="B3083" s="83" t="str">
        <f t="shared" si="337"/>
        <v/>
      </c>
      <c r="U3083" s="83" t="str">
        <f t="shared" si="338"/>
        <v/>
      </c>
      <c r="V3083" s="83" t="str">
        <f t="shared" si="339"/>
        <v/>
      </c>
      <c r="AA3083" s="60">
        <f t="shared" si="340"/>
        <v>0</v>
      </c>
      <c r="AB3083" s="49">
        <f t="shared" si="341"/>
        <v>0</v>
      </c>
      <c r="AC3083" s="60">
        <f t="shared" si="342"/>
        <v>0</v>
      </c>
    </row>
    <row r="3084" spans="1:29">
      <c r="A3084" s="83" t="str">
        <f t="shared" si="336"/>
        <v/>
      </c>
      <c r="B3084" s="83" t="str">
        <f t="shared" si="337"/>
        <v/>
      </c>
      <c r="U3084" s="83" t="str">
        <f t="shared" si="338"/>
        <v/>
      </c>
      <c r="V3084" s="83" t="str">
        <f t="shared" si="339"/>
        <v/>
      </c>
      <c r="AA3084" s="60">
        <f t="shared" si="340"/>
        <v>0</v>
      </c>
      <c r="AB3084" s="49">
        <f t="shared" si="341"/>
        <v>0</v>
      </c>
      <c r="AC3084" s="60">
        <f t="shared" si="342"/>
        <v>0</v>
      </c>
    </row>
    <row r="3085" spans="1:29">
      <c r="A3085" s="83" t="str">
        <f t="shared" si="336"/>
        <v/>
      </c>
      <c r="B3085" s="83" t="str">
        <f t="shared" si="337"/>
        <v/>
      </c>
      <c r="U3085" s="83" t="str">
        <f t="shared" si="338"/>
        <v/>
      </c>
      <c r="V3085" s="83" t="str">
        <f t="shared" si="339"/>
        <v/>
      </c>
      <c r="AA3085" s="60">
        <f t="shared" si="340"/>
        <v>0</v>
      </c>
      <c r="AB3085" s="49">
        <f t="shared" si="341"/>
        <v>0</v>
      </c>
      <c r="AC3085" s="60">
        <f t="shared" si="342"/>
        <v>0</v>
      </c>
    </row>
    <row r="3086" spans="1:29">
      <c r="A3086" s="83" t="str">
        <f t="shared" si="336"/>
        <v/>
      </c>
      <c r="B3086" s="83" t="str">
        <f t="shared" si="337"/>
        <v/>
      </c>
      <c r="U3086" s="83" t="str">
        <f t="shared" si="338"/>
        <v/>
      </c>
      <c r="V3086" s="83" t="str">
        <f t="shared" si="339"/>
        <v/>
      </c>
      <c r="AA3086" s="60">
        <f t="shared" si="340"/>
        <v>0</v>
      </c>
      <c r="AB3086" s="49">
        <f t="shared" si="341"/>
        <v>0</v>
      </c>
      <c r="AC3086" s="60">
        <f t="shared" si="342"/>
        <v>0</v>
      </c>
    </row>
    <row r="3087" spans="1:29">
      <c r="A3087" s="83" t="str">
        <f t="shared" si="336"/>
        <v/>
      </c>
      <c r="B3087" s="83" t="str">
        <f t="shared" si="337"/>
        <v/>
      </c>
      <c r="U3087" s="83" t="str">
        <f t="shared" si="338"/>
        <v/>
      </c>
      <c r="V3087" s="83" t="str">
        <f t="shared" si="339"/>
        <v/>
      </c>
      <c r="AA3087" s="60">
        <f t="shared" si="340"/>
        <v>0</v>
      </c>
      <c r="AB3087" s="49">
        <f t="shared" si="341"/>
        <v>0</v>
      </c>
      <c r="AC3087" s="60">
        <f t="shared" si="342"/>
        <v>0</v>
      </c>
    </row>
    <row r="3088" spans="1:29">
      <c r="A3088" s="83" t="str">
        <f t="shared" si="336"/>
        <v/>
      </c>
      <c r="B3088" s="83" t="str">
        <f t="shared" si="337"/>
        <v/>
      </c>
      <c r="U3088" s="83" t="str">
        <f t="shared" si="338"/>
        <v/>
      </c>
      <c r="V3088" s="83" t="str">
        <f t="shared" si="339"/>
        <v/>
      </c>
      <c r="AA3088" s="60">
        <f t="shared" si="340"/>
        <v>0</v>
      </c>
      <c r="AB3088" s="49">
        <f t="shared" si="341"/>
        <v>0</v>
      </c>
      <c r="AC3088" s="60">
        <f t="shared" si="342"/>
        <v>0</v>
      </c>
    </row>
    <row r="3089" spans="1:29">
      <c r="A3089" s="83" t="str">
        <f t="shared" si="336"/>
        <v/>
      </c>
      <c r="B3089" s="83" t="str">
        <f t="shared" si="337"/>
        <v/>
      </c>
      <c r="U3089" s="83" t="str">
        <f t="shared" si="338"/>
        <v/>
      </c>
      <c r="V3089" s="83" t="str">
        <f t="shared" si="339"/>
        <v/>
      </c>
      <c r="AA3089" s="60">
        <f t="shared" si="340"/>
        <v>0</v>
      </c>
      <c r="AB3089" s="49">
        <f t="shared" si="341"/>
        <v>0</v>
      </c>
      <c r="AC3089" s="60">
        <f t="shared" si="342"/>
        <v>0</v>
      </c>
    </row>
    <row r="3090" spans="1:29">
      <c r="A3090" s="83" t="str">
        <f t="shared" si="336"/>
        <v/>
      </c>
      <c r="B3090" s="83" t="str">
        <f t="shared" si="337"/>
        <v/>
      </c>
      <c r="U3090" s="83" t="str">
        <f t="shared" si="338"/>
        <v/>
      </c>
      <c r="V3090" s="83" t="str">
        <f t="shared" si="339"/>
        <v/>
      </c>
      <c r="AA3090" s="60">
        <f t="shared" si="340"/>
        <v>0</v>
      </c>
      <c r="AB3090" s="49">
        <f t="shared" si="341"/>
        <v>0</v>
      </c>
      <c r="AC3090" s="60">
        <f t="shared" si="342"/>
        <v>0</v>
      </c>
    </row>
    <row r="3091" spans="1:29">
      <c r="A3091" s="83" t="str">
        <f t="shared" si="336"/>
        <v/>
      </c>
      <c r="B3091" s="83" t="str">
        <f t="shared" si="337"/>
        <v/>
      </c>
      <c r="U3091" s="83" t="str">
        <f t="shared" si="338"/>
        <v/>
      </c>
      <c r="V3091" s="83" t="str">
        <f t="shared" si="339"/>
        <v/>
      </c>
      <c r="AA3091" s="60">
        <f t="shared" si="340"/>
        <v>0</v>
      </c>
      <c r="AB3091" s="49">
        <f t="shared" si="341"/>
        <v>0</v>
      </c>
      <c r="AC3091" s="60">
        <f t="shared" si="342"/>
        <v>0</v>
      </c>
    </row>
    <row r="3092" spans="1:29">
      <c r="A3092" s="83" t="str">
        <f t="shared" si="336"/>
        <v/>
      </c>
      <c r="B3092" s="83" t="str">
        <f t="shared" si="337"/>
        <v/>
      </c>
      <c r="U3092" s="83" t="str">
        <f t="shared" si="338"/>
        <v/>
      </c>
      <c r="V3092" s="83" t="str">
        <f t="shared" si="339"/>
        <v/>
      </c>
      <c r="AA3092" s="60">
        <f t="shared" si="340"/>
        <v>0</v>
      </c>
      <c r="AB3092" s="49">
        <f t="shared" si="341"/>
        <v>0</v>
      </c>
      <c r="AC3092" s="60">
        <f t="shared" si="342"/>
        <v>0</v>
      </c>
    </row>
    <row r="3093" spans="1:29">
      <c r="A3093" s="83" t="str">
        <f t="shared" si="336"/>
        <v/>
      </c>
      <c r="B3093" s="83" t="str">
        <f t="shared" si="337"/>
        <v/>
      </c>
      <c r="U3093" s="83" t="str">
        <f t="shared" si="338"/>
        <v/>
      </c>
      <c r="V3093" s="83" t="str">
        <f t="shared" si="339"/>
        <v/>
      </c>
      <c r="AA3093" s="60">
        <f t="shared" si="340"/>
        <v>0</v>
      </c>
      <c r="AB3093" s="49">
        <f t="shared" si="341"/>
        <v>0</v>
      </c>
      <c r="AC3093" s="60">
        <f t="shared" si="342"/>
        <v>0</v>
      </c>
    </row>
    <row r="3094" spans="1:29">
      <c r="A3094" s="83" t="str">
        <f t="shared" si="336"/>
        <v/>
      </c>
      <c r="B3094" s="83" t="str">
        <f t="shared" si="337"/>
        <v/>
      </c>
      <c r="U3094" s="83" t="str">
        <f t="shared" si="338"/>
        <v/>
      </c>
      <c r="V3094" s="83" t="str">
        <f t="shared" si="339"/>
        <v/>
      </c>
      <c r="AA3094" s="60">
        <f t="shared" si="340"/>
        <v>0</v>
      </c>
      <c r="AB3094" s="49">
        <f t="shared" si="341"/>
        <v>0</v>
      </c>
      <c r="AC3094" s="60">
        <f t="shared" si="342"/>
        <v>0</v>
      </c>
    </row>
    <row r="3095" spans="1:29">
      <c r="A3095" s="83" t="str">
        <f t="shared" si="336"/>
        <v/>
      </c>
      <c r="B3095" s="83" t="str">
        <f t="shared" si="337"/>
        <v/>
      </c>
      <c r="U3095" s="83" t="str">
        <f t="shared" si="338"/>
        <v/>
      </c>
      <c r="V3095" s="83" t="str">
        <f t="shared" si="339"/>
        <v/>
      </c>
      <c r="AA3095" s="60">
        <f t="shared" si="340"/>
        <v>0</v>
      </c>
      <c r="AB3095" s="49">
        <f t="shared" si="341"/>
        <v>0</v>
      </c>
      <c r="AC3095" s="60">
        <f t="shared" si="342"/>
        <v>0</v>
      </c>
    </row>
    <row r="3096" spans="1:29">
      <c r="A3096" s="83" t="str">
        <f t="shared" si="336"/>
        <v/>
      </c>
      <c r="B3096" s="83" t="str">
        <f t="shared" si="337"/>
        <v/>
      </c>
      <c r="U3096" s="83" t="str">
        <f t="shared" si="338"/>
        <v/>
      </c>
      <c r="V3096" s="83" t="str">
        <f t="shared" si="339"/>
        <v/>
      </c>
      <c r="AA3096" s="60">
        <f t="shared" si="340"/>
        <v>0</v>
      </c>
      <c r="AB3096" s="49">
        <f t="shared" si="341"/>
        <v>0</v>
      </c>
      <c r="AC3096" s="60">
        <f t="shared" si="342"/>
        <v>0</v>
      </c>
    </row>
    <row r="3097" spans="1:29">
      <c r="A3097" s="83" t="str">
        <f t="shared" si="336"/>
        <v/>
      </c>
      <c r="B3097" s="83" t="str">
        <f t="shared" si="337"/>
        <v/>
      </c>
      <c r="U3097" s="83" t="str">
        <f t="shared" si="338"/>
        <v/>
      </c>
      <c r="V3097" s="83" t="str">
        <f t="shared" si="339"/>
        <v/>
      </c>
      <c r="AA3097" s="60">
        <f t="shared" si="340"/>
        <v>0</v>
      </c>
      <c r="AB3097" s="49">
        <f t="shared" si="341"/>
        <v>0</v>
      </c>
      <c r="AC3097" s="60">
        <f t="shared" si="342"/>
        <v>0</v>
      </c>
    </row>
    <row r="3098" spans="1:29">
      <c r="A3098" s="83" t="str">
        <f t="shared" si="336"/>
        <v/>
      </c>
      <c r="B3098" s="83" t="str">
        <f t="shared" si="337"/>
        <v/>
      </c>
      <c r="U3098" s="83" t="str">
        <f t="shared" si="338"/>
        <v/>
      </c>
      <c r="V3098" s="83" t="str">
        <f t="shared" si="339"/>
        <v/>
      </c>
      <c r="AA3098" s="60">
        <f t="shared" si="340"/>
        <v>0</v>
      </c>
      <c r="AB3098" s="49">
        <f t="shared" si="341"/>
        <v>0</v>
      </c>
      <c r="AC3098" s="60">
        <f t="shared" si="342"/>
        <v>0</v>
      </c>
    </row>
    <row r="3099" spans="1:29">
      <c r="A3099" s="83" t="str">
        <f t="shared" si="336"/>
        <v/>
      </c>
      <c r="B3099" s="83" t="str">
        <f t="shared" si="337"/>
        <v/>
      </c>
      <c r="U3099" s="83" t="str">
        <f t="shared" si="338"/>
        <v/>
      </c>
      <c r="V3099" s="83" t="str">
        <f t="shared" si="339"/>
        <v/>
      </c>
      <c r="AA3099" s="60">
        <f t="shared" si="340"/>
        <v>0</v>
      </c>
      <c r="AB3099" s="49">
        <f t="shared" si="341"/>
        <v>0</v>
      </c>
      <c r="AC3099" s="60">
        <f t="shared" si="342"/>
        <v>0</v>
      </c>
    </row>
    <row r="3100" spans="1:29">
      <c r="A3100" s="83" t="str">
        <f t="shared" si="336"/>
        <v/>
      </c>
      <c r="B3100" s="83" t="str">
        <f t="shared" si="337"/>
        <v/>
      </c>
      <c r="U3100" s="83" t="str">
        <f t="shared" si="338"/>
        <v/>
      </c>
      <c r="V3100" s="83" t="str">
        <f t="shared" si="339"/>
        <v/>
      </c>
      <c r="AA3100" s="60">
        <f t="shared" si="340"/>
        <v>0</v>
      </c>
      <c r="AB3100" s="49">
        <f t="shared" si="341"/>
        <v>0</v>
      </c>
      <c r="AC3100" s="60">
        <f t="shared" si="342"/>
        <v>0</v>
      </c>
    </row>
    <row r="3101" spans="1:29">
      <c r="A3101" s="83" t="str">
        <f t="shared" si="336"/>
        <v/>
      </c>
      <c r="B3101" s="83" t="str">
        <f t="shared" si="337"/>
        <v/>
      </c>
      <c r="U3101" s="83" t="str">
        <f t="shared" si="338"/>
        <v/>
      </c>
      <c r="V3101" s="83" t="str">
        <f t="shared" si="339"/>
        <v/>
      </c>
      <c r="AA3101" s="60">
        <f t="shared" si="340"/>
        <v>0</v>
      </c>
      <c r="AB3101" s="49">
        <f t="shared" si="341"/>
        <v>0</v>
      </c>
      <c r="AC3101" s="60">
        <f t="shared" si="342"/>
        <v>0</v>
      </c>
    </row>
    <row r="3102" spans="1:29">
      <c r="A3102" s="83" t="str">
        <f t="shared" si="336"/>
        <v/>
      </c>
      <c r="B3102" s="83" t="str">
        <f t="shared" si="337"/>
        <v/>
      </c>
      <c r="U3102" s="83" t="str">
        <f t="shared" si="338"/>
        <v/>
      </c>
      <c r="V3102" s="83" t="str">
        <f t="shared" si="339"/>
        <v/>
      </c>
      <c r="AA3102" s="60">
        <f t="shared" si="340"/>
        <v>0</v>
      </c>
      <c r="AB3102" s="49">
        <f t="shared" si="341"/>
        <v>0</v>
      </c>
      <c r="AC3102" s="60">
        <f t="shared" si="342"/>
        <v>0</v>
      </c>
    </row>
    <row r="3103" spans="1:29">
      <c r="A3103" s="83" t="str">
        <f t="shared" si="336"/>
        <v/>
      </c>
      <c r="B3103" s="83" t="str">
        <f t="shared" si="337"/>
        <v/>
      </c>
      <c r="U3103" s="83" t="str">
        <f t="shared" si="338"/>
        <v/>
      </c>
      <c r="V3103" s="83" t="str">
        <f t="shared" si="339"/>
        <v/>
      </c>
      <c r="AA3103" s="60">
        <f t="shared" si="340"/>
        <v>0</v>
      </c>
      <c r="AB3103" s="49">
        <f t="shared" si="341"/>
        <v>0</v>
      </c>
      <c r="AC3103" s="60">
        <f t="shared" si="342"/>
        <v>0</v>
      </c>
    </row>
    <row r="3104" spans="1:29">
      <c r="A3104" s="83" t="str">
        <f t="shared" si="336"/>
        <v/>
      </c>
      <c r="B3104" s="83" t="str">
        <f t="shared" si="337"/>
        <v/>
      </c>
      <c r="U3104" s="83" t="str">
        <f t="shared" si="338"/>
        <v/>
      </c>
      <c r="V3104" s="83" t="str">
        <f t="shared" si="339"/>
        <v/>
      </c>
      <c r="AA3104" s="60">
        <f t="shared" si="340"/>
        <v>0</v>
      </c>
      <c r="AB3104" s="49">
        <f t="shared" si="341"/>
        <v>0</v>
      </c>
      <c r="AC3104" s="60">
        <f t="shared" si="342"/>
        <v>0</v>
      </c>
    </row>
    <row r="3105" spans="1:29">
      <c r="A3105" s="83" t="str">
        <f t="shared" si="336"/>
        <v/>
      </c>
      <c r="B3105" s="83" t="str">
        <f t="shared" si="337"/>
        <v/>
      </c>
      <c r="U3105" s="83" t="str">
        <f t="shared" si="338"/>
        <v/>
      </c>
      <c r="V3105" s="83" t="str">
        <f t="shared" si="339"/>
        <v/>
      </c>
      <c r="AA3105" s="60">
        <f t="shared" si="340"/>
        <v>0</v>
      </c>
      <c r="AB3105" s="49">
        <f t="shared" si="341"/>
        <v>0</v>
      </c>
      <c r="AC3105" s="60">
        <f t="shared" si="342"/>
        <v>0</v>
      </c>
    </row>
    <row r="3106" spans="1:29">
      <c r="A3106" s="83" t="str">
        <f t="shared" si="336"/>
        <v/>
      </c>
      <c r="B3106" s="83" t="str">
        <f t="shared" si="337"/>
        <v/>
      </c>
      <c r="U3106" s="83" t="str">
        <f t="shared" si="338"/>
        <v/>
      </c>
      <c r="V3106" s="83" t="str">
        <f t="shared" si="339"/>
        <v/>
      </c>
      <c r="AA3106" s="60">
        <f t="shared" si="340"/>
        <v>0</v>
      </c>
      <c r="AB3106" s="49">
        <f t="shared" si="341"/>
        <v>0</v>
      </c>
      <c r="AC3106" s="60">
        <f t="shared" si="342"/>
        <v>0</v>
      </c>
    </row>
    <row r="3107" spans="1:29">
      <c r="A3107" s="83" t="str">
        <f t="shared" si="336"/>
        <v/>
      </c>
      <c r="B3107" s="83" t="str">
        <f t="shared" si="337"/>
        <v/>
      </c>
      <c r="U3107" s="83" t="str">
        <f t="shared" si="338"/>
        <v/>
      </c>
      <c r="V3107" s="83" t="str">
        <f t="shared" si="339"/>
        <v/>
      </c>
      <c r="AA3107" s="60">
        <f t="shared" si="340"/>
        <v>0</v>
      </c>
      <c r="AB3107" s="49">
        <f t="shared" si="341"/>
        <v>0</v>
      </c>
      <c r="AC3107" s="60">
        <f t="shared" si="342"/>
        <v>0</v>
      </c>
    </row>
    <row r="3108" spans="1:29">
      <c r="A3108" s="83" t="str">
        <f t="shared" si="336"/>
        <v/>
      </c>
      <c r="B3108" s="83" t="str">
        <f t="shared" si="337"/>
        <v/>
      </c>
      <c r="U3108" s="83" t="str">
        <f t="shared" si="338"/>
        <v/>
      </c>
      <c r="V3108" s="83" t="str">
        <f t="shared" si="339"/>
        <v/>
      </c>
      <c r="AA3108" s="60">
        <f t="shared" si="340"/>
        <v>0</v>
      </c>
      <c r="AB3108" s="49">
        <f t="shared" si="341"/>
        <v>0</v>
      </c>
      <c r="AC3108" s="60">
        <f t="shared" si="342"/>
        <v>0</v>
      </c>
    </row>
    <row r="3109" spans="1:29">
      <c r="A3109" s="83" t="str">
        <f t="shared" si="336"/>
        <v/>
      </c>
      <c r="B3109" s="83" t="str">
        <f t="shared" si="337"/>
        <v/>
      </c>
      <c r="U3109" s="83" t="str">
        <f t="shared" si="338"/>
        <v/>
      </c>
      <c r="V3109" s="83" t="str">
        <f t="shared" si="339"/>
        <v/>
      </c>
      <c r="AA3109" s="60">
        <f t="shared" si="340"/>
        <v>0</v>
      </c>
      <c r="AB3109" s="49">
        <f t="shared" si="341"/>
        <v>0</v>
      </c>
      <c r="AC3109" s="60">
        <f t="shared" si="342"/>
        <v>0</v>
      </c>
    </row>
    <row r="3110" spans="1:29">
      <c r="A3110" s="83" t="str">
        <f t="shared" si="336"/>
        <v/>
      </c>
      <c r="B3110" s="83" t="str">
        <f t="shared" si="337"/>
        <v/>
      </c>
      <c r="U3110" s="83" t="str">
        <f t="shared" si="338"/>
        <v/>
      </c>
      <c r="V3110" s="83" t="str">
        <f t="shared" si="339"/>
        <v/>
      </c>
      <c r="AA3110" s="60">
        <f t="shared" si="340"/>
        <v>0</v>
      </c>
      <c r="AB3110" s="49">
        <f t="shared" si="341"/>
        <v>0</v>
      </c>
      <c r="AC3110" s="60">
        <f t="shared" si="342"/>
        <v>0</v>
      </c>
    </row>
    <row r="3111" spans="1:29">
      <c r="A3111" s="83" t="str">
        <f t="shared" si="336"/>
        <v/>
      </c>
      <c r="B3111" s="83" t="str">
        <f t="shared" si="337"/>
        <v/>
      </c>
      <c r="U3111" s="83" t="str">
        <f t="shared" si="338"/>
        <v/>
      </c>
      <c r="V3111" s="83" t="str">
        <f t="shared" si="339"/>
        <v/>
      </c>
      <c r="AA3111" s="60">
        <f t="shared" si="340"/>
        <v>0</v>
      </c>
      <c r="AB3111" s="49">
        <f t="shared" si="341"/>
        <v>0</v>
      </c>
      <c r="AC3111" s="60">
        <f t="shared" si="342"/>
        <v>0</v>
      </c>
    </row>
    <row r="3112" spans="1:29">
      <c r="A3112" s="83" t="str">
        <f t="shared" si="336"/>
        <v/>
      </c>
      <c r="B3112" s="83" t="str">
        <f t="shared" si="337"/>
        <v/>
      </c>
      <c r="U3112" s="83" t="str">
        <f t="shared" si="338"/>
        <v/>
      </c>
      <c r="V3112" s="83" t="str">
        <f t="shared" si="339"/>
        <v/>
      </c>
      <c r="AA3112" s="60">
        <f t="shared" si="340"/>
        <v>0</v>
      </c>
      <c r="AB3112" s="49">
        <f t="shared" si="341"/>
        <v>0</v>
      </c>
      <c r="AC3112" s="60">
        <f t="shared" si="342"/>
        <v>0</v>
      </c>
    </row>
    <row r="3113" spans="1:29">
      <c r="A3113" s="83" t="str">
        <f t="shared" si="336"/>
        <v/>
      </c>
      <c r="B3113" s="83" t="str">
        <f t="shared" si="337"/>
        <v/>
      </c>
      <c r="U3113" s="83" t="str">
        <f t="shared" si="338"/>
        <v/>
      </c>
      <c r="V3113" s="83" t="str">
        <f t="shared" si="339"/>
        <v/>
      </c>
      <c r="AA3113" s="60">
        <f t="shared" si="340"/>
        <v>0</v>
      </c>
      <c r="AB3113" s="49">
        <f t="shared" si="341"/>
        <v>0</v>
      </c>
      <c r="AC3113" s="60">
        <f t="shared" si="342"/>
        <v>0</v>
      </c>
    </row>
    <row r="3114" spans="1:29">
      <c r="A3114" s="83" t="str">
        <f t="shared" si="336"/>
        <v/>
      </c>
      <c r="B3114" s="83" t="str">
        <f t="shared" si="337"/>
        <v/>
      </c>
      <c r="U3114" s="83" t="str">
        <f t="shared" si="338"/>
        <v/>
      </c>
      <c r="V3114" s="83" t="str">
        <f t="shared" si="339"/>
        <v/>
      </c>
      <c r="AA3114" s="60">
        <f t="shared" si="340"/>
        <v>0</v>
      </c>
      <c r="AB3114" s="49">
        <f t="shared" si="341"/>
        <v>0</v>
      </c>
      <c r="AC3114" s="60">
        <f t="shared" si="342"/>
        <v>0</v>
      </c>
    </row>
    <row r="3115" spans="1:29">
      <c r="A3115" s="83" t="str">
        <f t="shared" si="336"/>
        <v/>
      </c>
      <c r="B3115" s="83" t="str">
        <f t="shared" si="337"/>
        <v/>
      </c>
      <c r="U3115" s="83" t="str">
        <f t="shared" si="338"/>
        <v/>
      </c>
      <c r="V3115" s="83" t="str">
        <f t="shared" si="339"/>
        <v/>
      </c>
      <c r="AA3115" s="60">
        <f t="shared" si="340"/>
        <v>0</v>
      </c>
      <c r="AB3115" s="49">
        <f t="shared" si="341"/>
        <v>0</v>
      </c>
      <c r="AC3115" s="60">
        <f t="shared" si="342"/>
        <v>0</v>
      </c>
    </row>
    <row r="3116" spans="1:29">
      <c r="A3116" s="83" t="str">
        <f t="shared" si="336"/>
        <v/>
      </c>
      <c r="B3116" s="83" t="str">
        <f t="shared" si="337"/>
        <v/>
      </c>
      <c r="U3116" s="83" t="str">
        <f t="shared" si="338"/>
        <v/>
      </c>
      <c r="V3116" s="83" t="str">
        <f t="shared" si="339"/>
        <v/>
      </c>
      <c r="AA3116" s="60">
        <f t="shared" si="340"/>
        <v>0</v>
      </c>
      <c r="AB3116" s="49">
        <f t="shared" si="341"/>
        <v>0</v>
      </c>
      <c r="AC3116" s="60">
        <f t="shared" si="342"/>
        <v>0</v>
      </c>
    </row>
    <row r="3117" spans="1:29">
      <c r="A3117" s="83" t="str">
        <f t="shared" si="336"/>
        <v/>
      </c>
      <c r="B3117" s="83" t="str">
        <f t="shared" si="337"/>
        <v/>
      </c>
      <c r="U3117" s="83" t="str">
        <f t="shared" si="338"/>
        <v/>
      </c>
      <c r="V3117" s="83" t="str">
        <f t="shared" si="339"/>
        <v/>
      </c>
      <c r="AA3117" s="60">
        <f t="shared" si="340"/>
        <v>0</v>
      </c>
      <c r="AB3117" s="49">
        <f t="shared" si="341"/>
        <v>0</v>
      </c>
      <c r="AC3117" s="60">
        <f t="shared" si="342"/>
        <v>0</v>
      </c>
    </row>
    <row r="3118" spans="1:29">
      <c r="A3118" s="83" t="str">
        <f t="shared" si="336"/>
        <v/>
      </c>
      <c r="B3118" s="83" t="str">
        <f t="shared" si="337"/>
        <v/>
      </c>
      <c r="U3118" s="83" t="str">
        <f t="shared" si="338"/>
        <v/>
      </c>
      <c r="V3118" s="83" t="str">
        <f t="shared" si="339"/>
        <v/>
      </c>
      <c r="AA3118" s="60">
        <f t="shared" si="340"/>
        <v>0</v>
      </c>
      <c r="AB3118" s="49">
        <f t="shared" si="341"/>
        <v>0</v>
      </c>
      <c r="AC3118" s="60">
        <f t="shared" si="342"/>
        <v>0</v>
      </c>
    </row>
    <row r="3119" spans="1:29">
      <c r="A3119" s="83" t="str">
        <f t="shared" si="336"/>
        <v/>
      </c>
      <c r="B3119" s="83" t="str">
        <f t="shared" si="337"/>
        <v/>
      </c>
      <c r="U3119" s="83" t="str">
        <f t="shared" si="338"/>
        <v/>
      </c>
      <c r="V3119" s="83" t="str">
        <f t="shared" si="339"/>
        <v/>
      </c>
      <c r="AA3119" s="60">
        <f t="shared" si="340"/>
        <v>0</v>
      </c>
      <c r="AB3119" s="49">
        <f t="shared" si="341"/>
        <v>0</v>
      </c>
      <c r="AC3119" s="60">
        <f t="shared" si="342"/>
        <v>0</v>
      </c>
    </row>
    <row r="3120" spans="1:29">
      <c r="A3120" s="83" t="str">
        <f t="shared" si="336"/>
        <v/>
      </c>
      <c r="B3120" s="83" t="str">
        <f t="shared" si="337"/>
        <v/>
      </c>
      <c r="U3120" s="83" t="str">
        <f t="shared" si="338"/>
        <v/>
      </c>
      <c r="V3120" s="83" t="str">
        <f t="shared" si="339"/>
        <v/>
      </c>
      <c r="AA3120" s="60">
        <f t="shared" si="340"/>
        <v>0</v>
      </c>
      <c r="AB3120" s="49">
        <f t="shared" si="341"/>
        <v>0</v>
      </c>
      <c r="AC3120" s="60">
        <f t="shared" si="342"/>
        <v>0</v>
      </c>
    </row>
    <row r="3121" spans="1:29">
      <c r="A3121" s="83" t="str">
        <f t="shared" si="336"/>
        <v/>
      </c>
      <c r="B3121" s="83" t="str">
        <f t="shared" si="337"/>
        <v/>
      </c>
      <c r="U3121" s="83" t="str">
        <f t="shared" si="338"/>
        <v/>
      </c>
      <c r="V3121" s="83" t="str">
        <f t="shared" si="339"/>
        <v/>
      </c>
      <c r="AA3121" s="60">
        <f t="shared" si="340"/>
        <v>0</v>
      </c>
      <c r="AB3121" s="49">
        <f t="shared" si="341"/>
        <v>0</v>
      </c>
      <c r="AC3121" s="60">
        <f t="shared" si="342"/>
        <v>0</v>
      </c>
    </row>
    <row r="3122" spans="1:29">
      <c r="A3122" s="83" t="str">
        <f t="shared" si="336"/>
        <v/>
      </c>
      <c r="B3122" s="83" t="str">
        <f t="shared" si="337"/>
        <v/>
      </c>
      <c r="U3122" s="83" t="str">
        <f t="shared" si="338"/>
        <v/>
      </c>
      <c r="V3122" s="83" t="str">
        <f t="shared" si="339"/>
        <v/>
      </c>
      <c r="AA3122" s="60">
        <f t="shared" si="340"/>
        <v>0</v>
      </c>
      <c r="AB3122" s="49">
        <f t="shared" si="341"/>
        <v>0</v>
      </c>
      <c r="AC3122" s="60">
        <f t="shared" si="342"/>
        <v>0</v>
      </c>
    </row>
    <row r="3123" spans="1:29">
      <c r="A3123" s="83" t="str">
        <f t="shared" si="336"/>
        <v/>
      </c>
      <c r="B3123" s="83" t="str">
        <f t="shared" si="337"/>
        <v/>
      </c>
      <c r="U3123" s="83" t="str">
        <f t="shared" si="338"/>
        <v/>
      </c>
      <c r="V3123" s="83" t="str">
        <f t="shared" si="339"/>
        <v/>
      </c>
      <c r="AA3123" s="60">
        <f t="shared" si="340"/>
        <v>0</v>
      </c>
      <c r="AB3123" s="49">
        <f t="shared" si="341"/>
        <v>0</v>
      </c>
      <c r="AC3123" s="60">
        <f t="shared" si="342"/>
        <v>0</v>
      </c>
    </row>
    <row r="3124" spans="1:29">
      <c r="A3124" s="83" t="str">
        <f t="shared" si="336"/>
        <v/>
      </c>
      <c r="B3124" s="83" t="str">
        <f t="shared" si="337"/>
        <v/>
      </c>
      <c r="U3124" s="83" t="str">
        <f t="shared" si="338"/>
        <v/>
      </c>
      <c r="V3124" s="83" t="str">
        <f t="shared" si="339"/>
        <v/>
      </c>
      <c r="AA3124" s="60">
        <f t="shared" si="340"/>
        <v>0</v>
      </c>
      <c r="AB3124" s="49">
        <f t="shared" si="341"/>
        <v>0</v>
      </c>
      <c r="AC3124" s="60">
        <f t="shared" si="342"/>
        <v>0</v>
      </c>
    </row>
    <row r="3125" spans="1:29">
      <c r="A3125" s="83" t="str">
        <f t="shared" si="336"/>
        <v/>
      </c>
      <c r="B3125" s="83" t="str">
        <f t="shared" si="337"/>
        <v/>
      </c>
      <c r="U3125" s="83" t="str">
        <f t="shared" si="338"/>
        <v/>
      </c>
      <c r="V3125" s="83" t="str">
        <f t="shared" si="339"/>
        <v/>
      </c>
      <c r="AA3125" s="60">
        <f t="shared" si="340"/>
        <v>0</v>
      </c>
      <c r="AB3125" s="49">
        <f t="shared" si="341"/>
        <v>0</v>
      </c>
      <c r="AC3125" s="60">
        <f t="shared" si="342"/>
        <v>0</v>
      </c>
    </row>
    <row r="3126" spans="1:29">
      <c r="A3126" s="83" t="str">
        <f t="shared" si="336"/>
        <v/>
      </c>
      <c r="B3126" s="83" t="str">
        <f t="shared" si="337"/>
        <v/>
      </c>
      <c r="U3126" s="83" t="str">
        <f t="shared" si="338"/>
        <v/>
      </c>
      <c r="V3126" s="83" t="str">
        <f t="shared" si="339"/>
        <v/>
      </c>
      <c r="AA3126" s="60">
        <f t="shared" si="340"/>
        <v>0</v>
      </c>
      <c r="AB3126" s="49">
        <f t="shared" si="341"/>
        <v>0</v>
      </c>
      <c r="AC3126" s="60">
        <f t="shared" si="342"/>
        <v>0</v>
      </c>
    </row>
    <row r="3127" spans="1:29">
      <c r="A3127" s="83" t="str">
        <f t="shared" si="336"/>
        <v/>
      </c>
      <c r="B3127" s="83" t="str">
        <f t="shared" si="337"/>
        <v/>
      </c>
      <c r="U3127" s="83" t="str">
        <f t="shared" si="338"/>
        <v/>
      </c>
      <c r="V3127" s="83" t="str">
        <f t="shared" si="339"/>
        <v/>
      </c>
      <c r="AA3127" s="60">
        <f t="shared" si="340"/>
        <v>0</v>
      </c>
      <c r="AB3127" s="49">
        <f t="shared" si="341"/>
        <v>0</v>
      </c>
      <c r="AC3127" s="60">
        <f t="shared" si="342"/>
        <v>0</v>
      </c>
    </row>
    <row r="3128" spans="1:29">
      <c r="A3128" s="83" t="str">
        <f t="shared" si="336"/>
        <v/>
      </c>
      <c r="B3128" s="83" t="str">
        <f t="shared" si="337"/>
        <v/>
      </c>
      <c r="U3128" s="83" t="str">
        <f t="shared" si="338"/>
        <v/>
      </c>
      <c r="V3128" s="83" t="str">
        <f t="shared" si="339"/>
        <v/>
      </c>
      <c r="AA3128" s="60">
        <f t="shared" si="340"/>
        <v>0</v>
      </c>
      <c r="AB3128" s="49">
        <f t="shared" si="341"/>
        <v>0</v>
      </c>
      <c r="AC3128" s="60">
        <f t="shared" si="342"/>
        <v>0</v>
      </c>
    </row>
    <row r="3129" spans="1:29">
      <c r="A3129" s="83" t="str">
        <f t="shared" si="336"/>
        <v/>
      </c>
      <c r="B3129" s="83" t="str">
        <f t="shared" si="337"/>
        <v/>
      </c>
      <c r="U3129" s="83" t="str">
        <f t="shared" si="338"/>
        <v/>
      </c>
      <c r="V3129" s="83" t="str">
        <f t="shared" si="339"/>
        <v/>
      </c>
      <c r="AA3129" s="60">
        <f t="shared" si="340"/>
        <v>0</v>
      </c>
      <c r="AB3129" s="49">
        <f t="shared" si="341"/>
        <v>0</v>
      </c>
      <c r="AC3129" s="60">
        <f t="shared" si="342"/>
        <v>0</v>
      </c>
    </row>
    <row r="3130" spans="1:29">
      <c r="A3130" s="83" t="str">
        <f t="shared" si="336"/>
        <v/>
      </c>
      <c r="B3130" s="83" t="str">
        <f t="shared" si="337"/>
        <v/>
      </c>
      <c r="U3130" s="83" t="str">
        <f t="shared" si="338"/>
        <v/>
      </c>
      <c r="V3130" s="83" t="str">
        <f t="shared" si="339"/>
        <v/>
      </c>
      <c r="AA3130" s="60">
        <f t="shared" si="340"/>
        <v>0</v>
      </c>
      <c r="AB3130" s="49">
        <f t="shared" si="341"/>
        <v>0</v>
      </c>
      <c r="AC3130" s="60">
        <f t="shared" si="342"/>
        <v>0</v>
      </c>
    </row>
    <row r="3131" spans="1:29">
      <c r="A3131" s="83" t="str">
        <f t="shared" si="336"/>
        <v/>
      </c>
      <c r="B3131" s="83" t="str">
        <f t="shared" si="337"/>
        <v/>
      </c>
      <c r="U3131" s="83" t="str">
        <f t="shared" si="338"/>
        <v/>
      </c>
      <c r="V3131" s="83" t="str">
        <f t="shared" si="339"/>
        <v/>
      </c>
      <c r="AA3131" s="60">
        <f t="shared" si="340"/>
        <v>0</v>
      </c>
      <c r="AB3131" s="49">
        <f t="shared" si="341"/>
        <v>0</v>
      </c>
      <c r="AC3131" s="60">
        <f t="shared" si="342"/>
        <v>0</v>
      </c>
    </row>
    <row r="3132" spans="1:29">
      <c r="A3132" s="83" t="str">
        <f t="shared" si="336"/>
        <v/>
      </c>
      <c r="B3132" s="83" t="str">
        <f t="shared" si="337"/>
        <v/>
      </c>
      <c r="U3132" s="83" t="str">
        <f t="shared" si="338"/>
        <v/>
      </c>
      <c r="V3132" s="83" t="str">
        <f t="shared" si="339"/>
        <v/>
      </c>
      <c r="AA3132" s="60">
        <f t="shared" si="340"/>
        <v>0</v>
      </c>
      <c r="AB3132" s="49">
        <f t="shared" si="341"/>
        <v>0</v>
      </c>
      <c r="AC3132" s="60">
        <f t="shared" si="342"/>
        <v>0</v>
      </c>
    </row>
    <row r="3133" spans="1:29">
      <c r="A3133" s="83" t="str">
        <f t="shared" si="336"/>
        <v/>
      </c>
      <c r="B3133" s="83" t="str">
        <f t="shared" si="337"/>
        <v/>
      </c>
      <c r="U3133" s="83" t="str">
        <f t="shared" si="338"/>
        <v/>
      </c>
      <c r="V3133" s="83" t="str">
        <f t="shared" si="339"/>
        <v/>
      </c>
      <c r="AA3133" s="60">
        <f t="shared" si="340"/>
        <v>0</v>
      </c>
      <c r="AB3133" s="49">
        <f t="shared" si="341"/>
        <v>0</v>
      </c>
      <c r="AC3133" s="60">
        <f t="shared" si="342"/>
        <v>0</v>
      </c>
    </row>
    <row r="3134" spans="1:29">
      <c r="A3134" s="83" t="str">
        <f t="shared" si="336"/>
        <v/>
      </c>
      <c r="B3134" s="83" t="str">
        <f t="shared" si="337"/>
        <v/>
      </c>
      <c r="U3134" s="83" t="str">
        <f t="shared" si="338"/>
        <v/>
      </c>
      <c r="V3134" s="83" t="str">
        <f t="shared" si="339"/>
        <v/>
      </c>
      <c r="AA3134" s="60">
        <f t="shared" si="340"/>
        <v>0</v>
      </c>
      <c r="AB3134" s="49">
        <f t="shared" si="341"/>
        <v>0</v>
      </c>
      <c r="AC3134" s="60">
        <f t="shared" si="342"/>
        <v>0</v>
      </c>
    </row>
    <row r="3135" spans="1:29">
      <c r="A3135" s="83" t="str">
        <f t="shared" si="336"/>
        <v/>
      </c>
      <c r="B3135" s="83" t="str">
        <f t="shared" si="337"/>
        <v/>
      </c>
      <c r="U3135" s="83" t="str">
        <f t="shared" si="338"/>
        <v/>
      </c>
      <c r="V3135" s="83" t="str">
        <f t="shared" si="339"/>
        <v/>
      </c>
      <c r="AA3135" s="60">
        <f t="shared" si="340"/>
        <v>0</v>
      </c>
      <c r="AB3135" s="49">
        <f t="shared" si="341"/>
        <v>0</v>
      </c>
      <c r="AC3135" s="60">
        <f t="shared" si="342"/>
        <v>0</v>
      </c>
    </row>
    <row r="3136" spans="1:29">
      <c r="A3136" s="83" t="str">
        <f t="shared" si="336"/>
        <v/>
      </c>
      <c r="B3136" s="83" t="str">
        <f t="shared" si="337"/>
        <v/>
      </c>
      <c r="U3136" s="83" t="str">
        <f t="shared" si="338"/>
        <v/>
      </c>
      <c r="V3136" s="83" t="str">
        <f t="shared" si="339"/>
        <v/>
      </c>
      <c r="AA3136" s="60">
        <f t="shared" si="340"/>
        <v>0</v>
      </c>
      <c r="AB3136" s="49">
        <f t="shared" si="341"/>
        <v>0</v>
      </c>
      <c r="AC3136" s="60">
        <f t="shared" si="342"/>
        <v>0</v>
      </c>
    </row>
    <row r="3137" spans="1:29">
      <c r="A3137" s="83" t="str">
        <f t="shared" si="336"/>
        <v/>
      </c>
      <c r="B3137" s="83" t="str">
        <f t="shared" si="337"/>
        <v/>
      </c>
      <c r="U3137" s="83" t="str">
        <f t="shared" si="338"/>
        <v/>
      </c>
      <c r="V3137" s="83" t="str">
        <f t="shared" si="339"/>
        <v/>
      </c>
      <c r="AA3137" s="60">
        <f t="shared" si="340"/>
        <v>0</v>
      </c>
      <c r="AB3137" s="49">
        <f t="shared" si="341"/>
        <v>0</v>
      </c>
      <c r="AC3137" s="60">
        <f t="shared" si="342"/>
        <v>0</v>
      </c>
    </row>
    <row r="3138" spans="1:29">
      <c r="A3138" s="83" t="str">
        <f t="shared" si="336"/>
        <v/>
      </c>
      <c r="B3138" s="83" t="str">
        <f t="shared" si="337"/>
        <v/>
      </c>
      <c r="U3138" s="83" t="str">
        <f t="shared" si="338"/>
        <v/>
      </c>
      <c r="V3138" s="83" t="str">
        <f t="shared" si="339"/>
        <v/>
      </c>
      <c r="AA3138" s="60">
        <f t="shared" si="340"/>
        <v>0</v>
      </c>
      <c r="AB3138" s="49">
        <f t="shared" si="341"/>
        <v>0</v>
      </c>
      <c r="AC3138" s="60">
        <f t="shared" si="342"/>
        <v>0</v>
      </c>
    </row>
    <row r="3139" spans="1:29">
      <c r="A3139" s="83" t="str">
        <f t="shared" ref="A3139:A3202" si="343">IF(G3139&amp;Q3139&lt;&gt;"",U3139&amp;Q3139,"")</f>
        <v/>
      </c>
      <c r="B3139" s="83" t="str">
        <f t="shared" ref="B3139:B3202" si="344">IF(C3139&lt;&gt;"",LEFT(C3139,9),"")</f>
        <v/>
      </c>
      <c r="U3139" s="83" t="str">
        <f t="shared" ref="U3139:U3202" si="345">IF(G3139&lt;&gt;"",IF(StyleSpaceSplit,IFERROR(IF(FIND(" ",G3139)&gt;=1,MID(G3139,1,FIND(" ",G3139)-1),G3139),G3139),G3139),"")</f>
        <v/>
      </c>
      <c r="V3139" s="83" t="str">
        <f t="shared" ref="V3139:V3202" si="346">IF(A3139&lt;&gt;"",IFERROR(IF(FIND(" ",G3139)&gt;=1,MID(G3139,FIND(" ",G3139)+1,LEN(G3139)),""),G3139),"")</f>
        <v/>
      </c>
      <c r="AA3139" s="60">
        <f t="shared" ref="AA3139:AA3202" si="347">IFERROR(VALUE(MID($C3139,1,2)),0)</f>
        <v>0</v>
      </c>
      <c r="AB3139" s="49">
        <f t="shared" ref="AB3139:AB3202" si="348">IFERROR(VALUE(MID($C3139,4,3)),0)</f>
        <v>0</v>
      </c>
      <c r="AC3139" s="60">
        <f t="shared" ref="AC3139:AC3202" si="349">VALUE(RIGHT("00"&amp;AA3139,2)&amp;RIGHT("000"&amp;AB3139,3))</f>
        <v>0</v>
      </c>
    </row>
    <row r="3140" spans="1:29">
      <c r="A3140" s="83" t="str">
        <f t="shared" si="343"/>
        <v/>
      </c>
      <c r="B3140" s="83" t="str">
        <f t="shared" si="344"/>
        <v/>
      </c>
      <c r="U3140" s="83" t="str">
        <f t="shared" si="345"/>
        <v/>
      </c>
      <c r="V3140" s="83" t="str">
        <f t="shared" si="346"/>
        <v/>
      </c>
      <c r="AA3140" s="60">
        <f t="shared" si="347"/>
        <v>0</v>
      </c>
      <c r="AB3140" s="49">
        <f t="shared" si="348"/>
        <v>0</v>
      </c>
      <c r="AC3140" s="60">
        <f t="shared" si="349"/>
        <v>0</v>
      </c>
    </row>
    <row r="3141" spans="1:29">
      <c r="A3141" s="83" t="str">
        <f t="shared" si="343"/>
        <v/>
      </c>
      <c r="B3141" s="83" t="str">
        <f t="shared" si="344"/>
        <v/>
      </c>
      <c r="U3141" s="83" t="str">
        <f t="shared" si="345"/>
        <v/>
      </c>
      <c r="V3141" s="83" t="str">
        <f t="shared" si="346"/>
        <v/>
      </c>
      <c r="AA3141" s="60">
        <f t="shared" si="347"/>
        <v>0</v>
      </c>
      <c r="AB3141" s="49">
        <f t="shared" si="348"/>
        <v>0</v>
      </c>
      <c r="AC3141" s="60">
        <f t="shared" si="349"/>
        <v>0</v>
      </c>
    </row>
    <row r="3142" spans="1:29">
      <c r="A3142" s="83" t="str">
        <f t="shared" si="343"/>
        <v/>
      </c>
      <c r="B3142" s="83" t="str">
        <f t="shared" si="344"/>
        <v/>
      </c>
      <c r="U3142" s="83" t="str">
        <f t="shared" si="345"/>
        <v/>
      </c>
      <c r="V3142" s="83" t="str">
        <f t="shared" si="346"/>
        <v/>
      </c>
      <c r="AA3142" s="60">
        <f t="shared" si="347"/>
        <v>0</v>
      </c>
      <c r="AB3142" s="49">
        <f t="shared" si="348"/>
        <v>0</v>
      </c>
      <c r="AC3142" s="60">
        <f t="shared" si="349"/>
        <v>0</v>
      </c>
    </row>
    <row r="3143" spans="1:29">
      <c r="A3143" s="83" t="str">
        <f t="shared" si="343"/>
        <v/>
      </c>
      <c r="B3143" s="83" t="str">
        <f t="shared" si="344"/>
        <v/>
      </c>
      <c r="U3143" s="83" t="str">
        <f t="shared" si="345"/>
        <v/>
      </c>
      <c r="V3143" s="83" t="str">
        <f t="shared" si="346"/>
        <v/>
      </c>
      <c r="AA3143" s="60">
        <f t="shared" si="347"/>
        <v>0</v>
      </c>
      <c r="AB3143" s="49">
        <f t="shared" si="348"/>
        <v>0</v>
      </c>
      <c r="AC3143" s="60">
        <f t="shared" si="349"/>
        <v>0</v>
      </c>
    </row>
    <row r="3144" spans="1:29">
      <c r="A3144" s="83" t="str">
        <f t="shared" si="343"/>
        <v/>
      </c>
      <c r="B3144" s="83" t="str">
        <f t="shared" si="344"/>
        <v/>
      </c>
      <c r="U3144" s="83" t="str">
        <f t="shared" si="345"/>
        <v/>
      </c>
      <c r="V3144" s="83" t="str">
        <f t="shared" si="346"/>
        <v/>
      </c>
      <c r="AA3144" s="60">
        <f t="shared" si="347"/>
        <v>0</v>
      </c>
      <c r="AB3144" s="49">
        <f t="shared" si="348"/>
        <v>0</v>
      </c>
      <c r="AC3144" s="60">
        <f t="shared" si="349"/>
        <v>0</v>
      </c>
    </row>
    <row r="3145" spans="1:29">
      <c r="A3145" s="83" t="str">
        <f t="shared" si="343"/>
        <v/>
      </c>
      <c r="B3145" s="83" t="str">
        <f t="shared" si="344"/>
        <v/>
      </c>
      <c r="U3145" s="83" t="str">
        <f t="shared" si="345"/>
        <v/>
      </c>
      <c r="V3145" s="83" t="str">
        <f t="shared" si="346"/>
        <v/>
      </c>
      <c r="AA3145" s="60">
        <f t="shared" si="347"/>
        <v>0</v>
      </c>
      <c r="AB3145" s="49">
        <f t="shared" si="348"/>
        <v>0</v>
      </c>
      <c r="AC3145" s="60">
        <f t="shared" si="349"/>
        <v>0</v>
      </c>
    </row>
    <row r="3146" spans="1:29">
      <c r="A3146" s="83" t="str">
        <f t="shared" si="343"/>
        <v/>
      </c>
      <c r="B3146" s="83" t="str">
        <f t="shared" si="344"/>
        <v/>
      </c>
      <c r="U3146" s="83" t="str">
        <f t="shared" si="345"/>
        <v/>
      </c>
      <c r="V3146" s="83" t="str">
        <f t="shared" si="346"/>
        <v/>
      </c>
      <c r="AA3146" s="60">
        <f t="shared" si="347"/>
        <v>0</v>
      </c>
      <c r="AB3146" s="49">
        <f t="shared" si="348"/>
        <v>0</v>
      </c>
      <c r="AC3146" s="60">
        <f t="shared" si="349"/>
        <v>0</v>
      </c>
    </row>
    <row r="3147" spans="1:29">
      <c r="A3147" s="83" t="str">
        <f t="shared" si="343"/>
        <v/>
      </c>
      <c r="B3147" s="83" t="str">
        <f t="shared" si="344"/>
        <v/>
      </c>
      <c r="U3147" s="83" t="str">
        <f t="shared" si="345"/>
        <v/>
      </c>
      <c r="V3147" s="83" t="str">
        <f t="shared" si="346"/>
        <v/>
      </c>
      <c r="AA3147" s="60">
        <f t="shared" si="347"/>
        <v>0</v>
      </c>
      <c r="AB3147" s="49">
        <f t="shared" si="348"/>
        <v>0</v>
      </c>
      <c r="AC3147" s="60">
        <f t="shared" si="349"/>
        <v>0</v>
      </c>
    </row>
    <row r="3148" spans="1:29">
      <c r="A3148" s="83" t="str">
        <f t="shared" si="343"/>
        <v/>
      </c>
      <c r="B3148" s="83" t="str">
        <f t="shared" si="344"/>
        <v/>
      </c>
      <c r="U3148" s="83" t="str">
        <f t="shared" si="345"/>
        <v/>
      </c>
      <c r="V3148" s="83" t="str">
        <f t="shared" si="346"/>
        <v/>
      </c>
      <c r="AA3148" s="60">
        <f t="shared" si="347"/>
        <v>0</v>
      </c>
      <c r="AB3148" s="49">
        <f t="shared" si="348"/>
        <v>0</v>
      </c>
      <c r="AC3148" s="60">
        <f t="shared" si="349"/>
        <v>0</v>
      </c>
    </row>
    <row r="3149" spans="1:29">
      <c r="A3149" s="83" t="str">
        <f t="shared" si="343"/>
        <v/>
      </c>
      <c r="B3149" s="83" t="str">
        <f t="shared" si="344"/>
        <v/>
      </c>
      <c r="U3149" s="83" t="str">
        <f t="shared" si="345"/>
        <v/>
      </c>
      <c r="V3149" s="83" t="str">
        <f t="shared" si="346"/>
        <v/>
      </c>
      <c r="AA3149" s="60">
        <f t="shared" si="347"/>
        <v>0</v>
      </c>
      <c r="AB3149" s="49">
        <f t="shared" si="348"/>
        <v>0</v>
      </c>
      <c r="AC3149" s="60">
        <f t="shared" si="349"/>
        <v>0</v>
      </c>
    </row>
    <row r="3150" spans="1:29">
      <c r="A3150" s="83" t="str">
        <f t="shared" si="343"/>
        <v/>
      </c>
      <c r="B3150" s="83" t="str">
        <f t="shared" si="344"/>
        <v/>
      </c>
      <c r="U3150" s="83" t="str">
        <f t="shared" si="345"/>
        <v/>
      </c>
      <c r="V3150" s="83" t="str">
        <f t="shared" si="346"/>
        <v/>
      </c>
      <c r="AA3150" s="60">
        <f t="shared" si="347"/>
        <v>0</v>
      </c>
      <c r="AB3150" s="49">
        <f t="shared" si="348"/>
        <v>0</v>
      </c>
      <c r="AC3150" s="60">
        <f t="shared" si="349"/>
        <v>0</v>
      </c>
    </row>
    <row r="3151" spans="1:29">
      <c r="A3151" s="83" t="str">
        <f t="shared" si="343"/>
        <v/>
      </c>
      <c r="B3151" s="83" t="str">
        <f t="shared" si="344"/>
        <v/>
      </c>
      <c r="U3151" s="83" t="str">
        <f t="shared" si="345"/>
        <v/>
      </c>
      <c r="V3151" s="83" t="str">
        <f t="shared" si="346"/>
        <v/>
      </c>
      <c r="AA3151" s="60">
        <f t="shared" si="347"/>
        <v>0</v>
      </c>
      <c r="AB3151" s="49">
        <f t="shared" si="348"/>
        <v>0</v>
      </c>
      <c r="AC3151" s="60">
        <f t="shared" si="349"/>
        <v>0</v>
      </c>
    </row>
    <row r="3152" spans="1:29">
      <c r="A3152" s="83" t="str">
        <f t="shared" si="343"/>
        <v/>
      </c>
      <c r="B3152" s="83" t="str">
        <f t="shared" si="344"/>
        <v/>
      </c>
      <c r="U3152" s="83" t="str">
        <f t="shared" si="345"/>
        <v/>
      </c>
      <c r="V3152" s="83" t="str">
        <f t="shared" si="346"/>
        <v/>
      </c>
      <c r="AA3152" s="60">
        <f t="shared" si="347"/>
        <v>0</v>
      </c>
      <c r="AB3152" s="49">
        <f t="shared" si="348"/>
        <v>0</v>
      </c>
      <c r="AC3152" s="60">
        <f t="shared" si="349"/>
        <v>0</v>
      </c>
    </row>
    <row r="3153" spans="1:29">
      <c r="A3153" s="83" t="str">
        <f t="shared" si="343"/>
        <v/>
      </c>
      <c r="B3153" s="83" t="str">
        <f t="shared" si="344"/>
        <v/>
      </c>
      <c r="U3153" s="83" t="str">
        <f t="shared" si="345"/>
        <v/>
      </c>
      <c r="V3153" s="83" t="str">
        <f t="shared" si="346"/>
        <v/>
      </c>
      <c r="AA3153" s="60">
        <f t="shared" si="347"/>
        <v>0</v>
      </c>
      <c r="AB3153" s="49">
        <f t="shared" si="348"/>
        <v>0</v>
      </c>
      <c r="AC3153" s="60">
        <f t="shared" si="349"/>
        <v>0</v>
      </c>
    </row>
    <row r="3154" spans="1:29">
      <c r="A3154" s="83" t="str">
        <f t="shared" si="343"/>
        <v/>
      </c>
      <c r="B3154" s="83" t="str">
        <f t="shared" si="344"/>
        <v/>
      </c>
      <c r="U3154" s="83" t="str">
        <f t="shared" si="345"/>
        <v/>
      </c>
      <c r="V3154" s="83" t="str">
        <f t="shared" si="346"/>
        <v/>
      </c>
      <c r="AA3154" s="60">
        <f t="shared" si="347"/>
        <v>0</v>
      </c>
      <c r="AB3154" s="49">
        <f t="shared" si="348"/>
        <v>0</v>
      </c>
      <c r="AC3154" s="60">
        <f t="shared" si="349"/>
        <v>0</v>
      </c>
    </row>
    <row r="3155" spans="1:29">
      <c r="A3155" s="83" t="str">
        <f t="shared" si="343"/>
        <v/>
      </c>
      <c r="B3155" s="83" t="str">
        <f t="shared" si="344"/>
        <v/>
      </c>
      <c r="U3155" s="83" t="str">
        <f t="shared" si="345"/>
        <v/>
      </c>
      <c r="V3155" s="83" t="str">
        <f t="shared" si="346"/>
        <v/>
      </c>
      <c r="AA3155" s="60">
        <f t="shared" si="347"/>
        <v>0</v>
      </c>
      <c r="AB3155" s="49">
        <f t="shared" si="348"/>
        <v>0</v>
      </c>
      <c r="AC3155" s="60">
        <f t="shared" si="349"/>
        <v>0</v>
      </c>
    </row>
    <row r="3156" spans="1:29">
      <c r="A3156" s="83" t="str">
        <f t="shared" si="343"/>
        <v/>
      </c>
      <c r="B3156" s="83" t="str">
        <f t="shared" si="344"/>
        <v/>
      </c>
      <c r="U3156" s="83" t="str">
        <f t="shared" si="345"/>
        <v/>
      </c>
      <c r="V3156" s="83" t="str">
        <f t="shared" si="346"/>
        <v/>
      </c>
      <c r="AA3156" s="60">
        <f t="shared" si="347"/>
        <v>0</v>
      </c>
      <c r="AB3156" s="49">
        <f t="shared" si="348"/>
        <v>0</v>
      </c>
      <c r="AC3156" s="60">
        <f t="shared" si="349"/>
        <v>0</v>
      </c>
    </row>
    <row r="3157" spans="1:29">
      <c r="A3157" s="83" t="str">
        <f t="shared" si="343"/>
        <v/>
      </c>
      <c r="B3157" s="83" t="str">
        <f t="shared" si="344"/>
        <v/>
      </c>
      <c r="U3157" s="83" t="str">
        <f t="shared" si="345"/>
        <v/>
      </c>
      <c r="V3157" s="83" t="str">
        <f t="shared" si="346"/>
        <v/>
      </c>
      <c r="AA3157" s="60">
        <f t="shared" si="347"/>
        <v>0</v>
      </c>
      <c r="AB3157" s="49">
        <f t="shared" si="348"/>
        <v>0</v>
      </c>
      <c r="AC3157" s="60">
        <f t="shared" si="349"/>
        <v>0</v>
      </c>
    </row>
    <row r="3158" spans="1:29">
      <c r="A3158" s="83" t="str">
        <f t="shared" si="343"/>
        <v/>
      </c>
      <c r="B3158" s="83" t="str">
        <f t="shared" si="344"/>
        <v/>
      </c>
      <c r="U3158" s="83" t="str">
        <f t="shared" si="345"/>
        <v/>
      </c>
      <c r="V3158" s="83" t="str">
        <f t="shared" si="346"/>
        <v/>
      </c>
      <c r="AA3158" s="60">
        <f t="shared" si="347"/>
        <v>0</v>
      </c>
      <c r="AB3158" s="49">
        <f t="shared" si="348"/>
        <v>0</v>
      </c>
      <c r="AC3158" s="60">
        <f t="shared" si="349"/>
        <v>0</v>
      </c>
    </row>
    <row r="3159" spans="1:29">
      <c r="A3159" s="83" t="str">
        <f t="shared" si="343"/>
        <v/>
      </c>
      <c r="B3159" s="83" t="str">
        <f t="shared" si="344"/>
        <v/>
      </c>
      <c r="U3159" s="83" t="str">
        <f t="shared" si="345"/>
        <v/>
      </c>
      <c r="V3159" s="83" t="str">
        <f t="shared" si="346"/>
        <v/>
      </c>
      <c r="AA3159" s="60">
        <f t="shared" si="347"/>
        <v>0</v>
      </c>
      <c r="AB3159" s="49">
        <f t="shared" si="348"/>
        <v>0</v>
      </c>
      <c r="AC3159" s="60">
        <f t="shared" si="349"/>
        <v>0</v>
      </c>
    </row>
    <row r="3160" spans="1:29">
      <c r="A3160" s="83" t="str">
        <f t="shared" si="343"/>
        <v/>
      </c>
      <c r="B3160" s="83" t="str">
        <f t="shared" si="344"/>
        <v/>
      </c>
      <c r="U3160" s="83" t="str">
        <f t="shared" si="345"/>
        <v/>
      </c>
      <c r="V3160" s="83" t="str">
        <f t="shared" si="346"/>
        <v/>
      </c>
      <c r="AA3160" s="60">
        <f t="shared" si="347"/>
        <v>0</v>
      </c>
      <c r="AB3160" s="49">
        <f t="shared" si="348"/>
        <v>0</v>
      </c>
      <c r="AC3160" s="60">
        <f t="shared" si="349"/>
        <v>0</v>
      </c>
    </row>
    <row r="3161" spans="1:29">
      <c r="A3161" s="83" t="str">
        <f t="shared" si="343"/>
        <v/>
      </c>
      <c r="B3161" s="83" t="str">
        <f t="shared" si="344"/>
        <v/>
      </c>
      <c r="U3161" s="83" t="str">
        <f t="shared" si="345"/>
        <v/>
      </c>
      <c r="V3161" s="83" t="str">
        <f t="shared" si="346"/>
        <v/>
      </c>
      <c r="AA3161" s="60">
        <f t="shared" si="347"/>
        <v>0</v>
      </c>
      <c r="AB3161" s="49">
        <f t="shared" si="348"/>
        <v>0</v>
      </c>
      <c r="AC3161" s="60">
        <f t="shared" si="349"/>
        <v>0</v>
      </c>
    </row>
    <row r="3162" spans="1:29">
      <c r="A3162" s="83" t="str">
        <f t="shared" si="343"/>
        <v/>
      </c>
      <c r="B3162" s="83" t="str">
        <f t="shared" si="344"/>
        <v/>
      </c>
      <c r="U3162" s="83" t="str">
        <f t="shared" si="345"/>
        <v/>
      </c>
      <c r="V3162" s="83" t="str">
        <f t="shared" si="346"/>
        <v/>
      </c>
      <c r="AA3162" s="60">
        <f t="shared" si="347"/>
        <v>0</v>
      </c>
      <c r="AB3162" s="49">
        <f t="shared" si="348"/>
        <v>0</v>
      </c>
      <c r="AC3162" s="60">
        <f t="shared" si="349"/>
        <v>0</v>
      </c>
    </row>
    <row r="3163" spans="1:29">
      <c r="A3163" s="83" t="str">
        <f t="shared" si="343"/>
        <v/>
      </c>
      <c r="B3163" s="83" t="str">
        <f t="shared" si="344"/>
        <v/>
      </c>
      <c r="U3163" s="83" t="str">
        <f t="shared" si="345"/>
        <v/>
      </c>
      <c r="V3163" s="83" t="str">
        <f t="shared" si="346"/>
        <v/>
      </c>
      <c r="AA3163" s="60">
        <f t="shared" si="347"/>
        <v>0</v>
      </c>
      <c r="AB3163" s="49">
        <f t="shared" si="348"/>
        <v>0</v>
      </c>
      <c r="AC3163" s="60">
        <f t="shared" si="349"/>
        <v>0</v>
      </c>
    </row>
    <row r="3164" spans="1:29">
      <c r="A3164" s="83" t="str">
        <f t="shared" si="343"/>
        <v/>
      </c>
      <c r="B3164" s="83" t="str">
        <f t="shared" si="344"/>
        <v/>
      </c>
      <c r="U3164" s="83" t="str">
        <f t="shared" si="345"/>
        <v/>
      </c>
      <c r="V3164" s="83" t="str">
        <f t="shared" si="346"/>
        <v/>
      </c>
      <c r="AA3164" s="60">
        <f t="shared" si="347"/>
        <v>0</v>
      </c>
      <c r="AB3164" s="49">
        <f t="shared" si="348"/>
        <v>0</v>
      </c>
      <c r="AC3164" s="60">
        <f t="shared" si="349"/>
        <v>0</v>
      </c>
    </row>
    <row r="3165" spans="1:29">
      <c r="A3165" s="83" t="str">
        <f t="shared" si="343"/>
        <v/>
      </c>
      <c r="B3165" s="83" t="str">
        <f t="shared" si="344"/>
        <v/>
      </c>
      <c r="U3165" s="83" t="str">
        <f t="shared" si="345"/>
        <v/>
      </c>
      <c r="V3165" s="83" t="str">
        <f t="shared" si="346"/>
        <v/>
      </c>
      <c r="AA3165" s="60">
        <f t="shared" si="347"/>
        <v>0</v>
      </c>
      <c r="AB3165" s="49">
        <f t="shared" si="348"/>
        <v>0</v>
      </c>
      <c r="AC3165" s="60">
        <f t="shared" si="349"/>
        <v>0</v>
      </c>
    </row>
    <row r="3166" spans="1:29">
      <c r="A3166" s="83" t="str">
        <f t="shared" si="343"/>
        <v/>
      </c>
      <c r="B3166" s="83" t="str">
        <f t="shared" si="344"/>
        <v/>
      </c>
      <c r="U3166" s="83" t="str">
        <f t="shared" si="345"/>
        <v/>
      </c>
      <c r="V3166" s="83" t="str">
        <f t="shared" si="346"/>
        <v/>
      </c>
      <c r="AA3166" s="60">
        <f t="shared" si="347"/>
        <v>0</v>
      </c>
      <c r="AB3166" s="49">
        <f t="shared" si="348"/>
        <v>0</v>
      </c>
      <c r="AC3166" s="60">
        <f t="shared" si="349"/>
        <v>0</v>
      </c>
    </row>
    <row r="3167" spans="1:29">
      <c r="A3167" s="83" t="str">
        <f t="shared" si="343"/>
        <v/>
      </c>
      <c r="B3167" s="83" t="str">
        <f t="shared" si="344"/>
        <v/>
      </c>
      <c r="U3167" s="83" t="str">
        <f t="shared" si="345"/>
        <v/>
      </c>
      <c r="V3167" s="83" t="str">
        <f t="shared" si="346"/>
        <v/>
      </c>
      <c r="AA3167" s="60">
        <f t="shared" si="347"/>
        <v>0</v>
      </c>
      <c r="AB3167" s="49">
        <f t="shared" si="348"/>
        <v>0</v>
      </c>
      <c r="AC3167" s="60">
        <f t="shared" si="349"/>
        <v>0</v>
      </c>
    </row>
    <row r="3168" spans="1:29">
      <c r="A3168" s="83" t="str">
        <f t="shared" si="343"/>
        <v/>
      </c>
      <c r="B3168" s="83" t="str">
        <f t="shared" si="344"/>
        <v/>
      </c>
      <c r="U3168" s="83" t="str">
        <f t="shared" si="345"/>
        <v/>
      </c>
      <c r="V3168" s="83" t="str">
        <f t="shared" si="346"/>
        <v/>
      </c>
      <c r="AA3168" s="60">
        <f t="shared" si="347"/>
        <v>0</v>
      </c>
      <c r="AB3168" s="49">
        <f t="shared" si="348"/>
        <v>0</v>
      </c>
      <c r="AC3168" s="60">
        <f t="shared" si="349"/>
        <v>0</v>
      </c>
    </row>
    <row r="3169" spans="1:29">
      <c r="A3169" s="83" t="str">
        <f t="shared" si="343"/>
        <v/>
      </c>
      <c r="B3169" s="83" t="str">
        <f t="shared" si="344"/>
        <v/>
      </c>
      <c r="U3169" s="83" t="str">
        <f t="shared" si="345"/>
        <v/>
      </c>
      <c r="V3169" s="83" t="str">
        <f t="shared" si="346"/>
        <v/>
      </c>
      <c r="AA3169" s="60">
        <f t="shared" si="347"/>
        <v>0</v>
      </c>
      <c r="AB3169" s="49">
        <f t="shared" si="348"/>
        <v>0</v>
      </c>
      <c r="AC3169" s="60">
        <f t="shared" si="349"/>
        <v>0</v>
      </c>
    </row>
    <row r="3170" spans="1:29">
      <c r="A3170" s="83" t="str">
        <f t="shared" si="343"/>
        <v/>
      </c>
      <c r="B3170" s="83" t="str">
        <f t="shared" si="344"/>
        <v/>
      </c>
      <c r="U3170" s="83" t="str">
        <f t="shared" si="345"/>
        <v/>
      </c>
      <c r="V3170" s="83" t="str">
        <f t="shared" si="346"/>
        <v/>
      </c>
      <c r="AA3170" s="60">
        <f t="shared" si="347"/>
        <v>0</v>
      </c>
      <c r="AB3170" s="49">
        <f t="shared" si="348"/>
        <v>0</v>
      </c>
      <c r="AC3170" s="60">
        <f t="shared" si="349"/>
        <v>0</v>
      </c>
    </row>
    <row r="3171" spans="1:29">
      <c r="A3171" s="83" t="str">
        <f t="shared" si="343"/>
        <v/>
      </c>
      <c r="B3171" s="83" t="str">
        <f t="shared" si="344"/>
        <v/>
      </c>
      <c r="U3171" s="83" t="str">
        <f t="shared" si="345"/>
        <v/>
      </c>
      <c r="V3171" s="83" t="str">
        <f t="shared" si="346"/>
        <v/>
      </c>
      <c r="AA3171" s="60">
        <f t="shared" si="347"/>
        <v>0</v>
      </c>
      <c r="AB3171" s="49">
        <f t="shared" si="348"/>
        <v>0</v>
      </c>
      <c r="AC3171" s="60">
        <f t="shared" si="349"/>
        <v>0</v>
      </c>
    </row>
    <row r="3172" spans="1:29">
      <c r="A3172" s="83" t="str">
        <f t="shared" si="343"/>
        <v/>
      </c>
      <c r="B3172" s="83" t="str">
        <f t="shared" si="344"/>
        <v/>
      </c>
      <c r="U3172" s="83" t="str">
        <f t="shared" si="345"/>
        <v/>
      </c>
      <c r="V3172" s="83" t="str">
        <f t="shared" si="346"/>
        <v/>
      </c>
      <c r="AA3172" s="60">
        <f t="shared" si="347"/>
        <v>0</v>
      </c>
      <c r="AB3172" s="49">
        <f t="shared" si="348"/>
        <v>0</v>
      </c>
      <c r="AC3172" s="60">
        <f t="shared" si="349"/>
        <v>0</v>
      </c>
    </row>
    <row r="3173" spans="1:29">
      <c r="A3173" s="83" t="str">
        <f t="shared" si="343"/>
        <v/>
      </c>
      <c r="B3173" s="83" t="str">
        <f t="shared" si="344"/>
        <v/>
      </c>
      <c r="U3173" s="83" t="str">
        <f t="shared" si="345"/>
        <v/>
      </c>
      <c r="V3173" s="83" t="str">
        <f t="shared" si="346"/>
        <v/>
      </c>
      <c r="AA3173" s="60">
        <f t="shared" si="347"/>
        <v>0</v>
      </c>
      <c r="AB3173" s="49">
        <f t="shared" si="348"/>
        <v>0</v>
      </c>
      <c r="AC3173" s="60">
        <f t="shared" si="349"/>
        <v>0</v>
      </c>
    </row>
    <row r="3174" spans="1:29">
      <c r="A3174" s="83" t="str">
        <f t="shared" si="343"/>
        <v/>
      </c>
      <c r="B3174" s="83" t="str">
        <f t="shared" si="344"/>
        <v/>
      </c>
      <c r="U3174" s="83" t="str">
        <f t="shared" si="345"/>
        <v/>
      </c>
      <c r="V3174" s="83" t="str">
        <f t="shared" si="346"/>
        <v/>
      </c>
      <c r="AA3174" s="60">
        <f t="shared" si="347"/>
        <v>0</v>
      </c>
      <c r="AB3174" s="49">
        <f t="shared" si="348"/>
        <v>0</v>
      </c>
      <c r="AC3174" s="60">
        <f t="shared" si="349"/>
        <v>0</v>
      </c>
    </row>
    <row r="3175" spans="1:29">
      <c r="A3175" s="83" t="str">
        <f t="shared" si="343"/>
        <v/>
      </c>
      <c r="B3175" s="83" t="str">
        <f t="shared" si="344"/>
        <v/>
      </c>
      <c r="U3175" s="83" t="str">
        <f t="shared" si="345"/>
        <v/>
      </c>
      <c r="V3175" s="83" t="str">
        <f t="shared" si="346"/>
        <v/>
      </c>
      <c r="AA3175" s="60">
        <f t="shared" si="347"/>
        <v>0</v>
      </c>
      <c r="AB3175" s="49">
        <f t="shared" si="348"/>
        <v>0</v>
      </c>
      <c r="AC3175" s="60">
        <f t="shared" si="349"/>
        <v>0</v>
      </c>
    </row>
    <row r="3176" spans="1:29">
      <c r="A3176" s="83" t="str">
        <f t="shared" si="343"/>
        <v/>
      </c>
      <c r="B3176" s="83" t="str">
        <f t="shared" si="344"/>
        <v/>
      </c>
      <c r="U3176" s="83" t="str">
        <f t="shared" si="345"/>
        <v/>
      </c>
      <c r="V3176" s="83" t="str">
        <f t="shared" si="346"/>
        <v/>
      </c>
      <c r="AA3176" s="60">
        <f t="shared" si="347"/>
        <v>0</v>
      </c>
      <c r="AB3176" s="49">
        <f t="shared" si="348"/>
        <v>0</v>
      </c>
      <c r="AC3176" s="60">
        <f t="shared" si="349"/>
        <v>0</v>
      </c>
    </row>
    <row r="3177" spans="1:29">
      <c r="A3177" s="83" t="str">
        <f t="shared" si="343"/>
        <v/>
      </c>
      <c r="B3177" s="83" t="str">
        <f t="shared" si="344"/>
        <v/>
      </c>
      <c r="U3177" s="83" t="str">
        <f t="shared" si="345"/>
        <v/>
      </c>
      <c r="V3177" s="83" t="str">
        <f t="shared" si="346"/>
        <v/>
      </c>
      <c r="AA3177" s="60">
        <f t="shared" si="347"/>
        <v>0</v>
      </c>
      <c r="AB3177" s="49">
        <f t="shared" si="348"/>
        <v>0</v>
      </c>
      <c r="AC3177" s="60">
        <f t="shared" si="349"/>
        <v>0</v>
      </c>
    </row>
    <row r="3178" spans="1:29">
      <c r="A3178" s="83" t="str">
        <f t="shared" si="343"/>
        <v/>
      </c>
      <c r="B3178" s="83" t="str">
        <f t="shared" si="344"/>
        <v/>
      </c>
      <c r="U3178" s="83" t="str">
        <f t="shared" si="345"/>
        <v/>
      </c>
      <c r="V3178" s="83" t="str">
        <f t="shared" si="346"/>
        <v/>
      </c>
      <c r="AA3178" s="60">
        <f t="shared" si="347"/>
        <v>0</v>
      </c>
      <c r="AB3178" s="49">
        <f t="shared" si="348"/>
        <v>0</v>
      </c>
      <c r="AC3178" s="60">
        <f t="shared" si="349"/>
        <v>0</v>
      </c>
    </row>
    <row r="3179" spans="1:29">
      <c r="A3179" s="83" t="str">
        <f t="shared" si="343"/>
        <v/>
      </c>
      <c r="B3179" s="83" t="str">
        <f t="shared" si="344"/>
        <v/>
      </c>
      <c r="U3179" s="83" t="str">
        <f t="shared" si="345"/>
        <v/>
      </c>
      <c r="V3179" s="83" t="str">
        <f t="shared" si="346"/>
        <v/>
      </c>
      <c r="AA3179" s="60">
        <f t="shared" si="347"/>
        <v>0</v>
      </c>
      <c r="AB3179" s="49">
        <f t="shared" si="348"/>
        <v>0</v>
      </c>
      <c r="AC3179" s="60">
        <f t="shared" si="349"/>
        <v>0</v>
      </c>
    </row>
    <row r="3180" spans="1:29">
      <c r="A3180" s="83" t="str">
        <f t="shared" si="343"/>
        <v/>
      </c>
      <c r="B3180" s="83" t="str">
        <f t="shared" si="344"/>
        <v/>
      </c>
      <c r="U3180" s="83" t="str">
        <f t="shared" si="345"/>
        <v/>
      </c>
      <c r="V3180" s="83" t="str">
        <f t="shared" si="346"/>
        <v/>
      </c>
      <c r="AA3180" s="60">
        <f t="shared" si="347"/>
        <v>0</v>
      </c>
      <c r="AB3180" s="49">
        <f t="shared" si="348"/>
        <v>0</v>
      </c>
      <c r="AC3180" s="60">
        <f t="shared" si="349"/>
        <v>0</v>
      </c>
    </row>
    <row r="3181" spans="1:29">
      <c r="A3181" s="83" t="str">
        <f t="shared" si="343"/>
        <v/>
      </c>
      <c r="B3181" s="83" t="str">
        <f t="shared" si="344"/>
        <v/>
      </c>
      <c r="U3181" s="83" t="str">
        <f t="shared" si="345"/>
        <v/>
      </c>
      <c r="V3181" s="83" t="str">
        <f t="shared" si="346"/>
        <v/>
      </c>
      <c r="AA3181" s="60">
        <f t="shared" si="347"/>
        <v>0</v>
      </c>
      <c r="AB3181" s="49">
        <f t="shared" si="348"/>
        <v>0</v>
      </c>
      <c r="AC3181" s="60">
        <f t="shared" si="349"/>
        <v>0</v>
      </c>
    </row>
    <row r="3182" spans="1:29">
      <c r="A3182" s="83" t="str">
        <f t="shared" si="343"/>
        <v/>
      </c>
      <c r="B3182" s="83" t="str">
        <f t="shared" si="344"/>
        <v/>
      </c>
      <c r="U3182" s="83" t="str">
        <f t="shared" si="345"/>
        <v/>
      </c>
      <c r="V3182" s="83" t="str">
        <f t="shared" si="346"/>
        <v/>
      </c>
      <c r="AA3182" s="60">
        <f t="shared" si="347"/>
        <v>0</v>
      </c>
      <c r="AB3182" s="49">
        <f t="shared" si="348"/>
        <v>0</v>
      </c>
      <c r="AC3182" s="60">
        <f t="shared" si="349"/>
        <v>0</v>
      </c>
    </row>
    <row r="3183" spans="1:29">
      <c r="A3183" s="83" t="str">
        <f t="shared" si="343"/>
        <v/>
      </c>
      <c r="B3183" s="83" t="str">
        <f t="shared" si="344"/>
        <v/>
      </c>
      <c r="U3183" s="83" t="str">
        <f t="shared" si="345"/>
        <v/>
      </c>
      <c r="V3183" s="83" t="str">
        <f t="shared" si="346"/>
        <v/>
      </c>
      <c r="AA3183" s="60">
        <f t="shared" si="347"/>
        <v>0</v>
      </c>
      <c r="AB3183" s="49">
        <f t="shared" si="348"/>
        <v>0</v>
      </c>
      <c r="AC3183" s="60">
        <f t="shared" si="349"/>
        <v>0</v>
      </c>
    </row>
    <row r="3184" spans="1:29">
      <c r="A3184" s="83" t="str">
        <f t="shared" si="343"/>
        <v/>
      </c>
      <c r="B3184" s="83" t="str">
        <f t="shared" si="344"/>
        <v/>
      </c>
      <c r="U3184" s="83" t="str">
        <f t="shared" si="345"/>
        <v/>
      </c>
      <c r="V3184" s="83" t="str">
        <f t="shared" si="346"/>
        <v/>
      </c>
      <c r="AA3184" s="60">
        <f t="shared" si="347"/>
        <v>0</v>
      </c>
      <c r="AB3184" s="49">
        <f t="shared" si="348"/>
        <v>0</v>
      </c>
      <c r="AC3184" s="60">
        <f t="shared" si="349"/>
        <v>0</v>
      </c>
    </row>
    <row r="3185" spans="1:29">
      <c r="A3185" s="83" t="str">
        <f t="shared" si="343"/>
        <v/>
      </c>
      <c r="B3185" s="83" t="str">
        <f t="shared" si="344"/>
        <v/>
      </c>
      <c r="U3185" s="83" t="str">
        <f t="shared" si="345"/>
        <v/>
      </c>
      <c r="V3185" s="83" t="str">
        <f t="shared" si="346"/>
        <v/>
      </c>
      <c r="AA3185" s="60">
        <f t="shared" si="347"/>
        <v>0</v>
      </c>
      <c r="AB3185" s="49">
        <f t="shared" si="348"/>
        <v>0</v>
      </c>
      <c r="AC3185" s="60">
        <f t="shared" si="349"/>
        <v>0</v>
      </c>
    </row>
    <row r="3186" spans="1:29">
      <c r="A3186" s="83" t="str">
        <f t="shared" si="343"/>
        <v/>
      </c>
      <c r="B3186" s="83" t="str">
        <f t="shared" si="344"/>
        <v/>
      </c>
      <c r="U3186" s="83" t="str">
        <f t="shared" si="345"/>
        <v/>
      </c>
      <c r="V3186" s="83" t="str">
        <f t="shared" si="346"/>
        <v/>
      </c>
      <c r="AA3186" s="60">
        <f t="shared" si="347"/>
        <v>0</v>
      </c>
      <c r="AB3186" s="49">
        <f t="shared" si="348"/>
        <v>0</v>
      </c>
      <c r="AC3186" s="60">
        <f t="shared" si="349"/>
        <v>0</v>
      </c>
    </row>
    <row r="3187" spans="1:29">
      <c r="A3187" s="83" t="str">
        <f t="shared" si="343"/>
        <v/>
      </c>
      <c r="B3187" s="83" t="str">
        <f t="shared" si="344"/>
        <v/>
      </c>
      <c r="U3187" s="83" t="str">
        <f t="shared" si="345"/>
        <v/>
      </c>
      <c r="V3187" s="83" t="str">
        <f t="shared" si="346"/>
        <v/>
      </c>
      <c r="AA3187" s="60">
        <f t="shared" si="347"/>
        <v>0</v>
      </c>
      <c r="AB3187" s="49">
        <f t="shared" si="348"/>
        <v>0</v>
      </c>
      <c r="AC3187" s="60">
        <f t="shared" si="349"/>
        <v>0</v>
      </c>
    </row>
    <row r="3188" spans="1:29">
      <c r="A3188" s="83" t="str">
        <f t="shared" si="343"/>
        <v/>
      </c>
      <c r="B3188" s="83" t="str">
        <f t="shared" si="344"/>
        <v/>
      </c>
      <c r="U3188" s="83" t="str">
        <f t="shared" si="345"/>
        <v/>
      </c>
      <c r="V3188" s="83" t="str">
        <f t="shared" si="346"/>
        <v/>
      </c>
      <c r="AA3188" s="60">
        <f t="shared" si="347"/>
        <v>0</v>
      </c>
      <c r="AB3188" s="49">
        <f t="shared" si="348"/>
        <v>0</v>
      </c>
      <c r="AC3188" s="60">
        <f t="shared" si="349"/>
        <v>0</v>
      </c>
    </row>
    <row r="3189" spans="1:29">
      <c r="A3189" s="83" t="str">
        <f t="shared" si="343"/>
        <v/>
      </c>
      <c r="B3189" s="83" t="str">
        <f t="shared" si="344"/>
        <v/>
      </c>
      <c r="U3189" s="83" t="str">
        <f t="shared" si="345"/>
        <v/>
      </c>
      <c r="V3189" s="83" t="str">
        <f t="shared" si="346"/>
        <v/>
      </c>
      <c r="AA3189" s="60">
        <f t="shared" si="347"/>
        <v>0</v>
      </c>
      <c r="AB3189" s="49">
        <f t="shared" si="348"/>
        <v>0</v>
      </c>
      <c r="AC3189" s="60">
        <f t="shared" si="349"/>
        <v>0</v>
      </c>
    </row>
    <row r="3190" spans="1:29">
      <c r="A3190" s="83" t="str">
        <f t="shared" si="343"/>
        <v/>
      </c>
      <c r="B3190" s="83" t="str">
        <f t="shared" si="344"/>
        <v/>
      </c>
      <c r="U3190" s="83" t="str">
        <f t="shared" si="345"/>
        <v/>
      </c>
      <c r="V3190" s="83" t="str">
        <f t="shared" si="346"/>
        <v/>
      </c>
      <c r="AA3190" s="60">
        <f t="shared" si="347"/>
        <v>0</v>
      </c>
      <c r="AB3190" s="49">
        <f t="shared" si="348"/>
        <v>0</v>
      </c>
      <c r="AC3190" s="60">
        <f t="shared" si="349"/>
        <v>0</v>
      </c>
    </row>
    <row r="3191" spans="1:29">
      <c r="A3191" s="83" t="str">
        <f t="shared" si="343"/>
        <v/>
      </c>
      <c r="B3191" s="83" t="str">
        <f t="shared" si="344"/>
        <v/>
      </c>
      <c r="U3191" s="83" t="str">
        <f t="shared" si="345"/>
        <v/>
      </c>
      <c r="V3191" s="83" t="str">
        <f t="shared" si="346"/>
        <v/>
      </c>
      <c r="AA3191" s="60">
        <f t="shared" si="347"/>
        <v>0</v>
      </c>
      <c r="AB3191" s="49">
        <f t="shared" si="348"/>
        <v>0</v>
      </c>
      <c r="AC3191" s="60">
        <f t="shared" si="349"/>
        <v>0</v>
      </c>
    </row>
    <row r="3192" spans="1:29">
      <c r="A3192" s="83" t="str">
        <f t="shared" si="343"/>
        <v/>
      </c>
      <c r="B3192" s="83" t="str">
        <f t="shared" si="344"/>
        <v/>
      </c>
      <c r="U3192" s="83" t="str">
        <f t="shared" si="345"/>
        <v/>
      </c>
      <c r="V3192" s="83" t="str">
        <f t="shared" si="346"/>
        <v/>
      </c>
      <c r="AA3192" s="60">
        <f t="shared" si="347"/>
        <v>0</v>
      </c>
      <c r="AB3192" s="49">
        <f t="shared" si="348"/>
        <v>0</v>
      </c>
      <c r="AC3192" s="60">
        <f t="shared" si="349"/>
        <v>0</v>
      </c>
    </row>
    <row r="3193" spans="1:29">
      <c r="A3193" s="83" t="str">
        <f t="shared" si="343"/>
        <v/>
      </c>
      <c r="B3193" s="83" t="str">
        <f t="shared" si="344"/>
        <v/>
      </c>
      <c r="U3193" s="83" t="str">
        <f t="shared" si="345"/>
        <v/>
      </c>
      <c r="V3193" s="83" t="str">
        <f t="shared" si="346"/>
        <v/>
      </c>
      <c r="AA3193" s="60">
        <f t="shared" si="347"/>
        <v>0</v>
      </c>
      <c r="AB3193" s="49">
        <f t="shared" si="348"/>
        <v>0</v>
      </c>
      <c r="AC3193" s="60">
        <f t="shared" si="349"/>
        <v>0</v>
      </c>
    </row>
    <row r="3194" spans="1:29">
      <c r="A3194" s="83" t="str">
        <f t="shared" si="343"/>
        <v/>
      </c>
      <c r="B3194" s="83" t="str">
        <f t="shared" si="344"/>
        <v/>
      </c>
      <c r="U3194" s="83" t="str">
        <f t="shared" si="345"/>
        <v/>
      </c>
      <c r="V3194" s="83" t="str">
        <f t="shared" si="346"/>
        <v/>
      </c>
      <c r="AA3194" s="60">
        <f t="shared" si="347"/>
        <v>0</v>
      </c>
      <c r="AB3194" s="49">
        <f t="shared" si="348"/>
        <v>0</v>
      </c>
      <c r="AC3194" s="60">
        <f t="shared" si="349"/>
        <v>0</v>
      </c>
    </row>
    <row r="3195" spans="1:29">
      <c r="A3195" s="83" t="str">
        <f t="shared" si="343"/>
        <v/>
      </c>
      <c r="B3195" s="83" t="str">
        <f t="shared" si="344"/>
        <v/>
      </c>
      <c r="U3195" s="83" t="str">
        <f t="shared" si="345"/>
        <v/>
      </c>
      <c r="V3195" s="83" t="str">
        <f t="shared" si="346"/>
        <v/>
      </c>
      <c r="AA3195" s="60">
        <f t="shared" si="347"/>
        <v>0</v>
      </c>
      <c r="AB3195" s="49">
        <f t="shared" si="348"/>
        <v>0</v>
      </c>
      <c r="AC3195" s="60">
        <f t="shared" si="349"/>
        <v>0</v>
      </c>
    </row>
    <row r="3196" spans="1:29">
      <c r="A3196" s="83" t="str">
        <f t="shared" si="343"/>
        <v/>
      </c>
      <c r="B3196" s="83" t="str">
        <f t="shared" si="344"/>
        <v/>
      </c>
      <c r="U3196" s="83" t="str">
        <f t="shared" si="345"/>
        <v/>
      </c>
      <c r="V3196" s="83" t="str">
        <f t="shared" si="346"/>
        <v/>
      </c>
      <c r="AA3196" s="60">
        <f t="shared" si="347"/>
        <v>0</v>
      </c>
      <c r="AB3196" s="49">
        <f t="shared" si="348"/>
        <v>0</v>
      </c>
      <c r="AC3196" s="60">
        <f t="shared" si="349"/>
        <v>0</v>
      </c>
    </row>
    <row r="3197" spans="1:29">
      <c r="A3197" s="83" t="str">
        <f t="shared" si="343"/>
        <v/>
      </c>
      <c r="B3197" s="83" t="str">
        <f t="shared" si="344"/>
        <v/>
      </c>
      <c r="U3197" s="83" t="str">
        <f t="shared" si="345"/>
        <v/>
      </c>
      <c r="V3197" s="83" t="str">
        <f t="shared" si="346"/>
        <v/>
      </c>
      <c r="AA3197" s="60">
        <f t="shared" si="347"/>
        <v>0</v>
      </c>
      <c r="AB3197" s="49">
        <f t="shared" si="348"/>
        <v>0</v>
      </c>
      <c r="AC3197" s="60">
        <f t="shared" si="349"/>
        <v>0</v>
      </c>
    </row>
    <row r="3198" spans="1:29">
      <c r="A3198" s="83" t="str">
        <f t="shared" si="343"/>
        <v/>
      </c>
      <c r="B3198" s="83" t="str">
        <f t="shared" si="344"/>
        <v/>
      </c>
      <c r="U3198" s="83" t="str">
        <f t="shared" si="345"/>
        <v/>
      </c>
      <c r="V3198" s="83" t="str">
        <f t="shared" si="346"/>
        <v/>
      </c>
      <c r="AA3198" s="60">
        <f t="shared" si="347"/>
        <v>0</v>
      </c>
      <c r="AB3198" s="49">
        <f t="shared" si="348"/>
        <v>0</v>
      </c>
      <c r="AC3198" s="60">
        <f t="shared" si="349"/>
        <v>0</v>
      </c>
    </row>
    <row r="3199" spans="1:29">
      <c r="A3199" s="83" t="str">
        <f t="shared" si="343"/>
        <v/>
      </c>
      <c r="B3199" s="83" t="str">
        <f t="shared" si="344"/>
        <v/>
      </c>
      <c r="U3199" s="83" t="str">
        <f t="shared" si="345"/>
        <v/>
      </c>
      <c r="V3199" s="83" t="str">
        <f t="shared" si="346"/>
        <v/>
      </c>
      <c r="AA3199" s="60">
        <f t="shared" si="347"/>
        <v>0</v>
      </c>
      <c r="AB3199" s="49">
        <f t="shared" si="348"/>
        <v>0</v>
      </c>
      <c r="AC3199" s="60">
        <f t="shared" si="349"/>
        <v>0</v>
      </c>
    </row>
    <row r="3200" spans="1:29">
      <c r="A3200" s="83" t="str">
        <f t="shared" si="343"/>
        <v/>
      </c>
      <c r="B3200" s="83" t="str">
        <f t="shared" si="344"/>
        <v/>
      </c>
      <c r="U3200" s="83" t="str">
        <f t="shared" si="345"/>
        <v/>
      </c>
      <c r="V3200" s="83" t="str">
        <f t="shared" si="346"/>
        <v/>
      </c>
      <c r="AA3200" s="60">
        <f t="shared" si="347"/>
        <v>0</v>
      </c>
      <c r="AB3200" s="49">
        <f t="shared" si="348"/>
        <v>0</v>
      </c>
      <c r="AC3200" s="60">
        <f t="shared" si="349"/>
        <v>0</v>
      </c>
    </row>
    <row r="3201" spans="1:29">
      <c r="A3201" s="83" t="str">
        <f t="shared" si="343"/>
        <v/>
      </c>
      <c r="B3201" s="83" t="str">
        <f t="shared" si="344"/>
        <v/>
      </c>
      <c r="U3201" s="83" t="str">
        <f t="shared" si="345"/>
        <v/>
      </c>
      <c r="V3201" s="83" t="str">
        <f t="shared" si="346"/>
        <v/>
      </c>
      <c r="AA3201" s="60">
        <f t="shared" si="347"/>
        <v>0</v>
      </c>
      <c r="AB3201" s="49">
        <f t="shared" si="348"/>
        <v>0</v>
      </c>
      <c r="AC3201" s="60">
        <f t="shared" si="349"/>
        <v>0</v>
      </c>
    </row>
    <row r="3202" spans="1:29">
      <c r="A3202" s="83" t="str">
        <f t="shared" si="343"/>
        <v/>
      </c>
      <c r="B3202" s="83" t="str">
        <f t="shared" si="344"/>
        <v/>
      </c>
      <c r="U3202" s="83" t="str">
        <f t="shared" si="345"/>
        <v/>
      </c>
      <c r="V3202" s="83" t="str">
        <f t="shared" si="346"/>
        <v/>
      </c>
      <c r="AA3202" s="60">
        <f t="shared" si="347"/>
        <v>0</v>
      </c>
      <c r="AB3202" s="49">
        <f t="shared" si="348"/>
        <v>0</v>
      </c>
      <c r="AC3202" s="60">
        <f t="shared" si="349"/>
        <v>0</v>
      </c>
    </row>
    <row r="3203" spans="1:29">
      <c r="A3203" s="83" t="str">
        <f t="shared" ref="A3203:A3266" si="350">IF(G3203&amp;Q3203&lt;&gt;"",U3203&amp;Q3203,"")</f>
        <v/>
      </c>
      <c r="B3203" s="83" t="str">
        <f t="shared" ref="B3203:B3266" si="351">IF(C3203&lt;&gt;"",LEFT(C3203,9),"")</f>
        <v/>
      </c>
      <c r="U3203" s="83" t="str">
        <f t="shared" ref="U3203:U3266" si="352">IF(G3203&lt;&gt;"",IF(StyleSpaceSplit,IFERROR(IF(FIND(" ",G3203)&gt;=1,MID(G3203,1,FIND(" ",G3203)-1),G3203),G3203),G3203),"")</f>
        <v/>
      </c>
      <c r="V3203" s="83" t="str">
        <f t="shared" ref="V3203:V3266" si="353">IF(A3203&lt;&gt;"",IFERROR(IF(FIND(" ",G3203)&gt;=1,MID(G3203,FIND(" ",G3203)+1,LEN(G3203)),""),G3203),"")</f>
        <v/>
      </c>
      <c r="AA3203" s="60">
        <f t="shared" ref="AA3203:AA3266" si="354">IFERROR(VALUE(MID($C3203,1,2)),0)</f>
        <v>0</v>
      </c>
      <c r="AB3203" s="49">
        <f t="shared" ref="AB3203:AB3266" si="355">IFERROR(VALUE(MID($C3203,4,3)),0)</f>
        <v>0</v>
      </c>
      <c r="AC3203" s="60">
        <f t="shared" ref="AC3203:AC3266" si="356">VALUE(RIGHT("00"&amp;AA3203,2)&amp;RIGHT("000"&amp;AB3203,3))</f>
        <v>0</v>
      </c>
    </row>
    <row r="3204" spans="1:29">
      <c r="A3204" s="83" t="str">
        <f t="shared" si="350"/>
        <v/>
      </c>
      <c r="B3204" s="83" t="str">
        <f t="shared" si="351"/>
        <v/>
      </c>
      <c r="U3204" s="83" t="str">
        <f t="shared" si="352"/>
        <v/>
      </c>
      <c r="V3204" s="83" t="str">
        <f t="shared" si="353"/>
        <v/>
      </c>
      <c r="AA3204" s="60">
        <f t="shared" si="354"/>
        <v>0</v>
      </c>
      <c r="AB3204" s="49">
        <f t="shared" si="355"/>
        <v>0</v>
      </c>
      <c r="AC3204" s="60">
        <f t="shared" si="356"/>
        <v>0</v>
      </c>
    </row>
    <row r="3205" spans="1:29">
      <c r="A3205" s="83" t="str">
        <f t="shared" si="350"/>
        <v/>
      </c>
      <c r="B3205" s="83" t="str">
        <f t="shared" si="351"/>
        <v/>
      </c>
      <c r="U3205" s="83" t="str">
        <f t="shared" si="352"/>
        <v/>
      </c>
      <c r="V3205" s="83" t="str">
        <f t="shared" si="353"/>
        <v/>
      </c>
      <c r="AA3205" s="60">
        <f t="shared" si="354"/>
        <v>0</v>
      </c>
      <c r="AB3205" s="49">
        <f t="shared" si="355"/>
        <v>0</v>
      </c>
      <c r="AC3205" s="60">
        <f t="shared" si="356"/>
        <v>0</v>
      </c>
    </row>
    <row r="3206" spans="1:29">
      <c r="A3206" s="83" t="str">
        <f t="shared" si="350"/>
        <v/>
      </c>
      <c r="B3206" s="83" t="str">
        <f t="shared" si="351"/>
        <v/>
      </c>
      <c r="U3206" s="83" t="str">
        <f t="shared" si="352"/>
        <v/>
      </c>
      <c r="V3206" s="83" t="str">
        <f t="shared" si="353"/>
        <v/>
      </c>
      <c r="AA3206" s="60">
        <f t="shared" si="354"/>
        <v>0</v>
      </c>
      <c r="AB3206" s="49">
        <f t="shared" si="355"/>
        <v>0</v>
      </c>
      <c r="AC3206" s="60">
        <f t="shared" si="356"/>
        <v>0</v>
      </c>
    </row>
    <row r="3207" spans="1:29">
      <c r="A3207" s="83" t="str">
        <f t="shared" si="350"/>
        <v/>
      </c>
      <c r="B3207" s="83" t="str">
        <f t="shared" si="351"/>
        <v/>
      </c>
      <c r="U3207" s="83" t="str">
        <f t="shared" si="352"/>
        <v/>
      </c>
      <c r="V3207" s="83" t="str">
        <f t="shared" si="353"/>
        <v/>
      </c>
      <c r="AA3207" s="60">
        <f t="shared" si="354"/>
        <v>0</v>
      </c>
      <c r="AB3207" s="49">
        <f t="shared" si="355"/>
        <v>0</v>
      </c>
      <c r="AC3207" s="60">
        <f t="shared" si="356"/>
        <v>0</v>
      </c>
    </row>
    <row r="3208" spans="1:29">
      <c r="A3208" s="83" t="str">
        <f t="shared" si="350"/>
        <v/>
      </c>
      <c r="B3208" s="83" t="str">
        <f t="shared" si="351"/>
        <v/>
      </c>
      <c r="U3208" s="83" t="str">
        <f t="shared" si="352"/>
        <v/>
      </c>
      <c r="V3208" s="83" t="str">
        <f t="shared" si="353"/>
        <v/>
      </c>
      <c r="AA3208" s="60">
        <f t="shared" si="354"/>
        <v>0</v>
      </c>
      <c r="AB3208" s="49">
        <f t="shared" si="355"/>
        <v>0</v>
      </c>
      <c r="AC3208" s="60">
        <f t="shared" si="356"/>
        <v>0</v>
      </c>
    </row>
    <row r="3209" spans="1:29">
      <c r="A3209" s="83" t="str">
        <f t="shared" si="350"/>
        <v/>
      </c>
      <c r="B3209" s="83" t="str">
        <f t="shared" si="351"/>
        <v/>
      </c>
      <c r="U3209" s="83" t="str">
        <f t="shared" si="352"/>
        <v/>
      </c>
      <c r="V3209" s="83" t="str">
        <f t="shared" si="353"/>
        <v/>
      </c>
      <c r="AA3209" s="60">
        <f t="shared" si="354"/>
        <v>0</v>
      </c>
      <c r="AB3209" s="49">
        <f t="shared" si="355"/>
        <v>0</v>
      </c>
      <c r="AC3209" s="60">
        <f t="shared" si="356"/>
        <v>0</v>
      </c>
    </row>
    <row r="3210" spans="1:29">
      <c r="A3210" s="83" t="str">
        <f t="shared" si="350"/>
        <v/>
      </c>
      <c r="B3210" s="83" t="str">
        <f t="shared" si="351"/>
        <v/>
      </c>
      <c r="U3210" s="83" t="str">
        <f t="shared" si="352"/>
        <v/>
      </c>
      <c r="V3210" s="83" t="str">
        <f t="shared" si="353"/>
        <v/>
      </c>
      <c r="AA3210" s="60">
        <f t="shared" si="354"/>
        <v>0</v>
      </c>
      <c r="AB3210" s="49">
        <f t="shared" si="355"/>
        <v>0</v>
      </c>
      <c r="AC3210" s="60">
        <f t="shared" si="356"/>
        <v>0</v>
      </c>
    </row>
    <row r="3211" spans="1:29">
      <c r="A3211" s="83" t="str">
        <f t="shared" si="350"/>
        <v/>
      </c>
      <c r="B3211" s="83" t="str">
        <f t="shared" si="351"/>
        <v/>
      </c>
      <c r="U3211" s="83" t="str">
        <f t="shared" si="352"/>
        <v/>
      </c>
      <c r="V3211" s="83" t="str">
        <f t="shared" si="353"/>
        <v/>
      </c>
      <c r="AA3211" s="60">
        <f t="shared" si="354"/>
        <v>0</v>
      </c>
      <c r="AB3211" s="49">
        <f t="shared" si="355"/>
        <v>0</v>
      </c>
      <c r="AC3211" s="60">
        <f t="shared" si="356"/>
        <v>0</v>
      </c>
    </row>
    <row r="3212" spans="1:29">
      <c r="A3212" s="83" t="str">
        <f t="shared" si="350"/>
        <v/>
      </c>
      <c r="B3212" s="83" t="str">
        <f t="shared" si="351"/>
        <v/>
      </c>
      <c r="U3212" s="83" t="str">
        <f t="shared" si="352"/>
        <v/>
      </c>
      <c r="V3212" s="83" t="str">
        <f t="shared" si="353"/>
        <v/>
      </c>
      <c r="AA3212" s="60">
        <f t="shared" si="354"/>
        <v>0</v>
      </c>
      <c r="AB3212" s="49">
        <f t="shared" si="355"/>
        <v>0</v>
      </c>
      <c r="AC3212" s="60">
        <f t="shared" si="356"/>
        <v>0</v>
      </c>
    </row>
    <row r="3213" spans="1:29">
      <c r="A3213" s="83" t="str">
        <f t="shared" si="350"/>
        <v/>
      </c>
      <c r="B3213" s="83" t="str">
        <f t="shared" si="351"/>
        <v/>
      </c>
      <c r="U3213" s="83" t="str">
        <f t="shared" si="352"/>
        <v/>
      </c>
      <c r="V3213" s="83" t="str">
        <f t="shared" si="353"/>
        <v/>
      </c>
      <c r="AA3213" s="60">
        <f t="shared" si="354"/>
        <v>0</v>
      </c>
      <c r="AB3213" s="49">
        <f t="shared" si="355"/>
        <v>0</v>
      </c>
      <c r="AC3213" s="60">
        <f t="shared" si="356"/>
        <v>0</v>
      </c>
    </row>
    <row r="3214" spans="1:29">
      <c r="A3214" s="83" t="str">
        <f t="shared" si="350"/>
        <v/>
      </c>
      <c r="B3214" s="83" t="str">
        <f t="shared" si="351"/>
        <v/>
      </c>
      <c r="U3214" s="83" t="str">
        <f t="shared" si="352"/>
        <v/>
      </c>
      <c r="V3214" s="83" t="str">
        <f t="shared" si="353"/>
        <v/>
      </c>
      <c r="AA3214" s="60">
        <f t="shared" si="354"/>
        <v>0</v>
      </c>
      <c r="AB3214" s="49">
        <f t="shared" si="355"/>
        <v>0</v>
      </c>
      <c r="AC3214" s="60">
        <f t="shared" si="356"/>
        <v>0</v>
      </c>
    </row>
    <row r="3215" spans="1:29">
      <c r="A3215" s="83" t="str">
        <f t="shared" si="350"/>
        <v/>
      </c>
      <c r="B3215" s="83" t="str">
        <f t="shared" si="351"/>
        <v/>
      </c>
      <c r="U3215" s="83" t="str">
        <f t="shared" si="352"/>
        <v/>
      </c>
      <c r="V3215" s="83" t="str">
        <f t="shared" si="353"/>
        <v/>
      </c>
      <c r="AA3215" s="60">
        <f t="shared" si="354"/>
        <v>0</v>
      </c>
      <c r="AB3215" s="49">
        <f t="shared" si="355"/>
        <v>0</v>
      </c>
      <c r="AC3215" s="60">
        <f t="shared" si="356"/>
        <v>0</v>
      </c>
    </row>
    <row r="3216" spans="1:29">
      <c r="A3216" s="83" t="str">
        <f t="shared" si="350"/>
        <v/>
      </c>
      <c r="B3216" s="83" t="str">
        <f t="shared" si="351"/>
        <v/>
      </c>
      <c r="U3216" s="83" t="str">
        <f t="shared" si="352"/>
        <v/>
      </c>
      <c r="V3216" s="83" t="str">
        <f t="shared" si="353"/>
        <v/>
      </c>
      <c r="AA3216" s="60">
        <f t="shared" si="354"/>
        <v>0</v>
      </c>
      <c r="AB3216" s="49">
        <f t="shared" si="355"/>
        <v>0</v>
      </c>
      <c r="AC3216" s="60">
        <f t="shared" si="356"/>
        <v>0</v>
      </c>
    </row>
    <row r="3217" spans="1:29">
      <c r="A3217" s="83" t="str">
        <f t="shared" si="350"/>
        <v/>
      </c>
      <c r="B3217" s="83" t="str">
        <f t="shared" si="351"/>
        <v/>
      </c>
      <c r="U3217" s="83" t="str">
        <f t="shared" si="352"/>
        <v/>
      </c>
      <c r="V3217" s="83" t="str">
        <f t="shared" si="353"/>
        <v/>
      </c>
      <c r="AA3217" s="60">
        <f t="shared" si="354"/>
        <v>0</v>
      </c>
      <c r="AB3217" s="49">
        <f t="shared" si="355"/>
        <v>0</v>
      </c>
      <c r="AC3217" s="60">
        <f t="shared" si="356"/>
        <v>0</v>
      </c>
    </row>
    <row r="3218" spans="1:29">
      <c r="A3218" s="83" t="str">
        <f t="shared" si="350"/>
        <v/>
      </c>
      <c r="B3218" s="83" t="str">
        <f t="shared" si="351"/>
        <v/>
      </c>
      <c r="U3218" s="83" t="str">
        <f t="shared" si="352"/>
        <v/>
      </c>
      <c r="V3218" s="83" t="str">
        <f t="shared" si="353"/>
        <v/>
      </c>
      <c r="AA3218" s="60">
        <f t="shared" si="354"/>
        <v>0</v>
      </c>
      <c r="AB3218" s="49">
        <f t="shared" si="355"/>
        <v>0</v>
      </c>
      <c r="AC3218" s="60">
        <f t="shared" si="356"/>
        <v>0</v>
      </c>
    </row>
    <row r="3219" spans="1:29">
      <c r="A3219" s="83" t="str">
        <f t="shared" si="350"/>
        <v/>
      </c>
      <c r="B3219" s="83" t="str">
        <f t="shared" si="351"/>
        <v/>
      </c>
      <c r="U3219" s="83" t="str">
        <f t="shared" si="352"/>
        <v/>
      </c>
      <c r="V3219" s="83" t="str">
        <f t="shared" si="353"/>
        <v/>
      </c>
      <c r="AA3219" s="60">
        <f t="shared" si="354"/>
        <v>0</v>
      </c>
      <c r="AB3219" s="49">
        <f t="shared" si="355"/>
        <v>0</v>
      </c>
      <c r="AC3219" s="60">
        <f t="shared" si="356"/>
        <v>0</v>
      </c>
    </row>
    <row r="3220" spans="1:29">
      <c r="A3220" s="83" t="str">
        <f t="shared" si="350"/>
        <v/>
      </c>
      <c r="B3220" s="83" t="str">
        <f t="shared" si="351"/>
        <v/>
      </c>
      <c r="U3220" s="83" t="str">
        <f t="shared" si="352"/>
        <v/>
      </c>
      <c r="V3220" s="83" t="str">
        <f t="shared" si="353"/>
        <v/>
      </c>
      <c r="AA3220" s="60">
        <f t="shared" si="354"/>
        <v>0</v>
      </c>
      <c r="AB3220" s="49">
        <f t="shared" si="355"/>
        <v>0</v>
      </c>
      <c r="AC3220" s="60">
        <f t="shared" si="356"/>
        <v>0</v>
      </c>
    </row>
    <row r="3221" spans="1:29">
      <c r="A3221" s="83" t="str">
        <f t="shared" si="350"/>
        <v/>
      </c>
      <c r="B3221" s="83" t="str">
        <f t="shared" si="351"/>
        <v/>
      </c>
      <c r="U3221" s="83" t="str">
        <f t="shared" si="352"/>
        <v/>
      </c>
      <c r="V3221" s="83" t="str">
        <f t="shared" si="353"/>
        <v/>
      </c>
      <c r="AA3221" s="60">
        <f t="shared" si="354"/>
        <v>0</v>
      </c>
      <c r="AB3221" s="49">
        <f t="shared" si="355"/>
        <v>0</v>
      </c>
      <c r="AC3221" s="60">
        <f t="shared" si="356"/>
        <v>0</v>
      </c>
    </row>
    <row r="3222" spans="1:29">
      <c r="A3222" s="83" t="str">
        <f t="shared" si="350"/>
        <v/>
      </c>
      <c r="B3222" s="83" t="str">
        <f t="shared" si="351"/>
        <v/>
      </c>
      <c r="U3222" s="83" t="str">
        <f t="shared" si="352"/>
        <v/>
      </c>
      <c r="V3222" s="83" t="str">
        <f t="shared" si="353"/>
        <v/>
      </c>
      <c r="AA3222" s="60">
        <f t="shared" si="354"/>
        <v>0</v>
      </c>
      <c r="AB3222" s="49">
        <f t="shared" si="355"/>
        <v>0</v>
      </c>
      <c r="AC3222" s="60">
        <f t="shared" si="356"/>
        <v>0</v>
      </c>
    </row>
    <row r="3223" spans="1:29">
      <c r="A3223" s="83" t="str">
        <f t="shared" si="350"/>
        <v/>
      </c>
      <c r="B3223" s="83" t="str">
        <f t="shared" si="351"/>
        <v/>
      </c>
      <c r="U3223" s="83" t="str">
        <f t="shared" si="352"/>
        <v/>
      </c>
      <c r="V3223" s="83" t="str">
        <f t="shared" si="353"/>
        <v/>
      </c>
      <c r="AA3223" s="60">
        <f t="shared" si="354"/>
        <v>0</v>
      </c>
      <c r="AB3223" s="49">
        <f t="shared" si="355"/>
        <v>0</v>
      </c>
      <c r="AC3223" s="60">
        <f t="shared" si="356"/>
        <v>0</v>
      </c>
    </row>
    <row r="3224" spans="1:29">
      <c r="A3224" s="83" t="str">
        <f t="shared" si="350"/>
        <v/>
      </c>
      <c r="B3224" s="83" t="str">
        <f t="shared" si="351"/>
        <v/>
      </c>
      <c r="U3224" s="83" t="str">
        <f t="shared" si="352"/>
        <v/>
      </c>
      <c r="V3224" s="83" t="str">
        <f t="shared" si="353"/>
        <v/>
      </c>
      <c r="AA3224" s="60">
        <f t="shared" si="354"/>
        <v>0</v>
      </c>
      <c r="AB3224" s="49">
        <f t="shared" si="355"/>
        <v>0</v>
      </c>
      <c r="AC3224" s="60">
        <f t="shared" si="356"/>
        <v>0</v>
      </c>
    </row>
    <row r="3225" spans="1:29">
      <c r="A3225" s="83" t="str">
        <f t="shared" si="350"/>
        <v/>
      </c>
      <c r="B3225" s="83" t="str">
        <f t="shared" si="351"/>
        <v/>
      </c>
      <c r="U3225" s="83" t="str">
        <f t="shared" si="352"/>
        <v/>
      </c>
      <c r="V3225" s="83" t="str">
        <f t="shared" si="353"/>
        <v/>
      </c>
      <c r="AA3225" s="60">
        <f t="shared" si="354"/>
        <v>0</v>
      </c>
      <c r="AB3225" s="49">
        <f t="shared" si="355"/>
        <v>0</v>
      </c>
      <c r="AC3225" s="60">
        <f t="shared" si="356"/>
        <v>0</v>
      </c>
    </row>
    <row r="3226" spans="1:29">
      <c r="A3226" s="83" t="str">
        <f t="shared" si="350"/>
        <v/>
      </c>
      <c r="B3226" s="83" t="str">
        <f t="shared" si="351"/>
        <v/>
      </c>
      <c r="U3226" s="83" t="str">
        <f t="shared" si="352"/>
        <v/>
      </c>
      <c r="V3226" s="83" t="str">
        <f t="shared" si="353"/>
        <v/>
      </c>
      <c r="AA3226" s="60">
        <f t="shared" si="354"/>
        <v>0</v>
      </c>
      <c r="AB3226" s="49">
        <f t="shared" si="355"/>
        <v>0</v>
      </c>
      <c r="AC3226" s="60">
        <f t="shared" si="356"/>
        <v>0</v>
      </c>
    </row>
    <row r="3227" spans="1:29">
      <c r="A3227" s="83" t="str">
        <f t="shared" si="350"/>
        <v/>
      </c>
      <c r="B3227" s="83" t="str">
        <f t="shared" si="351"/>
        <v/>
      </c>
      <c r="U3227" s="83" t="str">
        <f t="shared" si="352"/>
        <v/>
      </c>
      <c r="V3227" s="83" t="str">
        <f t="shared" si="353"/>
        <v/>
      </c>
      <c r="AA3227" s="60">
        <f t="shared" si="354"/>
        <v>0</v>
      </c>
      <c r="AB3227" s="49">
        <f t="shared" si="355"/>
        <v>0</v>
      </c>
      <c r="AC3227" s="60">
        <f t="shared" si="356"/>
        <v>0</v>
      </c>
    </row>
    <row r="3228" spans="1:29">
      <c r="A3228" s="83" t="str">
        <f t="shared" si="350"/>
        <v/>
      </c>
      <c r="B3228" s="83" t="str">
        <f t="shared" si="351"/>
        <v/>
      </c>
      <c r="U3228" s="83" t="str">
        <f t="shared" si="352"/>
        <v/>
      </c>
      <c r="V3228" s="83" t="str">
        <f t="shared" si="353"/>
        <v/>
      </c>
      <c r="AA3228" s="60">
        <f t="shared" si="354"/>
        <v>0</v>
      </c>
      <c r="AB3228" s="49">
        <f t="shared" si="355"/>
        <v>0</v>
      </c>
      <c r="AC3228" s="60">
        <f t="shared" si="356"/>
        <v>0</v>
      </c>
    </row>
    <row r="3229" spans="1:29">
      <c r="A3229" s="83" t="str">
        <f t="shared" si="350"/>
        <v/>
      </c>
      <c r="B3229" s="83" t="str">
        <f t="shared" si="351"/>
        <v/>
      </c>
      <c r="U3229" s="83" t="str">
        <f t="shared" si="352"/>
        <v/>
      </c>
      <c r="V3229" s="83" t="str">
        <f t="shared" si="353"/>
        <v/>
      </c>
      <c r="AA3229" s="60">
        <f t="shared" si="354"/>
        <v>0</v>
      </c>
      <c r="AB3229" s="49">
        <f t="shared" si="355"/>
        <v>0</v>
      </c>
      <c r="AC3229" s="60">
        <f t="shared" si="356"/>
        <v>0</v>
      </c>
    </row>
    <row r="3230" spans="1:29">
      <c r="A3230" s="83" t="str">
        <f t="shared" si="350"/>
        <v/>
      </c>
      <c r="B3230" s="83" t="str">
        <f t="shared" si="351"/>
        <v/>
      </c>
      <c r="U3230" s="83" t="str">
        <f t="shared" si="352"/>
        <v/>
      </c>
      <c r="V3230" s="83" t="str">
        <f t="shared" si="353"/>
        <v/>
      </c>
      <c r="AA3230" s="60">
        <f t="shared" si="354"/>
        <v>0</v>
      </c>
      <c r="AB3230" s="49">
        <f t="shared" si="355"/>
        <v>0</v>
      </c>
      <c r="AC3230" s="60">
        <f t="shared" si="356"/>
        <v>0</v>
      </c>
    </row>
    <row r="3231" spans="1:29">
      <c r="A3231" s="83" t="str">
        <f t="shared" si="350"/>
        <v/>
      </c>
      <c r="B3231" s="83" t="str">
        <f t="shared" si="351"/>
        <v/>
      </c>
      <c r="U3231" s="83" t="str">
        <f t="shared" si="352"/>
        <v/>
      </c>
      <c r="V3231" s="83" t="str">
        <f t="shared" si="353"/>
        <v/>
      </c>
      <c r="AA3231" s="60">
        <f t="shared" si="354"/>
        <v>0</v>
      </c>
      <c r="AB3231" s="49">
        <f t="shared" si="355"/>
        <v>0</v>
      </c>
      <c r="AC3231" s="60">
        <f t="shared" si="356"/>
        <v>0</v>
      </c>
    </row>
    <row r="3232" spans="1:29">
      <c r="A3232" s="83" t="str">
        <f t="shared" si="350"/>
        <v/>
      </c>
      <c r="B3232" s="83" t="str">
        <f t="shared" si="351"/>
        <v/>
      </c>
      <c r="U3232" s="83" t="str">
        <f t="shared" si="352"/>
        <v/>
      </c>
      <c r="V3232" s="83" t="str">
        <f t="shared" si="353"/>
        <v/>
      </c>
      <c r="AA3232" s="60">
        <f t="shared" si="354"/>
        <v>0</v>
      </c>
      <c r="AB3232" s="49">
        <f t="shared" si="355"/>
        <v>0</v>
      </c>
      <c r="AC3232" s="60">
        <f t="shared" si="356"/>
        <v>0</v>
      </c>
    </row>
    <row r="3233" spans="1:29">
      <c r="A3233" s="83" t="str">
        <f t="shared" si="350"/>
        <v/>
      </c>
      <c r="B3233" s="83" t="str">
        <f t="shared" si="351"/>
        <v/>
      </c>
      <c r="U3233" s="83" t="str">
        <f t="shared" si="352"/>
        <v/>
      </c>
      <c r="V3233" s="83" t="str">
        <f t="shared" si="353"/>
        <v/>
      </c>
      <c r="AA3233" s="60">
        <f t="shared" si="354"/>
        <v>0</v>
      </c>
      <c r="AB3233" s="49">
        <f t="shared" si="355"/>
        <v>0</v>
      </c>
      <c r="AC3233" s="60">
        <f t="shared" si="356"/>
        <v>0</v>
      </c>
    </row>
    <row r="3234" spans="1:29">
      <c r="A3234" s="83" t="str">
        <f t="shared" si="350"/>
        <v/>
      </c>
      <c r="B3234" s="83" t="str">
        <f t="shared" si="351"/>
        <v/>
      </c>
      <c r="U3234" s="83" t="str">
        <f t="shared" si="352"/>
        <v/>
      </c>
      <c r="V3234" s="83" t="str">
        <f t="shared" si="353"/>
        <v/>
      </c>
      <c r="AA3234" s="60">
        <f t="shared" si="354"/>
        <v>0</v>
      </c>
      <c r="AB3234" s="49">
        <f t="shared" si="355"/>
        <v>0</v>
      </c>
      <c r="AC3234" s="60">
        <f t="shared" si="356"/>
        <v>0</v>
      </c>
    </row>
    <row r="3235" spans="1:29">
      <c r="A3235" s="83" t="str">
        <f t="shared" si="350"/>
        <v/>
      </c>
      <c r="B3235" s="83" t="str">
        <f t="shared" si="351"/>
        <v/>
      </c>
      <c r="U3235" s="83" t="str">
        <f t="shared" si="352"/>
        <v/>
      </c>
      <c r="V3235" s="83" t="str">
        <f t="shared" si="353"/>
        <v/>
      </c>
      <c r="AA3235" s="60">
        <f t="shared" si="354"/>
        <v>0</v>
      </c>
      <c r="AB3235" s="49">
        <f t="shared" si="355"/>
        <v>0</v>
      </c>
      <c r="AC3235" s="60">
        <f t="shared" si="356"/>
        <v>0</v>
      </c>
    </row>
    <row r="3236" spans="1:29">
      <c r="A3236" s="83" t="str">
        <f t="shared" si="350"/>
        <v/>
      </c>
      <c r="B3236" s="83" t="str">
        <f t="shared" si="351"/>
        <v/>
      </c>
      <c r="U3236" s="83" t="str">
        <f t="shared" si="352"/>
        <v/>
      </c>
      <c r="V3236" s="83" t="str">
        <f t="shared" si="353"/>
        <v/>
      </c>
      <c r="AA3236" s="60">
        <f t="shared" si="354"/>
        <v>0</v>
      </c>
      <c r="AB3236" s="49">
        <f t="shared" si="355"/>
        <v>0</v>
      </c>
      <c r="AC3236" s="60">
        <f t="shared" si="356"/>
        <v>0</v>
      </c>
    </row>
    <row r="3237" spans="1:29">
      <c r="A3237" s="83" t="str">
        <f t="shared" si="350"/>
        <v/>
      </c>
      <c r="B3237" s="83" t="str">
        <f t="shared" si="351"/>
        <v/>
      </c>
      <c r="U3237" s="83" t="str">
        <f t="shared" si="352"/>
        <v/>
      </c>
      <c r="V3237" s="83" t="str">
        <f t="shared" si="353"/>
        <v/>
      </c>
      <c r="AA3237" s="60">
        <f t="shared" si="354"/>
        <v>0</v>
      </c>
      <c r="AB3237" s="49">
        <f t="shared" si="355"/>
        <v>0</v>
      </c>
      <c r="AC3237" s="60">
        <f t="shared" si="356"/>
        <v>0</v>
      </c>
    </row>
    <row r="3238" spans="1:29">
      <c r="A3238" s="83" t="str">
        <f t="shared" si="350"/>
        <v/>
      </c>
      <c r="B3238" s="83" t="str">
        <f t="shared" si="351"/>
        <v/>
      </c>
      <c r="U3238" s="83" t="str">
        <f t="shared" si="352"/>
        <v/>
      </c>
      <c r="V3238" s="83" t="str">
        <f t="shared" si="353"/>
        <v/>
      </c>
      <c r="AA3238" s="60">
        <f t="shared" si="354"/>
        <v>0</v>
      </c>
      <c r="AB3238" s="49">
        <f t="shared" si="355"/>
        <v>0</v>
      </c>
      <c r="AC3238" s="60">
        <f t="shared" si="356"/>
        <v>0</v>
      </c>
    </row>
    <row r="3239" spans="1:29">
      <c r="A3239" s="83" t="str">
        <f t="shared" si="350"/>
        <v/>
      </c>
      <c r="B3239" s="83" t="str">
        <f t="shared" si="351"/>
        <v/>
      </c>
      <c r="U3239" s="83" t="str">
        <f t="shared" si="352"/>
        <v/>
      </c>
      <c r="V3239" s="83" t="str">
        <f t="shared" si="353"/>
        <v/>
      </c>
      <c r="AA3239" s="60">
        <f t="shared" si="354"/>
        <v>0</v>
      </c>
      <c r="AB3239" s="49">
        <f t="shared" si="355"/>
        <v>0</v>
      </c>
      <c r="AC3239" s="60">
        <f t="shared" si="356"/>
        <v>0</v>
      </c>
    </row>
    <row r="3240" spans="1:29">
      <c r="A3240" s="83" t="str">
        <f t="shared" si="350"/>
        <v/>
      </c>
      <c r="B3240" s="83" t="str">
        <f t="shared" si="351"/>
        <v/>
      </c>
      <c r="U3240" s="83" t="str">
        <f t="shared" si="352"/>
        <v/>
      </c>
      <c r="V3240" s="83" t="str">
        <f t="shared" si="353"/>
        <v/>
      </c>
      <c r="AA3240" s="60">
        <f t="shared" si="354"/>
        <v>0</v>
      </c>
      <c r="AB3240" s="49">
        <f t="shared" si="355"/>
        <v>0</v>
      </c>
      <c r="AC3240" s="60">
        <f t="shared" si="356"/>
        <v>0</v>
      </c>
    </row>
    <row r="3241" spans="1:29">
      <c r="A3241" s="83" t="str">
        <f t="shared" si="350"/>
        <v/>
      </c>
      <c r="B3241" s="83" t="str">
        <f t="shared" si="351"/>
        <v/>
      </c>
      <c r="U3241" s="83" t="str">
        <f t="shared" si="352"/>
        <v/>
      </c>
      <c r="V3241" s="83" t="str">
        <f t="shared" si="353"/>
        <v/>
      </c>
      <c r="AA3241" s="60">
        <f t="shared" si="354"/>
        <v>0</v>
      </c>
      <c r="AB3241" s="49">
        <f t="shared" si="355"/>
        <v>0</v>
      </c>
      <c r="AC3241" s="60">
        <f t="shared" si="356"/>
        <v>0</v>
      </c>
    </row>
    <row r="3242" spans="1:29">
      <c r="A3242" s="83" t="str">
        <f t="shared" si="350"/>
        <v/>
      </c>
      <c r="B3242" s="83" t="str">
        <f t="shared" si="351"/>
        <v/>
      </c>
      <c r="U3242" s="83" t="str">
        <f t="shared" si="352"/>
        <v/>
      </c>
      <c r="V3242" s="83" t="str">
        <f t="shared" si="353"/>
        <v/>
      </c>
      <c r="AA3242" s="60">
        <f t="shared" si="354"/>
        <v>0</v>
      </c>
      <c r="AB3242" s="49">
        <f t="shared" si="355"/>
        <v>0</v>
      </c>
      <c r="AC3242" s="60">
        <f t="shared" si="356"/>
        <v>0</v>
      </c>
    </row>
    <row r="3243" spans="1:29">
      <c r="A3243" s="83" t="str">
        <f t="shared" si="350"/>
        <v/>
      </c>
      <c r="B3243" s="83" t="str">
        <f t="shared" si="351"/>
        <v/>
      </c>
      <c r="U3243" s="83" t="str">
        <f t="shared" si="352"/>
        <v/>
      </c>
      <c r="V3243" s="83" t="str">
        <f t="shared" si="353"/>
        <v/>
      </c>
      <c r="AA3243" s="60">
        <f t="shared" si="354"/>
        <v>0</v>
      </c>
      <c r="AB3243" s="49">
        <f t="shared" si="355"/>
        <v>0</v>
      </c>
      <c r="AC3243" s="60">
        <f t="shared" si="356"/>
        <v>0</v>
      </c>
    </row>
    <row r="3244" spans="1:29">
      <c r="A3244" s="83" t="str">
        <f t="shared" si="350"/>
        <v/>
      </c>
      <c r="B3244" s="83" t="str">
        <f t="shared" si="351"/>
        <v/>
      </c>
      <c r="U3244" s="83" t="str">
        <f t="shared" si="352"/>
        <v/>
      </c>
      <c r="V3244" s="83" t="str">
        <f t="shared" si="353"/>
        <v/>
      </c>
      <c r="AA3244" s="60">
        <f t="shared" si="354"/>
        <v>0</v>
      </c>
      <c r="AB3244" s="49">
        <f t="shared" si="355"/>
        <v>0</v>
      </c>
      <c r="AC3244" s="60">
        <f t="shared" si="356"/>
        <v>0</v>
      </c>
    </row>
    <row r="3245" spans="1:29">
      <c r="A3245" s="83" t="str">
        <f t="shared" si="350"/>
        <v/>
      </c>
      <c r="B3245" s="83" t="str">
        <f t="shared" si="351"/>
        <v/>
      </c>
      <c r="U3245" s="83" t="str">
        <f t="shared" si="352"/>
        <v/>
      </c>
      <c r="V3245" s="83" t="str">
        <f t="shared" si="353"/>
        <v/>
      </c>
      <c r="AA3245" s="60">
        <f t="shared" si="354"/>
        <v>0</v>
      </c>
      <c r="AB3245" s="49">
        <f t="shared" si="355"/>
        <v>0</v>
      </c>
      <c r="AC3245" s="60">
        <f t="shared" si="356"/>
        <v>0</v>
      </c>
    </row>
    <row r="3246" spans="1:29">
      <c r="A3246" s="83" t="str">
        <f t="shared" si="350"/>
        <v/>
      </c>
      <c r="B3246" s="83" t="str">
        <f t="shared" si="351"/>
        <v/>
      </c>
      <c r="U3246" s="83" t="str">
        <f t="shared" si="352"/>
        <v/>
      </c>
      <c r="V3246" s="83" t="str">
        <f t="shared" si="353"/>
        <v/>
      </c>
      <c r="AA3246" s="60">
        <f t="shared" si="354"/>
        <v>0</v>
      </c>
      <c r="AB3246" s="49">
        <f t="shared" si="355"/>
        <v>0</v>
      </c>
      <c r="AC3246" s="60">
        <f t="shared" si="356"/>
        <v>0</v>
      </c>
    </row>
    <row r="3247" spans="1:29">
      <c r="A3247" s="83" t="str">
        <f t="shared" si="350"/>
        <v/>
      </c>
      <c r="B3247" s="83" t="str">
        <f t="shared" si="351"/>
        <v/>
      </c>
      <c r="U3247" s="83" t="str">
        <f t="shared" si="352"/>
        <v/>
      </c>
      <c r="V3247" s="83" t="str">
        <f t="shared" si="353"/>
        <v/>
      </c>
      <c r="AA3247" s="60">
        <f t="shared" si="354"/>
        <v>0</v>
      </c>
      <c r="AB3247" s="49">
        <f t="shared" si="355"/>
        <v>0</v>
      </c>
      <c r="AC3247" s="60">
        <f t="shared" si="356"/>
        <v>0</v>
      </c>
    </row>
    <row r="3248" spans="1:29">
      <c r="A3248" s="83" t="str">
        <f t="shared" si="350"/>
        <v/>
      </c>
      <c r="B3248" s="83" t="str">
        <f t="shared" si="351"/>
        <v/>
      </c>
      <c r="U3248" s="83" t="str">
        <f t="shared" si="352"/>
        <v/>
      </c>
      <c r="V3248" s="83" t="str">
        <f t="shared" si="353"/>
        <v/>
      </c>
      <c r="AA3248" s="60">
        <f t="shared" si="354"/>
        <v>0</v>
      </c>
      <c r="AB3248" s="49">
        <f t="shared" si="355"/>
        <v>0</v>
      </c>
      <c r="AC3248" s="60">
        <f t="shared" si="356"/>
        <v>0</v>
      </c>
    </row>
    <row r="3249" spans="1:29">
      <c r="A3249" s="83" t="str">
        <f t="shared" si="350"/>
        <v/>
      </c>
      <c r="B3249" s="83" t="str">
        <f t="shared" si="351"/>
        <v/>
      </c>
      <c r="U3249" s="83" t="str">
        <f t="shared" si="352"/>
        <v/>
      </c>
      <c r="V3249" s="83" t="str">
        <f t="shared" si="353"/>
        <v/>
      </c>
      <c r="AA3249" s="60">
        <f t="shared" si="354"/>
        <v>0</v>
      </c>
      <c r="AB3249" s="49">
        <f t="shared" si="355"/>
        <v>0</v>
      </c>
      <c r="AC3249" s="60">
        <f t="shared" si="356"/>
        <v>0</v>
      </c>
    </row>
    <row r="3250" spans="1:29">
      <c r="A3250" s="83" t="str">
        <f t="shared" si="350"/>
        <v/>
      </c>
      <c r="B3250" s="83" t="str">
        <f t="shared" si="351"/>
        <v/>
      </c>
      <c r="U3250" s="83" t="str">
        <f t="shared" si="352"/>
        <v/>
      </c>
      <c r="V3250" s="83" t="str">
        <f t="shared" si="353"/>
        <v/>
      </c>
      <c r="AA3250" s="60">
        <f t="shared" si="354"/>
        <v>0</v>
      </c>
      <c r="AB3250" s="49">
        <f t="shared" si="355"/>
        <v>0</v>
      </c>
      <c r="AC3250" s="60">
        <f t="shared" si="356"/>
        <v>0</v>
      </c>
    </row>
    <row r="3251" spans="1:29">
      <c r="A3251" s="83" t="str">
        <f t="shared" si="350"/>
        <v/>
      </c>
      <c r="B3251" s="83" t="str">
        <f t="shared" si="351"/>
        <v/>
      </c>
      <c r="U3251" s="83" t="str">
        <f t="shared" si="352"/>
        <v/>
      </c>
      <c r="V3251" s="83" t="str">
        <f t="shared" si="353"/>
        <v/>
      </c>
      <c r="AA3251" s="60">
        <f t="shared" si="354"/>
        <v>0</v>
      </c>
      <c r="AB3251" s="49">
        <f t="shared" si="355"/>
        <v>0</v>
      </c>
      <c r="AC3251" s="60">
        <f t="shared" si="356"/>
        <v>0</v>
      </c>
    </row>
    <row r="3252" spans="1:29">
      <c r="A3252" s="83" t="str">
        <f t="shared" si="350"/>
        <v/>
      </c>
      <c r="B3252" s="83" t="str">
        <f t="shared" si="351"/>
        <v/>
      </c>
      <c r="U3252" s="83" t="str">
        <f t="shared" si="352"/>
        <v/>
      </c>
      <c r="V3252" s="83" t="str">
        <f t="shared" si="353"/>
        <v/>
      </c>
      <c r="AA3252" s="60">
        <f t="shared" si="354"/>
        <v>0</v>
      </c>
      <c r="AB3252" s="49">
        <f t="shared" si="355"/>
        <v>0</v>
      </c>
      <c r="AC3252" s="60">
        <f t="shared" si="356"/>
        <v>0</v>
      </c>
    </row>
    <row r="3253" spans="1:29">
      <c r="A3253" s="83" t="str">
        <f t="shared" si="350"/>
        <v/>
      </c>
      <c r="B3253" s="83" t="str">
        <f t="shared" si="351"/>
        <v/>
      </c>
      <c r="U3253" s="83" t="str">
        <f t="shared" si="352"/>
        <v/>
      </c>
      <c r="V3253" s="83" t="str">
        <f t="shared" si="353"/>
        <v/>
      </c>
      <c r="AA3253" s="60">
        <f t="shared" si="354"/>
        <v>0</v>
      </c>
      <c r="AB3253" s="49">
        <f t="shared" si="355"/>
        <v>0</v>
      </c>
      <c r="AC3253" s="60">
        <f t="shared" si="356"/>
        <v>0</v>
      </c>
    </row>
    <row r="3254" spans="1:29">
      <c r="A3254" s="83" t="str">
        <f t="shared" si="350"/>
        <v/>
      </c>
      <c r="B3254" s="83" t="str">
        <f t="shared" si="351"/>
        <v/>
      </c>
      <c r="U3254" s="83" t="str">
        <f t="shared" si="352"/>
        <v/>
      </c>
      <c r="V3254" s="83" t="str">
        <f t="shared" si="353"/>
        <v/>
      </c>
      <c r="AA3254" s="60">
        <f t="shared" si="354"/>
        <v>0</v>
      </c>
      <c r="AB3254" s="49">
        <f t="shared" si="355"/>
        <v>0</v>
      </c>
      <c r="AC3254" s="60">
        <f t="shared" si="356"/>
        <v>0</v>
      </c>
    </row>
    <row r="3255" spans="1:29">
      <c r="A3255" s="83" t="str">
        <f t="shared" si="350"/>
        <v/>
      </c>
      <c r="B3255" s="83" t="str">
        <f t="shared" si="351"/>
        <v/>
      </c>
      <c r="U3255" s="83" t="str">
        <f t="shared" si="352"/>
        <v/>
      </c>
      <c r="V3255" s="83" t="str">
        <f t="shared" si="353"/>
        <v/>
      </c>
      <c r="AA3255" s="60">
        <f t="shared" si="354"/>
        <v>0</v>
      </c>
      <c r="AB3255" s="49">
        <f t="shared" si="355"/>
        <v>0</v>
      </c>
      <c r="AC3255" s="60">
        <f t="shared" si="356"/>
        <v>0</v>
      </c>
    </row>
    <row r="3256" spans="1:29">
      <c r="A3256" s="83" t="str">
        <f t="shared" si="350"/>
        <v/>
      </c>
      <c r="B3256" s="83" t="str">
        <f t="shared" si="351"/>
        <v/>
      </c>
      <c r="U3256" s="83" t="str">
        <f t="shared" si="352"/>
        <v/>
      </c>
      <c r="V3256" s="83" t="str">
        <f t="shared" si="353"/>
        <v/>
      </c>
      <c r="AA3256" s="60">
        <f t="shared" si="354"/>
        <v>0</v>
      </c>
      <c r="AB3256" s="49">
        <f t="shared" si="355"/>
        <v>0</v>
      </c>
      <c r="AC3256" s="60">
        <f t="shared" si="356"/>
        <v>0</v>
      </c>
    </row>
    <row r="3257" spans="1:29">
      <c r="A3257" s="83" t="str">
        <f t="shared" si="350"/>
        <v/>
      </c>
      <c r="B3257" s="83" t="str">
        <f t="shared" si="351"/>
        <v/>
      </c>
      <c r="U3257" s="83" t="str">
        <f t="shared" si="352"/>
        <v/>
      </c>
      <c r="V3257" s="83" t="str">
        <f t="shared" si="353"/>
        <v/>
      </c>
      <c r="AA3257" s="60">
        <f t="shared" si="354"/>
        <v>0</v>
      </c>
      <c r="AB3257" s="49">
        <f t="shared" si="355"/>
        <v>0</v>
      </c>
      <c r="AC3257" s="60">
        <f t="shared" si="356"/>
        <v>0</v>
      </c>
    </row>
    <row r="3258" spans="1:29">
      <c r="A3258" s="83" t="str">
        <f t="shared" si="350"/>
        <v/>
      </c>
      <c r="B3258" s="83" t="str">
        <f t="shared" si="351"/>
        <v/>
      </c>
      <c r="U3258" s="83" t="str">
        <f t="shared" si="352"/>
        <v/>
      </c>
      <c r="V3258" s="83" t="str">
        <f t="shared" si="353"/>
        <v/>
      </c>
      <c r="AA3258" s="60">
        <f t="shared" si="354"/>
        <v>0</v>
      </c>
      <c r="AB3258" s="49">
        <f t="shared" si="355"/>
        <v>0</v>
      </c>
      <c r="AC3258" s="60">
        <f t="shared" si="356"/>
        <v>0</v>
      </c>
    </row>
    <row r="3259" spans="1:29">
      <c r="A3259" s="83" t="str">
        <f t="shared" si="350"/>
        <v/>
      </c>
      <c r="B3259" s="83" t="str">
        <f t="shared" si="351"/>
        <v/>
      </c>
      <c r="U3259" s="83" t="str">
        <f t="shared" si="352"/>
        <v/>
      </c>
      <c r="V3259" s="83" t="str">
        <f t="shared" si="353"/>
        <v/>
      </c>
      <c r="AA3259" s="60">
        <f t="shared" si="354"/>
        <v>0</v>
      </c>
      <c r="AB3259" s="49">
        <f t="shared" si="355"/>
        <v>0</v>
      </c>
      <c r="AC3259" s="60">
        <f t="shared" si="356"/>
        <v>0</v>
      </c>
    </row>
    <row r="3260" spans="1:29">
      <c r="A3260" s="83" t="str">
        <f t="shared" si="350"/>
        <v/>
      </c>
      <c r="B3260" s="83" t="str">
        <f t="shared" si="351"/>
        <v/>
      </c>
      <c r="U3260" s="83" t="str">
        <f t="shared" si="352"/>
        <v/>
      </c>
      <c r="V3260" s="83" t="str">
        <f t="shared" si="353"/>
        <v/>
      </c>
      <c r="AA3260" s="60">
        <f t="shared" si="354"/>
        <v>0</v>
      </c>
      <c r="AB3260" s="49">
        <f t="shared" si="355"/>
        <v>0</v>
      </c>
      <c r="AC3260" s="60">
        <f t="shared" si="356"/>
        <v>0</v>
      </c>
    </row>
    <row r="3261" spans="1:29">
      <c r="A3261" s="83" t="str">
        <f t="shared" si="350"/>
        <v/>
      </c>
      <c r="B3261" s="83" t="str">
        <f t="shared" si="351"/>
        <v/>
      </c>
      <c r="U3261" s="83" t="str">
        <f t="shared" si="352"/>
        <v/>
      </c>
      <c r="V3261" s="83" t="str">
        <f t="shared" si="353"/>
        <v/>
      </c>
      <c r="AA3261" s="60">
        <f t="shared" si="354"/>
        <v>0</v>
      </c>
      <c r="AB3261" s="49">
        <f t="shared" si="355"/>
        <v>0</v>
      </c>
      <c r="AC3261" s="60">
        <f t="shared" si="356"/>
        <v>0</v>
      </c>
    </row>
    <row r="3262" spans="1:29">
      <c r="A3262" s="83" t="str">
        <f t="shared" si="350"/>
        <v/>
      </c>
      <c r="B3262" s="83" t="str">
        <f t="shared" si="351"/>
        <v/>
      </c>
      <c r="U3262" s="83" t="str">
        <f t="shared" si="352"/>
        <v/>
      </c>
      <c r="V3262" s="83" t="str">
        <f t="shared" si="353"/>
        <v/>
      </c>
      <c r="AA3262" s="60">
        <f t="shared" si="354"/>
        <v>0</v>
      </c>
      <c r="AB3262" s="49">
        <f t="shared" si="355"/>
        <v>0</v>
      </c>
      <c r="AC3262" s="60">
        <f t="shared" si="356"/>
        <v>0</v>
      </c>
    </row>
    <row r="3263" spans="1:29">
      <c r="A3263" s="83" t="str">
        <f t="shared" si="350"/>
        <v/>
      </c>
      <c r="B3263" s="83" t="str">
        <f t="shared" si="351"/>
        <v/>
      </c>
      <c r="U3263" s="83" t="str">
        <f t="shared" si="352"/>
        <v/>
      </c>
      <c r="V3263" s="83" t="str">
        <f t="shared" si="353"/>
        <v/>
      </c>
      <c r="AA3263" s="60">
        <f t="shared" si="354"/>
        <v>0</v>
      </c>
      <c r="AB3263" s="49">
        <f t="shared" si="355"/>
        <v>0</v>
      </c>
      <c r="AC3263" s="60">
        <f t="shared" si="356"/>
        <v>0</v>
      </c>
    </row>
    <row r="3264" spans="1:29">
      <c r="A3264" s="83" t="str">
        <f t="shared" si="350"/>
        <v/>
      </c>
      <c r="B3264" s="83" t="str">
        <f t="shared" si="351"/>
        <v/>
      </c>
      <c r="U3264" s="83" t="str">
        <f t="shared" si="352"/>
        <v/>
      </c>
      <c r="V3264" s="83" t="str">
        <f t="shared" si="353"/>
        <v/>
      </c>
      <c r="AA3264" s="60">
        <f t="shared" si="354"/>
        <v>0</v>
      </c>
      <c r="AB3264" s="49">
        <f t="shared" si="355"/>
        <v>0</v>
      </c>
      <c r="AC3264" s="60">
        <f t="shared" si="356"/>
        <v>0</v>
      </c>
    </row>
    <row r="3265" spans="1:29">
      <c r="A3265" s="83" t="str">
        <f t="shared" si="350"/>
        <v/>
      </c>
      <c r="B3265" s="83" t="str">
        <f t="shared" si="351"/>
        <v/>
      </c>
      <c r="U3265" s="83" t="str">
        <f t="shared" si="352"/>
        <v/>
      </c>
      <c r="V3265" s="83" t="str">
        <f t="shared" si="353"/>
        <v/>
      </c>
      <c r="AA3265" s="60">
        <f t="shared" si="354"/>
        <v>0</v>
      </c>
      <c r="AB3265" s="49">
        <f t="shared" si="355"/>
        <v>0</v>
      </c>
      <c r="AC3265" s="60">
        <f t="shared" si="356"/>
        <v>0</v>
      </c>
    </row>
    <row r="3266" spans="1:29">
      <c r="A3266" s="83" t="str">
        <f t="shared" si="350"/>
        <v/>
      </c>
      <c r="B3266" s="83" t="str">
        <f t="shared" si="351"/>
        <v/>
      </c>
      <c r="U3266" s="83" t="str">
        <f t="shared" si="352"/>
        <v/>
      </c>
      <c r="V3266" s="83" t="str">
        <f t="shared" si="353"/>
        <v/>
      </c>
      <c r="AA3266" s="60">
        <f t="shared" si="354"/>
        <v>0</v>
      </c>
      <c r="AB3266" s="49">
        <f t="shared" si="355"/>
        <v>0</v>
      </c>
      <c r="AC3266" s="60">
        <f t="shared" si="356"/>
        <v>0</v>
      </c>
    </row>
    <row r="3267" spans="1:29">
      <c r="A3267" s="83" t="str">
        <f t="shared" ref="A3267:A3330" si="357">IF(G3267&amp;Q3267&lt;&gt;"",U3267&amp;Q3267,"")</f>
        <v/>
      </c>
      <c r="B3267" s="83" t="str">
        <f t="shared" ref="B3267:B3330" si="358">IF(C3267&lt;&gt;"",LEFT(C3267,9),"")</f>
        <v/>
      </c>
      <c r="U3267" s="83" t="str">
        <f t="shared" ref="U3267:U3330" si="359">IF(G3267&lt;&gt;"",IF(StyleSpaceSplit,IFERROR(IF(FIND(" ",G3267)&gt;=1,MID(G3267,1,FIND(" ",G3267)-1),G3267),G3267),G3267),"")</f>
        <v/>
      </c>
      <c r="V3267" s="83" t="str">
        <f t="shared" ref="V3267:V3330" si="360">IF(A3267&lt;&gt;"",IFERROR(IF(FIND(" ",G3267)&gt;=1,MID(G3267,FIND(" ",G3267)+1,LEN(G3267)),""),G3267),"")</f>
        <v/>
      </c>
      <c r="AA3267" s="60">
        <f t="shared" ref="AA3267:AA3330" si="361">IFERROR(VALUE(MID($C3267,1,2)),0)</f>
        <v>0</v>
      </c>
      <c r="AB3267" s="49">
        <f t="shared" ref="AB3267:AB3330" si="362">IFERROR(VALUE(MID($C3267,4,3)),0)</f>
        <v>0</v>
      </c>
      <c r="AC3267" s="60">
        <f t="shared" ref="AC3267:AC3330" si="363">VALUE(RIGHT("00"&amp;AA3267,2)&amp;RIGHT("000"&amp;AB3267,3))</f>
        <v>0</v>
      </c>
    </row>
    <row r="3268" spans="1:29">
      <c r="A3268" s="83" t="str">
        <f t="shared" si="357"/>
        <v/>
      </c>
      <c r="B3268" s="83" t="str">
        <f t="shared" si="358"/>
        <v/>
      </c>
      <c r="U3268" s="83" t="str">
        <f t="shared" si="359"/>
        <v/>
      </c>
      <c r="V3268" s="83" t="str">
        <f t="shared" si="360"/>
        <v/>
      </c>
      <c r="AA3268" s="60">
        <f t="shared" si="361"/>
        <v>0</v>
      </c>
      <c r="AB3268" s="49">
        <f t="shared" si="362"/>
        <v>0</v>
      </c>
      <c r="AC3268" s="60">
        <f t="shared" si="363"/>
        <v>0</v>
      </c>
    </row>
    <row r="3269" spans="1:29">
      <c r="A3269" s="83" t="str">
        <f t="shared" si="357"/>
        <v/>
      </c>
      <c r="B3269" s="83" t="str">
        <f t="shared" si="358"/>
        <v/>
      </c>
      <c r="U3269" s="83" t="str">
        <f t="shared" si="359"/>
        <v/>
      </c>
      <c r="V3269" s="83" t="str">
        <f t="shared" si="360"/>
        <v/>
      </c>
      <c r="AA3269" s="60">
        <f t="shared" si="361"/>
        <v>0</v>
      </c>
      <c r="AB3269" s="49">
        <f t="shared" si="362"/>
        <v>0</v>
      </c>
      <c r="AC3269" s="60">
        <f t="shared" si="363"/>
        <v>0</v>
      </c>
    </row>
    <row r="3270" spans="1:29">
      <c r="A3270" s="83" t="str">
        <f t="shared" si="357"/>
        <v/>
      </c>
      <c r="B3270" s="83" t="str">
        <f t="shared" si="358"/>
        <v/>
      </c>
      <c r="U3270" s="83" t="str">
        <f t="shared" si="359"/>
        <v/>
      </c>
      <c r="V3270" s="83" t="str">
        <f t="shared" si="360"/>
        <v/>
      </c>
      <c r="AA3270" s="60">
        <f t="shared" si="361"/>
        <v>0</v>
      </c>
      <c r="AB3270" s="49">
        <f t="shared" si="362"/>
        <v>0</v>
      </c>
      <c r="AC3270" s="60">
        <f t="shared" si="363"/>
        <v>0</v>
      </c>
    </row>
    <row r="3271" spans="1:29">
      <c r="A3271" s="83" t="str">
        <f t="shared" si="357"/>
        <v/>
      </c>
      <c r="B3271" s="83" t="str">
        <f t="shared" si="358"/>
        <v/>
      </c>
      <c r="U3271" s="83" t="str">
        <f t="shared" si="359"/>
        <v/>
      </c>
      <c r="V3271" s="83" t="str">
        <f t="shared" si="360"/>
        <v/>
      </c>
      <c r="AA3271" s="60">
        <f t="shared" si="361"/>
        <v>0</v>
      </c>
      <c r="AB3271" s="49">
        <f t="shared" si="362"/>
        <v>0</v>
      </c>
      <c r="AC3271" s="60">
        <f t="shared" si="363"/>
        <v>0</v>
      </c>
    </row>
    <row r="3272" spans="1:29">
      <c r="A3272" s="83" t="str">
        <f t="shared" si="357"/>
        <v/>
      </c>
      <c r="B3272" s="83" t="str">
        <f t="shared" si="358"/>
        <v/>
      </c>
      <c r="U3272" s="83" t="str">
        <f t="shared" si="359"/>
        <v/>
      </c>
      <c r="V3272" s="83" t="str">
        <f t="shared" si="360"/>
        <v/>
      </c>
      <c r="AA3272" s="60">
        <f t="shared" si="361"/>
        <v>0</v>
      </c>
      <c r="AB3272" s="49">
        <f t="shared" si="362"/>
        <v>0</v>
      </c>
      <c r="AC3272" s="60">
        <f t="shared" si="363"/>
        <v>0</v>
      </c>
    </row>
    <row r="3273" spans="1:29">
      <c r="A3273" s="83" t="str">
        <f t="shared" si="357"/>
        <v/>
      </c>
      <c r="B3273" s="83" t="str">
        <f t="shared" si="358"/>
        <v/>
      </c>
      <c r="U3273" s="83" t="str">
        <f t="shared" si="359"/>
        <v/>
      </c>
      <c r="V3273" s="83" t="str">
        <f t="shared" si="360"/>
        <v/>
      </c>
      <c r="AA3273" s="60">
        <f t="shared" si="361"/>
        <v>0</v>
      </c>
      <c r="AB3273" s="49">
        <f t="shared" si="362"/>
        <v>0</v>
      </c>
      <c r="AC3273" s="60">
        <f t="shared" si="363"/>
        <v>0</v>
      </c>
    </row>
    <row r="3274" spans="1:29">
      <c r="A3274" s="83" t="str">
        <f t="shared" si="357"/>
        <v/>
      </c>
      <c r="B3274" s="83" t="str">
        <f t="shared" si="358"/>
        <v/>
      </c>
      <c r="U3274" s="83" t="str">
        <f t="shared" si="359"/>
        <v/>
      </c>
      <c r="V3274" s="83" t="str">
        <f t="shared" si="360"/>
        <v/>
      </c>
      <c r="AA3274" s="60">
        <f t="shared" si="361"/>
        <v>0</v>
      </c>
      <c r="AB3274" s="49">
        <f t="shared" si="362"/>
        <v>0</v>
      </c>
      <c r="AC3274" s="60">
        <f t="shared" si="363"/>
        <v>0</v>
      </c>
    </row>
    <row r="3275" spans="1:29">
      <c r="A3275" s="83" t="str">
        <f t="shared" si="357"/>
        <v/>
      </c>
      <c r="B3275" s="83" t="str">
        <f t="shared" si="358"/>
        <v/>
      </c>
      <c r="U3275" s="83" t="str">
        <f t="shared" si="359"/>
        <v/>
      </c>
      <c r="V3275" s="83" t="str">
        <f t="shared" si="360"/>
        <v/>
      </c>
      <c r="AA3275" s="60">
        <f t="shared" si="361"/>
        <v>0</v>
      </c>
      <c r="AB3275" s="49">
        <f t="shared" si="362"/>
        <v>0</v>
      </c>
      <c r="AC3275" s="60">
        <f t="shared" si="363"/>
        <v>0</v>
      </c>
    </row>
    <row r="3276" spans="1:29">
      <c r="A3276" s="83" t="str">
        <f t="shared" si="357"/>
        <v/>
      </c>
      <c r="B3276" s="83" t="str">
        <f t="shared" si="358"/>
        <v/>
      </c>
      <c r="U3276" s="83" t="str">
        <f t="shared" si="359"/>
        <v/>
      </c>
      <c r="V3276" s="83" t="str">
        <f t="shared" si="360"/>
        <v/>
      </c>
      <c r="AA3276" s="60">
        <f t="shared" si="361"/>
        <v>0</v>
      </c>
      <c r="AB3276" s="49">
        <f t="shared" si="362"/>
        <v>0</v>
      </c>
      <c r="AC3276" s="60">
        <f t="shared" si="363"/>
        <v>0</v>
      </c>
    </row>
    <row r="3277" spans="1:29">
      <c r="A3277" s="83" t="str">
        <f t="shared" si="357"/>
        <v/>
      </c>
      <c r="B3277" s="83" t="str">
        <f t="shared" si="358"/>
        <v/>
      </c>
      <c r="U3277" s="83" t="str">
        <f t="shared" si="359"/>
        <v/>
      </c>
      <c r="V3277" s="83" t="str">
        <f t="shared" si="360"/>
        <v/>
      </c>
      <c r="AA3277" s="60">
        <f t="shared" si="361"/>
        <v>0</v>
      </c>
      <c r="AB3277" s="49">
        <f t="shared" si="362"/>
        <v>0</v>
      </c>
      <c r="AC3277" s="60">
        <f t="shared" si="363"/>
        <v>0</v>
      </c>
    </row>
    <row r="3278" spans="1:29">
      <c r="A3278" s="83" t="str">
        <f t="shared" si="357"/>
        <v/>
      </c>
      <c r="B3278" s="83" t="str">
        <f t="shared" si="358"/>
        <v/>
      </c>
      <c r="U3278" s="83" t="str">
        <f t="shared" si="359"/>
        <v/>
      </c>
      <c r="V3278" s="83" t="str">
        <f t="shared" si="360"/>
        <v/>
      </c>
      <c r="AA3278" s="60">
        <f t="shared" si="361"/>
        <v>0</v>
      </c>
      <c r="AB3278" s="49">
        <f t="shared" si="362"/>
        <v>0</v>
      </c>
      <c r="AC3278" s="60">
        <f t="shared" si="363"/>
        <v>0</v>
      </c>
    </row>
    <row r="3279" spans="1:29">
      <c r="A3279" s="83" t="str">
        <f t="shared" si="357"/>
        <v/>
      </c>
      <c r="B3279" s="83" t="str">
        <f t="shared" si="358"/>
        <v/>
      </c>
      <c r="U3279" s="83" t="str">
        <f t="shared" si="359"/>
        <v/>
      </c>
      <c r="V3279" s="83" t="str">
        <f t="shared" si="360"/>
        <v/>
      </c>
      <c r="AA3279" s="60">
        <f t="shared" si="361"/>
        <v>0</v>
      </c>
      <c r="AB3279" s="49">
        <f t="shared" si="362"/>
        <v>0</v>
      </c>
      <c r="AC3279" s="60">
        <f t="shared" si="363"/>
        <v>0</v>
      </c>
    </row>
    <row r="3280" spans="1:29">
      <c r="A3280" s="83" t="str">
        <f t="shared" si="357"/>
        <v/>
      </c>
      <c r="B3280" s="83" t="str">
        <f t="shared" si="358"/>
        <v/>
      </c>
      <c r="U3280" s="83" t="str">
        <f t="shared" si="359"/>
        <v/>
      </c>
      <c r="V3280" s="83" t="str">
        <f t="shared" si="360"/>
        <v/>
      </c>
      <c r="AA3280" s="60">
        <f t="shared" si="361"/>
        <v>0</v>
      </c>
      <c r="AB3280" s="49">
        <f t="shared" si="362"/>
        <v>0</v>
      </c>
      <c r="AC3280" s="60">
        <f t="shared" si="363"/>
        <v>0</v>
      </c>
    </row>
    <row r="3281" spans="1:29">
      <c r="A3281" s="83" t="str">
        <f t="shared" si="357"/>
        <v/>
      </c>
      <c r="B3281" s="83" t="str">
        <f t="shared" si="358"/>
        <v/>
      </c>
      <c r="U3281" s="83" t="str">
        <f t="shared" si="359"/>
        <v/>
      </c>
      <c r="V3281" s="83" t="str">
        <f t="shared" si="360"/>
        <v/>
      </c>
      <c r="AA3281" s="60">
        <f t="shared" si="361"/>
        <v>0</v>
      </c>
      <c r="AB3281" s="49">
        <f t="shared" si="362"/>
        <v>0</v>
      </c>
      <c r="AC3281" s="60">
        <f t="shared" si="363"/>
        <v>0</v>
      </c>
    </row>
    <row r="3282" spans="1:29">
      <c r="A3282" s="83" t="str">
        <f t="shared" si="357"/>
        <v/>
      </c>
      <c r="B3282" s="83" t="str">
        <f t="shared" si="358"/>
        <v/>
      </c>
      <c r="U3282" s="83" t="str">
        <f t="shared" si="359"/>
        <v/>
      </c>
      <c r="V3282" s="83" t="str">
        <f t="shared" si="360"/>
        <v/>
      </c>
      <c r="AA3282" s="60">
        <f t="shared" si="361"/>
        <v>0</v>
      </c>
      <c r="AB3282" s="49">
        <f t="shared" si="362"/>
        <v>0</v>
      </c>
      <c r="AC3282" s="60">
        <f t="shared" si="363"/>
        <v>0</v>
      </c>
    </row>
    <row r="3283" spans="1:29">
      <c r="A3283" s="83" t="str">
        <f t="shared" si="357"/>
        <v/>
      </c>
      <c r="B3283" s="83" t="str">
        <f t="shared" si="358"/>
        <v/>
      </c>
      <c r="U3283" s="83" t="str">
        <f t="shared" si="359"/>
        <v/>
      </c>
      <c r="V3283" s="83" t="str">
        <f t="shared" si="360"/>
        <v/>
      </c>
      <c r="AA3283" s="60">
        <f t="shared" si="361"/>
        <v>0</v>
      </c>
      <c r="AB3283" s="49">
        <f t="shared" si="362"/>
        <v>0</v>
      </c>
      <c r="AC3283" s="60">
        <f t="shared" si="363"/>
        <v>0</v>
      </c>
    </row>
    <row r="3284" spans="1:29">
      <c r="A3284" s="83" t="str">
        <f t="shared" si="357"/>
        <v/>
      </c>
      <c r="B3284" s="83" t="str">
        <f t="shared" si="358"/>
        <v/>
      </c>
      <c r="U3284" s="83" t="str">
        <f t="shared" si="359"/>
        <v/>
      </c>
      <c r="V3284" s="83" t="str">
        <f t="shared" si="360"/>
        <v/>
      </c>
      <c r="AA3284" s="60">
        <f t="shared" si="361"/>
        <v>0</v>
      </c>
      <c r="AB3284" s="49">
        <f t="shared" si="362"/>
        <v>0</v>
      </c>
      <c r="AC3284" s="60">
        <f t="shared" si="363"/>
        <v>0</v>
      </c>
    </row>
    <row r="3285" spans="1:29">
      <c r="A3285" s="83" t="str">
        <f t="shared" si="357"/>
        <v/>
      </c>
      <c r="B3285" s="83" t="str">
        <f t="shared" si="358"/>
        <v/>
      </c>
      <c r="U3285" s="83" t="str">
        <f t="shared" si="359"/>
        <v/>
      </c>
      <c r="V3285" s="83" t="str">
        <f t="shared" si="360"/>
        <v/>
      </c>
      <c r="AA3285" s="60">
        <f t="shared" si="361"/>
        <v>0</v>
      </c>
      <c r="AB3285" s="49">
        <f t="shared" si="362"/>
        <v>0</v>
      </c>
      <c r="AC3285" s="60">
        <f t="shared" si="363"/>
        <v>0</v>
      </c>
    </row>
    <row r="3286" spans="1:29">
      <c r="A3286" s="83" t="str">
        <f t="shared" si="357"/>
        <v/>
      </c>
      <c r="B3286" s="83" t="str">
        <f t="shared" si="358"/>
        <v/>
      </c>
      <c r="U3286" s="83" t="str">
        <f t="shared" si="359"/>
        <v/>
      </c>
      <c r="V3286" s="83" t="str">
        <f t="shared" si="360"/>
        <v/>
      </c>
      <c r="AA3286" s="60">
        <f t="shared" si="361"/>
        <v>0</v>
      </c>
      <c r="AB3286" s="49">
        <f t="shared" si="362"/>
        <v>0</v>
      </c>
      <c r="AC3286" s="60">
        <f t="shared" si="363"/>
        <v>0</v>
      </c>
    </row>
    <row r="3287" spans="1:29">
      <c r="A3287" s="83" t="str">
        <f t="shared" si="357"/>
        <v/>
      </c>
      <c r="B3287" s="83" t="str">
        <f t="shared" si="358"/>
        <v/>
      </c>
      <c r="U3287" s="83" t="str">
        <f t="shared" si="359"/>
        <v/>
      </c>
      <c r="V3287" s="83" t="str">
        <f t="shared" si="360"/>
        <v/>
      </c>
      <c r="AA3287" s="60">
        <f t="shared" si="361"/>
        <v>0</v>
      </c>
      <c r="AB3287" s="49">
        <f t="shared" si="362"/>
        <v>0</v>
      </c>
      <c r="AC3287" s="60">
        <f t="shared" si="363"/>
        <v>0</v>
      </c>
    </row>
    <row r="3288" spans="1:29">
      <c r="A3288" s="83" t="str">
        <f t="shared" si="357"/>
        <v/>
      </c>
      <c r="B3288" s="83" t="str">
        <f t="shared" si="358"/>
        <v/>
      </c>
      <c r="U3288" s="83" t="str">
        <f t="shared" si="359"/>
        <v/>
      </c>
      <c r="V3288" s="83" t="str">
        <f t="shared" si="360"/>
        <v/>
      </c>
      <c r="AA3288" s="60">
        <f t="shared" si="361"/>
        <v>0</v>
      </c>
      <c r="AB3288" s="49">
        <f t="shared" si="362"/>
        <v>0</v>
      </c>
      <c r="AC3288" s="60">
        <f t="shared" si="363"/>
        <v>0</v>
      </c>
    </row>
    <row r="3289" spans="1:29">
      <c r="A3289" s="83" t="str">
        <f t="shared" si="357"/>
        <v/>
      </c>
      <c r="B3289" s="83" t="str">
        <f t="shared" si="358"/>
        <v/>
      </c>
      <c r="U3289" s="83" t="str">
        <f t="shared" si="359"/>
        <v/>
      </c>
      <c r="V3289" s="83" t="str">
        <f t="shared" si="360"/>
        <v/>
      </c>
      <c r="AA3289" s="60">
        <f t="shared" si="361"/>
        <v>0</v>
      </c>
      <c r="AB3289" s="49">
        <f t="shared" si="362"/>
        <v>0</v>
      </c>
      <c r="AC3289" s="60">
        <f t="shared" si="363"/>
        <v>0</v>
      </c>
    </row>
    <row r="3290" spans="1:29">
      <c r="A3290" s="83" t="str">
        <f t="shared" si="357"/>
        <v/>
      </c>
      <c r="B3290" s="83" t="str">
        <f t="shared" si="358"/>
        <v/>
      </c>
      <c r="U3290" s="83" t="str">
        <f t="shared" si="359"/>
        <v/>
      </c>
      <c r="V3290" s="83" t="str">
        <f t="shared" si="360"/>
        <v/>
      </c>
      <c r="AA3290" s="60">
        <f t="shared" si="361"/>
        <v>0</v>
      </c>
      <c r="AB3290" s="49">
        <f t="shared" si="362"/>
        <v>0</v>
      </c>
      <c r="AC3290" s="60">
        <f t="shared" si="363"/>
        <v>0</v>
      </c>
    </row>
    <row r="3291" spans="1:29">
      <c r="A3291" s="83" t="str">
        <f t="shared" si="357"/>
        <v/>
      </c>
      <c r="B3291" s="83" t="str">
        <f t="shared" si="358"/>
        <v/>
      </c>
      <c r="U3291" s="83" t="str">
        <f t="shared" si="359"/>
        <v/>
      </c>
      <c r="V3291" s="83" t="str">
        <f t="shared" si="360"/>
        <v/>
      </c>
      <c r="AA3291" s="60">
        <f t="shared" si="361"/>
        <v>0</v>
      </c>
      <c r="AB3291" s="49">
        <f t="shared" si="362"/>
        <v>0</v>
      </c>
      <c r="AC3291" s="60">
        <f t="shared" si="363"/>
        <v>0</v>
      </c>
    </row>
    <row r="3292" spans="1:29">
      <c r="A3292" s="83" t="str">
        <f t="shared" si="357"/>
        <v/>
      </c>
      <c r="B3292" s="83" t="str">
        <f t="shared" si="358"/>
        <v/>
      </c>
      <c r="U3292" s="83" t="str">
        <f t="shared" si="359"/>
        <v/>
      </c>
      <c r="V3292" s="83" t="str">
        <f t="shared" si="360"/>
        <v/>
      </c>
      <c r="AA3292" s="60">
        <f t="shared" si="361"/>
        <v>0</v>
      </c>
      <c r="AB3292" s="49">
        <f t="shared" si="362"/>
        <v>0</v>
      </c>
      <c r="AC3292" s="60">
        <f t="shared" si="363"/>
        <v>0</v>
      </c>
    </row>
    <row r="3293" spans="1:29">
      <c r="A3293" s="83" t="str">
        <f t="shared" si="357"/>
        <v/>
      </c>
      <c r="B3293" s="83" t="str">
        <f t="shared" si="358"/>
        <v/>
      </c>
      <c r="U3293" s="83" t="str">
        <f t="shared" si="359"/>
        <v/>
      </c>
      <c r="V3293" s="83" t="str">
        <f t="shared" si="360"/>
        <v/>
      </c>
      <c r="AA3293" s="60">
        <f t="shared" si="361"/>
        <v>0</v>
      </c>
      <c r="AB3293" s="49">
        <f t="shared" si="362"/>
        <v>0</v>
      </c>
      <c r="AC3293" s="60">
        <f t="shared" si="363"/>
        <v>0</v>
      </c>
    </row>
    <row r="3294" spans="1:29">
      <c r="A3294" s="83" t="str">
        <f t="shared" si="357"/>
        <v/>
      </c>
      <c r="B3294" s="83" t="str">
        <f t="shared" si="358"/>
        <v/>
      </c>
      <c r="U3294" s="83" t="str">
        <f t="shared" si="359"/>
        <v/>
      </c>
      <c r="V3294" s="83" t="str">
        <f t="shared" si="360"/>
        <v/>
      </c>
      <c r="AA3294" s="60">
        <f t="shared" si="361"/>
        <v>0</v>
      </c>
      <c r="AB3294" s="49">
        <f t="shared" si="362"/>
        <v>0</v>
      </c>
      <c r="AC3294" s="60">
        <f t="shared" si="363"/>
        <v>0</v>
      </c>
    </row>
    <row r="3295" spans="1:29">
      <c r="A3295" s="83" t="str">
        <f t="shared" si="357"/>
        <v/>
      </c>
      <c r="B3295" s="83" t="str">
        <f t="shared" si="358"/>
        <v/>
      </c>
      <c r="U3295" s="83" t="str">
        <f t="shared" si="359"/>
        <v/>
      </c>
      <c r="V3295" s="83" t="str">
        <f t="shared" si="360"/>
        <v/>
      </c>
      <c r="AA3295" s="60">
        <f t="shared" si="361"/>
        <v>0</v>
      </c>
      <c r="AB3295" s="49">
        <f t="shared" si="362"/>
        <v>0</v>
      </c>
      <c r="AC3295" s="60">
        <f t="shared" si="363"/>
        <v>0</v>
      </c>
    </row>
    <row r="3296" spans="1:29">
      <c r="A3296" s="83" t="str">
        <f t="shared" si="357"/>
        <v/>
      </c>
      <c r="B3296" s="83" t="str">
        <f t="shared" si="358"/>
        <v/>
      </c>
      <c r="U3296" s="83" t="str">
        <f t="shared" si="359"/>
        <v/>
      </c>
      <c r="V3296" s="83" t="str">
        <f t="shared" si="360"/>
        <v/>
      </c>
      <c r="AA3296" s="60">
        <f t="shared" si="361"/>
        <v>0</v>
      </c>
      <c r="AB3296" s="49">
        <f t="shared" si="362"/>
        <v>0</v>
      </c>
      <c r="AC3296" s="60">
        <f t="shared" si="363"/>
        <v>0</v>
      </c>
    </row>
    <row r="3297" spans="1:29">
      <c r="A3297" s="83" t="str">
        <f t="shared" si="357"/>
        <v/>
      </c>
      <c r="B3297" s="83" t="str">
        <f t="shared" si="358"/>
        <v/>
      </c>
      <c r="U3297" s="83" t="str">
        <f t="shared" si="359"/>
        <v/>
      </c>
      <c r="V3297" s="83" t="str">
        <f t="shared" si="360"/>
        <v/>
      </c>
      <c r="AA3297" s="60">
        <f t="shared" si="361"/>
        <v>0</v>
      </c>
      <c r="AB3297" s="49">
        <f t="shared" si="362"/>
        <v>0</v>
      </c>
      <c r="AC3297" s="60">
        <f t="shared" si="363"/>
        <v>0</v>
      </c>
    </row>
    <row r="3298" spans="1:29">
      <c r="A3298" s="83" t="str">
        <f t="shared" si="357"/>
        <v/>
      </c>
      <c r="B3298" s="83" t="str">
        <f t="shared" si="358"/>
        <v/>
      </c>
      <c r="U3298" s="83" t="str">
        <f t="shared" si="359"/>
        <v/>
      </c>
      <c r="V3298" s="83" t="str">
        <f t="shared" si="360"/>
        <v/>
      </c>
      <c r="AA3298" s="60">
        <f t="shared" si="361"/>
        <v>0</v>
      </c>
      <c r="AB3298" s="49">
        <f t="shared" si="362"/>
        <v>0</v>
      </c>
      <c r="AC3298" s="60">
        <f t="shared" si="363"/>
        <v>0</v>
      </c>
    </row>
    <row r="3299" spans="1:29">
      <c r="A3299" s="83" t="str">
        <f t="shared" si="357"/>
        <v/>
      </c>
      <c r="B3299" s="83" t="str">
        <f t="shared" si="358"/>
        <v/>
      </c>
      <c r="U3299" s="83" t="str">
        <f t="shared" si="359"/>
        <v/>
      </c>
      <c r="V3299" s="83" t="str">
        <f t="shared" si="360"/>
        <v/>
      </c>
      <c r="AA3299" s="60">
        <f t="shared" si="361"/>
        <v>0</v>
      </c>
      <c r="AB3299" s="49">
        <f t="shared" si="362"/>
        <v>0</v>
      </c>
      <c r="AC3299" s="60">
        <f t="shared" si="363"/>
        <v>0</v>
      </c>
    </row>
    <row r="3300" spans="1:29">
      <c r="A3300" s="83" t="str">
        <f t="shared" si="357"/>
        <v/>
      </c>
      <c r="B3300" s="83" t="str">
        <f t="shared" si="358"/>
        <v/>
      </c>
      <c r="U3300" s="83" t="str">
        <f t="shared" si="359"/>
        <v/>
      </c>
      <c r="V3300" s="83" t="str">
        <f t="shared" si="360"/>
        <v/>
      </c>
      <c r="AA3300" s="60">
        <f t="shared" si="361"/>
        <v>0</v>
      </c>
      <c r="AB3300" s="49">
        <f t="shared" si="362"/>
        <v>0</v>
      </c>
      <c r="AC3300" s="60">
        <f t="shared" si="363"/>
        <v>0</v>
      </c>
    </row>
    <row r="3301" spans="1:29">
      <c r="A3301" s="83" t="str">
        <f t="shared" si="357"/>
        <v/>
      </c>
      <c r="B3301" s="83" t="str">
        <f t="shared" si="358"/>
        <v/>
      </c>
      <c r="U3301" s="83" t="str">
        <f t="shared" si="359"/>
        <v/>
      </c>
      <c r="V3301" s="83" t="str">
        <f t="shared" si="360"/>
        <v/>
      </c>
      <c r="AA3301" s="60">
        <f t="shared" si="361"/>
        <v>0</v>
      </c>
      <c r="AB3301" s="49">
        <f t="shared" si="362"/>
        <v>0</v>
      </c>
      <c r="AC3301" s="60">
        <f t="shared" si="363"/>
        <v>0</v>
      </c>
    </row>
    <row r="3302" spans="1:29">
      <c r="A3302" s="83" t="str">
        <f t="shared" si="357"/>
        <v/>
      </c>
      <c r="B3302" s="83" t="str">
        <f t="shared" si="358"/>
        <v/>
      </c>
      <c r="U3302" s="83" t="str">
        <f t="shared" si="359"/>
        <v/>
      </c>
      <c r="V3302" s="83" t="str">
        <f t="shared" si="360"/>
        <v/>
      </c>
      <c r="AA3302" s="60">
        <f t="shared" si="361"/>
        <v>0</v>
      </c>
      <c r="AB3302" s="49">
        <f t="shared" si="362"/>
        <v>0</v>
      </c>
      <c r="AC3302" s="60">
        <f t="shared" si="363"/>
        <v>0</v>
      </c>
    </row>
    <row r="3303" spans="1:29">
      <c r="A3303" s="83" t="str">
        <f t="shared" si="357"/>
        <v/>
      </c>
      <c r="B3303" s="83" t="str">
        <f t="shared" si="358"/>
        <v/>
      </c>
      <c r="U3303" s="83" t="str">
        <f t="shared" si="359"/>
        <v/>
      </c>
      <c r="V3303" s="83" t="str">
        <f t="shared" si="360"/>
        <v/>
      </c>
      <c r="AA3303" s="60">
        <f t="shared" si="361"/>
        <v>0</v>
      </c>
      <c r="AB3303" s="49">
        <f t="shared" si="362"/>
        <v>0</v>
      </c>
      <c r="AC3303" s="60">
        <f t="shared" si="363"/>
        <v>0</v>
      </c>
    </row>
    <row r="3304" spans="1:29">
      <c r="A3304" s="83" t="str">
        <f t="shared" si="357"/>
        <v/>
      </c>
      <c r="B3304" s="83" t="str">
        <f t="shared" si="358"/>
        <v/>
      </c>
      <c r="U3304" s="83" t="str">
        <f t="shared" si="359"/>
        <v/>
      </c>
      <c r="V3304" s="83" t="str">
        <f t="shared" si="360"/>
        <v/>
      </c>
      <c r="AA3304" s="60">
        <f t="shared" si="361"/>
        <v>0</v>
      </c>
      <c r="AB3304" s="49">
        <f t="shared" si="362"/>
        <v>0</v>
      </c>
      <c r="AC3304" s="60">
        <f t="shared" si="363"/>
        <v>0</v>
      </c>
    </row>
    <row r="3305" spans="1:29">
      <c r="A3305" s="83" t="str">
        <f t="shared" si="357"/>
        <v/>
      </c>
      <c r="B3305" s="83" t="str">
        <f t="shared" si="358"/>
        <v/>
      </c>
      <c r="U3305" s="83" t="str">
        <f t="shared" si="359"/>
        <v/>
      </c>
      <c r="V3305" s="83" t="str">
        <f t="shared" si="360"/>
        <v/>
      </c>
      <c r="AA3305" s="60">
        <f t="shared" si="361"/>
        <v>0</v>
      </c>
      <c r="AB3305" s="49">
        <f t="shared" si="362"/>
        <v>0</v>
      </c>
      <c r="AC3305" s="60">
        <f t="shared" si="363"/>
        <v>0</v>
      </c>
    </row>
    <row r="3306" spans="1:29">
      <c r="A3306" s="83" t="str">
        <f t="shared" si="357"/>
        <v/>
      </c>
      <c r="B3306" s="83" t="str">
        <f t="shared" si="358"/>
        <v/>
      </c>
      <c r="U3306" s="83" t="str">
        <f t="shared" si="359"/>
        <v/>
      </c>
      <c r="V3306" s="83" t="str">
        <f t="shared" si="360"/>
        <v/>
      </c>
      <c r="AA3306" s="60">
        <f t="shared" si="361"/>
        <v>0</v>
      </c>
      <c r="AB3306" s="49">
        <f t="shared" si="362"/>
        <v>0</v>
      </c>
      <c r="AC3306" s="60">
        <f t="shared" si="363"/>
        <v>0</v>
      </c>
    </row>
    <row r="3307" spans="1:29">
      <c r="A3307" s="83" t="str">
        <f t="shared" si="357"/>
        <v/>
      </c>
      <c r="B3307" s="83" t="str">
        <f t="shared" si="358"/>
        <v/>
      </c>
      <c r="U3307" s="83" t="str">
        <f t="shared" si="359"/>
        <v/>
      </c>
      <c r="V3307" s="83" t="str">
        <f t="shared" si="360"/>
        <v/>
      </c>
      <c r="AA3307" s="60">
        <f t="shared" si="361"/>
        <v>0</v>
      </c>
      <c r="AB3307" s="49">
        <f t="shared" si="362"/>
        <v>0</v>
      </c>
      <c r="AC3307" s="60">
        <f t="shared" si="363"/>
        <v>0</v>
      </c>
    </row>
    <row r="3308" spans="1:29">
      <c r="A3308" s="83" t="str">
        <f t="shared" si="357"/>
        <v/>
      </c>
      <c r="B3308" s="83" t="str">
        <f t="shared" si="358"/>
        <v/>
      </c>
      <c r="U3308" s="83" t="str">
        <f t="shared" si="359"/>
        <v/>
      </c>
      <c r="V3308" s="83" t="str">
        <f t="shared" si="360"/>
        <v/>
      </c>
      <c r="AA3308" s="60">
        <f t="shared" si="361"/>
        <v>0</v>
      </c>
      <c r="AB3308" s="49">
        <f t="shared" si="362"/>
        <v>0</v>
      </c>
      <c r="AC3308" s="60">
        <f t="shared" si="363"/>
        <v>0</v>
      </c>
    </row>
    <row r="3309" spans="1:29">
      <c r="A3309" s="83" t="str">
        <f t="shared" si="357"/>
        <v/>
      </c>
      <c r="B3309" s="83" t="str">
        <f t="shared" si="358"/>
        <v/>
      </c>
      <c r="U3309" s="83" t="str">
        <f t="shared" si="359"/>
        <v/>
      </c>
      <c r="V3309" s="83" t="str">
        <f t="shared" si="360"/>
        <v/>
      </c>
      <c r="AA3309" s="60">
        <f t="shared" si="361"/>
        <v>0</v>
      </c>
      <c r="AB3309" s="49">
        <f t="shared" si="362"/>
        <v>0</v>
      </c>
      <c r="AC3309" s="60">
        <f t="shared" si="363"/>
        <v>0</v>
      </c>
    </row>
    <row r="3310" spans="1:29">
      <c r="A3310" s="83" t="str">
        <f t="shared" si="357"/>
        <v/>
      </c>
      <c r="B3310" s="83" t="str">
        <f t="shared" si="358"/>
        <v/>
      </c>
      <c r="U3310" s="83" t="str">
        <f t="shared" si="359"/>
        <v/>
      </c>
      <c r="V3310" s="83" t="str">
        <f t="shared" si="360"/>
        <v/>
      </c>
      <c r="AA3310" s="60">
        <f t="shared" si="361"/>
        <v>0</v>
      </c>
      <c r="AB3310" s="49">
        <f t="shared" si="362"/>
        <v>0</v>
      </c>
      <c r="AC3310" s="60">
        <f t="shared" si="363"/>
        <v>0</v>
      </c>
    </row>
    <row r="3311" spans="1:29">
      <c r="A3311" s="83" t="str">
        <f t="shared" si="357"/>
        <v/>
      </c>
      <c r="B3311" s="83" t="str">
        <f t="shared" si="358"/>
        <v/>
      </c>
      <c r="U3311" s="83" t="str">
        <f t="shared" si="359"/>
        <v/>
      </c>
      <c r="V3311" s="83" t="str">
        <f t="shared" si="360"/>
        <v/>
      </c>
      <c r="AA3311" s="60">
        <f t="shared" si="361"/>
        <v>0</v>
      </c>
      <c r="AB3311" s="49">
        <f t="shared" si="362"/>
        <v>0</v>
      </c>
      <c r="AC3311" s="60">
        <f t="shared" si="363"/>
        <v>0</v>
      </c>
    </row>
    <row r="3312" spans="1:29">
      <c r="A3312" s="83" t="str">
        <f t="shared" si="357"/>
        <v/>
      </c>
      <c r="B3312" s="83" t="str">
        <f t="shared" si="358"/>
        <v/>
      </c>
      <c r="U3312" s="83" t="str">
        <f t="shared" si="359"/>
        <v/>
      </c>
      <c r="V3312" s="83" t="str">
        <f t="shared" si="360"/>
        <v/>
      </c>
      <c r="AA3312" s="60">
        <f t="shared" si="361"/>
        <v>0</v>
      </c>
      <c r="AB3312" s="49">
        <f t="shared" si="362"/>
        <v>0</v>
      </c>
      <c r="AC3312" s="60">
        <f t="shared" si="363"/>
        <v>0</v>
      </c>
    </row>
    <row r="3313" spans="1:29">
      <c r="A3313" s="83" t="str">
        <f t="shared" si="357"/>
        <v/>
      </c>
      <c r="B3313" s="83" t="str">
        <f t="shared" si="358"/>
        <v/>
      </c>
      <c r="U3313" s="83" t="str">
        <f t="shared" si="359"/>
        <v/>
      </c>
      <c r="V3313" s="83" t="str">
        <f t="shared" si="360"/>
        <v/>
      </c>
      <c r="AA3313" s="60">
        <f t="shared" si="361"/>
        <v>0</v>
      </c>
      <c r="AB3313" s="49">
        <f t="shared" si="362"/>
        <v>0</v>
      </c>
      <c r="AC3313" s="60">
        <f t="shared" si="363"/>
        <v>0</v>
      </c>
    </row>
    <row r="3314" spans="1:29">
      <c r="A3314" s="83" t="str">
        <f t="shared" si="357"/>
        <v/>
      </c>
      <c r="B3314" s="83" t="str">
        <f t="shared" si="358"/>
        <v/>
      </c>
      <c r="U3314" s="83" t="str">
        <f t="shared" si="359"/>
        <v/>
      </c>
      <c r="V3314" s="83" t="str">
        <f t="shared" si="360"/>
        <v/>
      </c>
      <c r="AA3314" s="60">
        <f t="shared" si="361"/>
        <v>0</v>
      </c>
      <c r="AB3314" s="49">
        <f t="shared" si="362"/>
        <v>0</v>
      </c>
      <c r="AC3314" s="60">
        <f t="shared" si="363"/>
        <v>0</v>
      </c>
    </row>
    <row r="3315" spans="1:29">
      <c r="A3315" s="83" t="str">
        <f t="shared" si="357"/>
        <v/>
      </c>
      <c r="B3315" s="83" t="str">
        <f t="shared" si="358"/>
        <v/>
      </c>
      <c r="U3315" s="83" t="str">
        <f t="shared" si="359"/>
        <v/>
      </c>
      <c r="V3315" s="83" t="str">
        <f t="shared" si="360"/>
        <v/>
      </c>
      <c r="AA3315" s="60">
        <f t="shared" si="361"/>
        <v>0</v>
      </c>
      <c r="AB3315" s="49">
        <f t="shared" si="362"/>
        <v>0</v>
      </c>
      <c r="AC3315" s="60">
        <f t="shared" si="363"/>
        <v>0</v>
      </c>
    </row>
    <row r="3316" spans="1:29">
      <c r="A3316" s="83" t="str">
        <f t="shared" si="357"/>
        <v/>
      </c>
      <c r="B3316" s="83" t="str">
        <f t="shared" si="358"/>
        <v/>
      </c>
      <c r="U3316" s="83" t="str">
        <f t="shared" si="359"/>
        <v/>
      </c>
      <c r="V3316" s="83" t="str">
        <f t="shared" si="360"/>
        <v/>
      </c>
      <c r="AA3316" s="60">
        <f t="shared" si="361"/>
        <v>0</v>
      </c>
      <c r="AB3316" s="49">
        <f t="shared" si="362"/>
        <v>0</v>
      </c>
      <c r="AC3316" s="60">
        <f t="shared" si="363"/>
        <v>0</v>
      </c>
    </row>
    <row r="3317" spans="1:29">
      <c r="A3317" s="83" t="str">
        <f t="shared" si="357"/>
        <v/>
      </c>
      <c r="B3317" s="83" t="str">
        <f t="shared" si="358"/>
        <v/>
      </c>
      <c r="U3317" s="83" t="str">
        <f t="shared" si="359"/>
        <v/>
      </c>
      <c r="V3317" s="83" t="str">
        <f t="shared" si="360"/>
        <v/>
      </c>
      <c r="AA3317" s="60">
        <f t="shared" si="361"/>
        <v>0</v>
      </c>
      <c r="AB3317" s="49">
        <f t="shared" si="362"/>
        <v>0</v>
      </c>
      <c r="AC3317" s="60">
        <f t="shared" si="363"/>
        <v>0</v>
      </c>
    </row>
    <row r="3318" spans="1:29">
      <c r="A3318" s="83" t="str">
        <f t="shared" si="357"/>
        <v/>
      </c>
      <c r="B3318" s="83" t="str">
        <f t="shared" si="358"/>
        <v/>
      </c>
      <c r="U3318" s="83" t="str">
        <f t="shared" si="359"/>
        <v/>
      </c>
      <c r="V3318" s="83" t="str">
        <f t="shared" si="360"/>
        <v/>
      </c>
      <c r="AA3318" s="60">
        <f t="shared" si="361"/>
        <v>0</v>
      </c>
      <c r="AB3318" s="49">
        <f t="shared" si="362"/>
        <v>0</v>
      </c>
      <c r="AC3318" s="60">
        <f t="shared" si="363"/>
        <v>0</v>
      </c>
    </row>
    <row r="3319" spans="1:29">
      <c r="A3319" s="83" t="str">
        <f t="shared" si="357"/>
        <v/>
      </c>
      <c r="B3319" s="83" t="str">
        <f t="shared" si="358"/>
        <v/>
      </c>
      <c r="U3319" s="83" t="str">
        <f t="shared" si="359"/>
        <v/>
      </c>
      <c r="V3319" s="83" t="str">
        <f t="shared" si="360"/>
        <v/>
      </c>
      <c r="AA3319" s="60">
        <f t="shared" si="361"/>
        <v>0</v>
      </c>
      <c r="AB3319" s="49">
        <f t="shared" si="362"/>
        <v>0</v>
      </c>
      <c r="AC3319" s="60">
        <f t="shared" si="363"/>
        <v>0</v>
      </c>
    </row>
    <row r="3320" spans="1:29">
      <c r="A3320" s="83" t="str">
        <f t="shared" si="357"/>
        <v/>
      </c>
      <c r="B3320" s="83" t="str">
        <f t="shared" si="358"/>
        <v/>
      </c>
      <c r="U3320" s="83" t="str">
        <f t="shared" si="359"/>
        <v/>
      </c>
      <c r="V3320" s="83" t="str">
        <f t="shared" si="360"/>
        <v/>
      </c>
      <c r="AA3320" s="60">
        <f t="shared" si="361"/>
        <v>0</v>
      </c>
      <c r="AB3320" s="49">
        <f t="shared" si="362"/>
        <v>0</v>
      </c>
      <c r="AC3320" s="60">
        <f t="shared" si="363"/>
        <v>0</v>
      </c>
    </row>
    <row r="3321" spans="1:29">
      <c r="A3321" s="83" t="str">
        <f t="shared" si="357"/>
        <v/>
      </c>
      <c r="B3321" s="83" t="str">
        <f t="shared" si="358"/>
        <v/>
      </c>
      <c r="U3321" s="83" t="str">
        <f t="shared" si="359"/>
        <v/>
      </c>
      <c r="V3321" s="83" t="str">
        <f t="shared" si="360"/>
        <v/>
      </c>
      <c r="AA3321" s="60">
        <f t="shared" si="361"/>
        <v>0</v>
      </c>
      <c r="AB3321" s="49">
        <f t="shared" si="362"/>
        <v>0</v>
      </c>
      <c r="AC3321" s="60">
        <f t="shared" si="363"/>
        <v>0</v>
      </c>
    </row>
    <row r="3322" spans="1:29">
      <c r="A3322" s="83" t="str">
        <f t="shared" si="357"/>
        <v/>
      </c>
      <c r="B3322" s="83" t="str">
        <f t="shared" si="358"/>
        <v/>
      </c>
      <c r="U3322" s="83" t="str">
        <f t="shared" si="359"/>
        <v/>
      </c>
      <c r="V3322" s="83" t="str">
        <f t="shared" si="360"/>
        <v/>
      </c>
      <c r="AA3322" s="60">
        <f t="shared" si="361"/>
        <v>0</v>
      </c>
      <c r="AB3322" s="49">
        <f t="shared" si="362"/>
        <v>0</v>
      </c>
      <c r="AC3322" s="60">
        <f t="shared" si="363"/>
        <v>0</v>
      </c>
    </row>
    <row r="3323" spans="1:29">
      <c r="A3323" s="83" t="str">
        <f t="shared" si="357"/>
        <v/>
      </c>
      <c r="B3323" s="83" t="str">
        <f t="shared" si="358"/>
        <v/>
      </c>
      <c r="U3323" s="83" t="str">
        <f t="shared" si="359"/>
        <v/>
      </c>
      <c r="V3323" s="83" t="str">
        <f t="shared" si="360"/>
        <v/>
      </c>
      <c r="AA3323" s="60">
        <f t="shared" si="361"/>
        <v>0</v>
      </c>
      <c r="AB3323" s="49">
        <f t="shared" si="362"/>
        <v>0</v>
      </c>
      <c r="AC3323" s="60">
        <f t="shared" si="363"/>
        <v>0</v>
      </c>
    </row>
    <row r="3324" spans="1:29">
      <c r="A3324" s="83" t="str">
        <f t="shared" si="357"/>
        <v/>
      </c>
      <c r="B3324" s="83" t="str">
        <f t="shared" si="358"/>
        <v/>
      </c>
      <c r="U3324" s="83" t="str">
        <f t="shared" si="359"/>
        <v/>
      </c>
      <c r="V3324" s="83" t="str">
        <f t="shared" si="360"/>
        <v/>
      </c>
      <c r="AA3324" s="60">
        <f t="shared" si="361"/>
        <v>0</v>
      </c>
      <c r="AB3324" s="49">
        <f t="shared" si="362"/>
        <v>0</v>
      </c>
      <c r="AC3324" s="60">
        <f t="shared" si="363"/>
        <v>0</v>
      </c>
    </row>
    <row r="3325" spans="1:29">
      <c r="A3325" s="83" t="str">
        <f t="shared" si="357"/>
        <v/>
      </c>
      <c r="B3325" s="83" t="str">
        <f t="shared" si="358"/>
        <v/>
      </c>
      <c r="U3325" s="83" t="str">
        <f t="shared" si="359"/>
        <v/>
      </c>
      <c r="V3325" s="83" t="str">
        <f t="shared" si="360"/>
        <v/>
      </c>
      <c r="AA3325" s="60">
        <f t="shared" si="361"/>
        <v>0</v>
      </c>
      <c r="AB3325" s="49">
        <f t="shared" si="362"/>
        <v>0</v>
      </c>
      <c r="AC3325" s="60">
        <f t="shared" si="363"/>
        <v>0</v>
      </c>
    </row>
    <row r="3326" spans="1:29">
      <c r="A3326" s="83" t="str">
        <f t="shared" si="357"/>
        <v/>
      </c>
      <c r="B3326" s="83" t="str">
        <f t="shared" si="358"/>
        <v/>
      </c>
      <c r="U3326" s="83" t="str">
        <f t="shared" si="359"/>
        <v/>
      </c>
      <c r="V3326" s="83" t="str">
        <f t="shared" si="360"/>
        <v/>
      </c>
      <c r="AA3326" s="60">
        <f t="shared" si="361"/>
        <v>0</v>
      </c>
      <c r="AB3326" s="49">
        <f t="shared" si="362"/>
        <v>0</v>
      </c>
      <c r="AC3326" s="60">
        <f t="shared" si="363"/>
        <v>0</v>
      </c>
    </row>
    <row r="3327" spans="1:29">
      <c r="A3327" s="83" t="str">
        <f t="shared" si="357"/>
        <v/>
      </c>
      <c r="B3327" s="83" t="str">
        <f t="shared" si="358"/>
        <v/>
      </c>
      <c r="U3327" s="83" t="str">
        <f t="shared" si="359"/>
        <v/>
      </c>
      <c r="V3327" s="83" t="str">
        <f t="shared" si="360"/>
        <v/>
      </c>
      <c r="AA3327" s="60">
        <f t="shared" si="361"/>
        <v>0</v>
      </c>
      <c r="AB3327" s="49">
        <f t="shared" si="362"/>
        <v>0</v>
      </c>
      <c r="AC3327" s="60">
        <f t="shared" si="363"/>
        <v>0</v>
      </c>
    </row>
    <row r="3328" spans="1:29">
      <c r="A3328" s="83" t="str">
        <f t="shared" si="357"/>
        <v/>
      </c>
      <c r="B3328" s="83" t="str">
        <f t="shared" si="358"/>
        <v/>
      </c>
      <c r="U3328" s="83" t="str">
        <f t="shared" si="359"/>
        <v/>
      </c>
      <c r="V3328" s="83" t="str">
        <f t="shared" si="360"/>
        <v/>
      </c>
      <c r="AA3328" s="60">
        <f t="shared" si="361"/>
        <v>0</v>
      </c>
      <c r="AB3328" s="49">
        <f t="shared" si="362"/>
        <v>0</v>
      </c>
      <c r="AC3328" s="60">
        <f t="shared" si="363"/>
        <v>0</v>
      </c>
    </row>
    <row r="3329" spans="1:29">
      <c r="A3329" s="83" t="str">
        <f t="shared" si="357"/>
        <v/>
      </c>
      <c r="B3329" s="83" t="str">
        <f t="shared" si="358"/>
        <v/>
      </c>
      <c r="U3329" s="83" t="str">
        <f t="shared" si="359"/>
        <v/>
      </c>
      <c r="V3329" s="83" t="str">
        <f t="shared" si="360"/>
        <v/>
      </c>
      <c r="AA3329" s="60">
        <f t="shared" si="361"/>
        <v>0</v>
      </c>
      <c r="AB3329" s="49">
        <f t="shared" si="362"/>
        <v>0</v>
      </c>
      <c r="AC3329" s="60">
        <f t="shared" si="363"/>
        <v>0</v>
      </c>
    </row>
    <row r="3330" spans="1:29">
      <c r="A3330" s="83" t="str">
        <f t="shared" si="357"/>
        <v/>
      </c>
      <c r="B3330" s="83" t="str">
        <f t="shared" si="358"/>
        <v/>
      </c>
      <c r="U3330" s="83" t="str">
        <f t="shared" si="359"/>
        <v/>
      </c>
      <c r="V3330" s="83" t="str">
        <f t="shared" si="360"/>
        <v/>
      </c>
      <c r="AA3330" s="60">
        <f t="shared" si="361"/>
        <v>0</v>
      </c>
      <c r="AB3330" s="49">
        <f t="shared" si="362"/>
        <v>0</v>
      </c>
      <c r="AC3330" s="60">
        <f t="shared" si="363"/>
        <v>0</v>
      </c>
    </row>
    <row r="3331" spans="1:29">
      <c r="A3331" s="83" t="str">
        <f t="shared" ref="A3331:A3394" si="364">IF(G3331&amp;Q3331&lt;&gt;"",U3331&amp;Q3331,"")</f>
        <v/>
      </c>
      <c r="B3331" s="83" t="str">
        <f t="shared" ref="B3331:B3394" si="365">IF(C3331&lt;&gt;"",LEFT(C3331,9),"")</f>
        <v/>
      </c>
      <c r="U3331" s="83" t="str">
        <f t="shared" ref="U3331:U3394" si="366">IF(G3331&lt;&gt;"",IF(StyleSpaceSplit,IFERROR(IF(FIND(" ",G3331)&gt;=1,MID(G3331,1,FIND(" ",G3331)-1),G3331),G3331),G3331),"")</f>
        <v/>
      </c>
      <c r="V3331" s="83" t="str">
        <f t="shared" ref="V3331:V3394" si="367">IF(A3331&lt;&gt;"",IFERROR(IF(FIND(" ",G3331)&gt;=1,MID(G3331,FIND(" ",G3331)+1,LEN(G3331)),""),G3331),"")</f>
        <v/>
      </c>
      <c r="AA3331" s="60">
        <f t="shared" ref="AA3331:AA3394" si="368">IFERROR(VALUE(MID($C3331,1,2)),0)</f>
        <v>0</v>
      </c>
      <c r="AB3331" s="49">
        <f t="shared" ref="AB3331:AB3394" si="369">IFERROR(VALUE(MID($C3331,4,3)),0)</f>
        <v>0</v>
      </c>
      <c r="AC3331" s="60">
        <f t="shared" ref="AC3331:AC3394" si="370">VALUE(RIGHT("00"&amp;AA3331,2)&amp;RIGHT("000"&amp;AB3331,3))</f>
        <v>0</v>
      </c>
    </row>
    <row r="3332" spans="1:29">
      <c r="A3332" s="83" t="str">
        <f t="shared" si="364"/>
        <v/>
      </c>
      <c r="B3332" s="83" t="str">
        <f t="shared" si="365"/>
        <v/>
      </c>
      <c r="U3332" s="83" t="str">
        <f t="shared" si="366"/>
        <v/>
      </c>
      <c r="V3332" s="83" t="str">
        <f t="shared" si="367"/>
        <v/>
      </c>
      <c r="AA3332" s="60">
        <f t="shared" si="368"/>
        <v>0</v>
      </c>
      <c r="AB3332" s="49">
        <f t="shared" si="369"/>
        <v>0</v>
      </c>
      <c r="AC3332" s="60">
        <f t="shared" si="370"/>
        <v>0</v>
      </c>
    </row>
    <row r="3333" spans="1:29">
      <c r="A3333" s="83" t="str">
        <f t="shared" si="364"/>
        <v/>
      </c>
      <c r="B3333" s="83" t="str">
        <f t="shared" si="365"/>
        <v/>
      </c>
      <c r="U3333" s="83" t="str">
        <f t="shared" si="366"/>
        <v/>
      </c>
      <c r="V3333" s="83" t="str">
        <f t="shared" si="367"/>
        <v/>
      </c>
      <c r="AA3333" s="60">
        <f t="shared" si="368"/>
        <v>0</v>
      </c>
      <c r="AB3333" s="49">
        <f t="shared" si="369"/>
        <v>0</v>
      </c>
      <c r="AC3333" s="60">
        <f t="shared" si="370"/>
        <v>0</v>
      </c>
    </row>
    <row r="3334" spans="1:29">
      <c r="A3334" s="83" t="str">
        <f t="shared" si="364"/>
        <v/>
      </c>
      <c r="B3334" s="83" t="str">
        <f t="shared" si="365"/>
        <v/>
      </c>
      <c r="U3334" s="83" t="str">
        <f t="shared" si="366"/>
        <v/>
      </c>
      <c r="V3334" s="83" t="str">
        <f t="shared" si="367"/>
        <v/>
      </c>
      <c r="AA3334" s="60">
        <f t="shared" si="368"/>
        <v>0</v>
      </c>
      <c r="AB3334" s="49">
        <f t="shared" si="369"/>
        <v>0</v>
      </c>
      <c r="AC3334" s="60">
        <f t="shared" si="370"/>
        <v>0</v>
      </c>
    </row>
    <row r="3335" spans="1:29">
      <c r="A3335" s="83" t="str">
        <f t="shared" si="364"/>
        <v/>
      </c>
      <c r="B3335" s="83" t="str">
        <f t="shared" si="365"/>
        <v/>
      </c>
      <c r="U3335" s="83" t="str">
        <f t="shared" si="366"/>
        <v/>
      </c>
      <c r="V3335" s="83" t="str">
        <f t="shared" si="367"/>
        <v/>
      </c>
      <c r="AA3335" s="60">
        <f t="shared" si="368"/>
        <v>0</v>
      </c>
      <c r="AB3335" s="49">
        <f t="shared" si="369"/>
        <v>0</v>
      </c>
      <c r="AC3335" s="60">
        <f t="shared" si="370"/>
        <v>0</v>
      </c>
    </row>
    <row r="3336" spans="1:29">
      <c r="A3336" s="83" t="str">
        <f t="shared" si="364"/>
        <v/>
      </c>
      <c r="B3336" s="83" t="str">
        <f t="shared" si="365"/>
        <v/>
      </c>
      <c r="U3336" s="83" t="str">
        <f t="shared" si="366"/>
        <v/>
      </c>
      <c r="V3336" s="83" t="str">
        <f t="shared" si="367"/>
        <v/>
      </c>
      <c r="AA3336" s="60">
        <f t="shared" si="368"/>
        <v>0</v>
      </c>
      <c r="AB3336" s="49">
        <f t="shared" si="369"/>
        <v>0</v>
      </c>
      <c r="AC3336" s="60">
        <f t="shared" si="370"/>
        <v>0</v>
      </c>
    </row>
    <row r="3337" spans="1:29">
      <c r="A3337" s="83" t="str">
        <f t="shared" si="364"/>
        <v/>
      </c>
      <c r="B3337" s="83" t="str">
        <f t="shared" si="365"/>
        <v/>
      </c>
      <c r="U3337" s="83" t="str">
        <f t="shared" si="366"/>
        <v/>
      </c>
      <c r="V3337" s="83" t="str">
        <f t="shared" si="367"/>
        <v/>
      </c>
      <c r="AA3337" s="60">
        <f t="shared" si="368"/>
        <v>0</v>
      </c>
      <c r="AB3337" s="49">
        <f t="shared" si="369"/>
        <v>0</v>
      </c>
      <c r="AC3337" s="60">
        <f t="shared" si="370"/>
        <v>0</v>
      </c>
    </row>
    <row r="3338" spans="1:29">
      <c r="A3338" s="83" t="str">
        <f t="shared" si="364"/>
        <v/>
      </c>
      <c r="B3338" s="83" t="str">
        <f t="shared" si="365"/>
        <v/>
      </c>
      <c r="U3338" s="83" t="str">
        <f t="shared" si="366"/>
        <v/>
      </c>
      <c r="V3338" s="83" t="str">
        <f t="shared" si="367"/>
        <v/>
      </c>
      <c r="AA3338" s="60">
        <f t="shared" si="368"/>
        <v>0</v>
      </c>
      <c r="AB3338" s="49">
        <f t="shared" si="369"/>
        <v>0</v>
      </c>
      <c r="AC3338" s="60">
        <f t="shared" si="370"/>
        <v>0</v>
      </c>
    </row>
    <row r="3339" spans="1:29">
      <c r="A3339" s="83" t="str">
        <f t="shared" si="364"/>
        <v/>
      </c>
      <c r="B3339" s="83" t="str">
        <f t="shared" si="365"/>
        <v/>
      </c>
      <c r="U3339" s="83" t="str">
        <f t="shared" si="366"/>
        <v/>
      </c>
      <c r="V3339" s="83" t="str">
        <f t="shared" si="367"/>
        <v/>
      </c>
      <c r="AA3339" s="60">
        <f t="shared" si="368"/>
        <v>0</v>
      </c>
      <c r="AB3339" s="49">
        <f t="shared" si="369"/>
        <v>0</v>
      </c>
      <c r="AC3339" s="60">
        <f t="shared" si="370"/>
        <v>0</v>
      </c>
    </row>
    <row r="3340" spans="1:29">
      <c r="A3340" s="83" t="str">
        <f t="shared" si="364"/>
        <v/>
      </c>
      <c r="B3340" s="83" t="str">
        <f t="shared" si="365"/>
        <v/>
      </c>
      <c r="U3340" s="83" t="str">
        <f t="shared" si="366"/>
        <v/>
      </c>
      <c r="V3340" s="83" t="str">
        <f t="shared" si="367"/>
        <v/>
      </c>
      <c r="AA3340" s="60">
        <f t="shared" si="368"/>
        <v>0</v>
      </c>
      <c r="AB3340" s="49">
        <f t="shared" si="369"/>
        <v>0</v>
      </c>
      <c r="AC3340" s="60">
        <f t="shared" si="370"/>
        <v>0</v>
      </c>
    </row>
    <row r="3341" spans="1:29">
      <c r="A3341" s="83" t="str">
        <f t="shared" si="364"/>
        <v/>
      </c>
      <c r="B3341" s="83" t="str">
        <f t="shared" si="365"/>
        <v/>
      </c>
      <c r="U3341" s="83" t="str">
        <f t="shared" si="366"/>
        <v/>
      </c>
      <c r="V3341" s="83" t="str">
        <f t="shared" si="367"/>
        <v/>
      </c>
      <c r="AA3341" s="60">
        <f t="shared" si="368"/>
        <v>0</v>
      </c>
      <c r="AB3341" s="49">
        <f t="shared" si="369"/>
        <v>0</v>
      </c>
      <c r="AC3341" s="60">
        <f t="shared" si="370"/>
        <v>0</v>
      </c>
    </row>
    <row r="3342" spans="1:29">
      <c r="A3342" s="83" t="str">
        <f t="shared" si="364"/>
        <v/>
      </c>
      <c r="B3342" s="83" t="str">
        <f t="shared" si="365"/>
        <v/>
      </c>
      <c r="U3342" s="83" t="str">
        <f t="shared" si="366"/>
        <v/>
      </c>
      <c r="V3342" s="83" t="str">
        <f t="shared" si="367"/>
        <v/>
      </c>
      <c r="AA3342" s="60">
        <f t="shared" si="368"/>
        <v>0</v>
      </c>
      <c r="AB3342" s="49">
        <f t="shared" si="369"/>
        <v>0</v>
      </c>
      <c r="AC3342" s="60">
        <f t="shared" si="370"/>
        <v>0</v>
      </c>
    </row>
    <row r="3343" spans="1:29">
      <c r="A3343" s="83" t="str">
        <f t="shared" si="364"/>
        <v/>
      </c>
      <c r="B3343" s="83" t="str">
        <f t="shared" si="365"/>
        <v/>
      </c>
      <c r="U3343" s="83" t="str">
        <f t="shared" si="366"/>
        <v/>
      </c>
      <c r="V3343" s="83" t="str">
        <f t="shared" si="367"/>
        <v/>
      </c>
      <c r="AA3343" s="60">
        <f t="shared" si="368"/>
        <v>0</v>
      </c>
      <c r="AB3343" s="49">
        <f t="shared" si="369"/>
        <v>0</v>
      </c>
      <c r="AC3343" s="60">
        <f t="shared" si="370"/>
        <v>0</v>
      </c>
    </row>
    <row r="3344" spans="1:29">
      <c r="A3344" s="83" t="str">
        <f t="shared" si="364"/>
        <v/>
      </c>
      <c r="B3344" s="83" t="str">
        <f t="shared" si="365"/>
        <v/>
      </c>
      <c r="U3344" s="83" t="str">
        <f t="shared" si="366"/>
        <v/>
      </c>
      <c r="V3344" s="83" t="str">
        <f t="shared" si="367"/>
        <v/>
      </c>
      <c r="AA3344" s="60">
        <f t="shared" si="368"/>
        <v>0</v>
      </c>
      <c r="AB3344" s="49">
        <f t="shared" si="369"/>
        <v>0</v>
      </c>
      <c r="AC3344" s="60">
        <f t="shared" si="370"/>
        <v>0</v>
      </c>
    </row>
    <row r="3345" spans="1:29">
      <c r="A3345" s="83" t="str">
        <f t="shared" si="364"/>
        <v/>
      </c>
      <c r="B3345" s="83" t="str">
        <f t="shared" si="365"/>
        <v/>
      </c>
      <c r="U3345" s="83" t="str">
        <f t="shared" si="366"/>
        <v/>
      </c>
      <c r="V3345" s="83" t="str">
        <f t="shared" si="367"/>
        <v/>
      </c>
      <c r="AA3345" s="60">
        <f t="shared" si="368"/>
        <v>0</v>
      </c>
      <c r="AB3345" s="49">
        <f t="shared" si="369"/>
        <v>0</v>
      </c>
      <c r="AC3345" s="60">
        <f t="shared" si="370"/>
        <v>0</v>
      </c>
    </row>
    <row r="3346" spans="1:29">
      <c r="A3346" s="83" t="str">
        <f t="shared" si="364"/>
        <v/>
      </c>
      <c r="B3346" s="83" t="str">
        <f t="shared" si="365"/>
        <v/>
      </c>
      <c r="U3346" s="83" t="str">
        <f t="shared" si="366"/>
        <v/>
      </c>
      <c r="V3346" s="83" t="str">
        <f t="shared" si="367"/>
        <v/>
      </c>
      <c r="AA3346" s="60">
        <f t="shared" si="368"/>
        <v>0</v>
      </c>
      <c r="AB3346" s="49">
        <f t="shared" si="369"/>
        <v>0</v>
      </c>
      <c r="AC3346" s="60">
        <f t="shared" si="370"/>
        <v>0</v>
      </c>
    </row>
    <row r="3347" spans="1:29">
      <c r="A3347" s="83" t="str">
        <f t="shared" si="364"/>
        <v/>
      </c>
      <c r="B3347" s="83" t="str">
        <f t="shared" si="365"/>
        <v/>
      </c>
      <c r="U3347" s="83" t="str">
        <f t="shared" si="366"/>
        <v/>
      </c>
      <c r="V3347" s="83" t="str">
        <f t="shared" si="367"/>
        <v/>
      </c>
      <c r="AA3347" s="60">
        <f t="shared" si="368"/>
        <v>0</v>
      </c>
      <c r="AB3347" s="49">
        <f t="shared" si="369"/>
        <v>0</v>
      </c>
      <c r="AC3347" s="60">
        <f t="shared" si="370"/>
        <v>0</v>
      </c>
    </row>
    <row r="3348" spans="1:29">
      <c r="A3348" s="83" t="str">
        <f t="shared" si="364"/>
        <v/>
      </c>
      <c r="B3348" s="83" t="str">
        <f t="shared" si="365"/>
        <v/>
      </c>
      <c r="U3348" s="83" t="str">
        <f t="shared" si="366"/>
        <v/>
      </c>
      <c r="V3348" s="83" t="str">
        <f t="shared" si="367"/>
        <v/>
      </c>
      <c r="AA3348" s="60">
        <f t="shared" si="368"/>
        <v>0</v>
      </c>
      <c r="AB3348" s="49">
        <f t="shared" si="369"/>
        <v>0</v>
      </c>
      <c r="AC3348" s="60">
        <f t="shared" si="370"/>
        <v>0</v>
      </c>
    </row>
    <row r="3349" spans="1:29">
      <c r="A3349" s="83" t="str">
        <f t="shared" si="364"/>
        <v/>
      </c>
      <c r="B3349" s="83" t="str">
        <f t="shared" si="365"/>
        <v/>
      </c>
      <c r="U3349" s="83" t="str">
        <f t="shared" si="366"/>
        <v/>
      </c>
      <c r="V3349" s="83" t="str">
        <f t="shared" si="367"/>
        <v/>
      </c>
      <c r="AA3349" s="60">
        <f t="shared" si="368"/>
        <v>0</v>
      </c>
      <c r="AB3349" s="49">
        <f t="shared" si="369"/>
        <v>0</v>
      </c>
      <c r="AC3349" s="60">
        <f t="shared" si="370"/>
        <v>0</v>
      </c>
    </row>
    <row r="3350" spans="1:29">
      <c r="A3350" s="83" t="str">
        <f t="shared" si="364"/>
        <v/>
      </c>
      <c r="B3350" s="83" t="str">
        <f t="shared" si="365"/>
        <v/>
      </c>
      <c r="U3350" s="83" t="str">
        <f t="shared" si="366"/>
        <v/>
      </c>
      <c r="V3350" s="83" t="str">
        <f t="shared" si="367"/>
        <v/>
      </c>
      <c r="AA3350" s="60">
        <f t="shared" si="368"/>
        <v>0</v>
      </c>
      <c r="AB3350" s="49">
        <f t="shared" si="369"/>
        <v>0</v>
      </c>
      <c r="AC3350" s="60">
        <f t="shared" si="370"/>
        <v>0</v>
      </c>
    </row>
    <row r="3351" spans="1:29">
      <c r="A3351" s="83" t="str">
        <f t="shared" si="364"/>
        <v/>
      </c>
      <c r="B3351" s="83" t="str">
        <f t="shared" si="365"/>
        <v/>
      </c>
      <c r="U3351" s="83" t="str">
        <f t="shared" si="366"/>
        <v/>
      </c>
      <c r="V3351" s="83" t="str">
        <f t="shared" si="367"/>
        <v/>
      </c>
      <c r="AA3351" s="60">
        <f t="shared" si="368"/>
        <v>0</v>
      </c>
      <c r="AB3351" s="49">
        <f t="shared" si="369"/>
        <v>0</v>
      </c>
      <c r="AC3351" s="60">
        <f t="shared" si="370"/>
        <v>0</v>
      </c>
    </row>
    <row r="3352" spans="1:29">
      <c r="A3352" s="83" t="str">
        <f t="shared" si="364"/>
        <v/>
      </c>
      <c r="B3352" s="83" t="str">
        <f t="shared" si="365"/>
        <v/>
      </c>
      <c r="U3352" s="83" t="str">
        <f t="shared" si="366"/>
        <v/>
      </c>
      <c r="V3352" s="83" t="str">
        <f t="shared" si="367"/>
        <v/>
      </c>
      <c r="AA3352" s="60">
        <f t="shared" si="368"/>
        <v>0</v>
      </c>
      <c r="AB3352" s="49">
        <f t="shared" si="369"/>
        <v>0</v>
      </c>
      <c r="AC3352" s="60">
        <f t="shared" si="370"/>
        <v>0</v>
      </c>
    </row>
    <row r="3353" spans="1:29">
      <c r="A3353" s="83" t="str">
        <f t="shared" si="364"/>
        <v/>
      </c>
      <c r="B3353" s="83" t="str">
        <f t="shared" si="365"/>
        <v/>
      </c>
      <c r="U3353" s="83" t="str">
        <f t="shared" si="366"/>
        <v/>
      </c>
      <c r="V3353" s="83" t="str">
        <f t="shared" si="367"/>
        <v/>
      </c>
      <c r="AA3353" s="60">
        <f t="shared" si="368"/>
        <v>0</v>
      </c>
      <c r="AB3353" s="49">
        <f t="shared" si="369"/>
        <v>0</v>
      </c>
      <c r="AC3353" s="60">
        <f t="shared" si="370"/>
        <v>0</v>
      </c>
    </row>
    <row r="3354" spans="1:29">
      <c r="A3354" s="83" t="str">
        <f t="shared" si="364"/>
        <v/>
      </c>
      <c r="B3354" s="83" t="str">
        <f t="shared" si="365"/>
        <v/>
      </c>
      <c r="U3354" s="83" t="str">
        <f t="shared" si="366"/>
        <v/>
      </c>
      <c r="V3354" s="83" t="str">
        <f t="shared" si="367"/>
        <v/>
      </c>
      <c r="AA3354" s="60">
        <f t="shared" si="368"/>
        <v>0</v>
      </c>
      <c r="AB3354" s="49">
        <f t="shared" si="369"/>
        <v>0</v>
      </c>
      <c r="AC3354" s="60">
        <f t="shared" si="370"/>
        <v>0</v>
      </c>
    </row>
    <row r="3355" spans="1:29">
      <c r="A3355" s="83" t="str">
        <f t="shared" si="364"/>
        <v/>
      </c>
      <c r="B3355" s="83" t="str">
        <f t="shared" si="365"/>
        <v/>
      </c>
      <c r="U3355" s="83" t="str">
        <f t="shared" si="366"/>
        <v/>
      </c>
      <c r="V3355" s="83" t="str">
        <f t="shared" si="367"/>
        <v/>
      </c>
      <c r="AA3355" s="60">
        <f t="shared" si="368"/>
        <v>0</v>
      </c>
      <c r="AB3355" s="49">
        <f t="shared" si="369"/>
        <v>0</v>
      </c>
      <c r="AC3355" s="60">
        <f t="shared" si="370"/>
        <v>0</v>
      </c>
    </row>
    <row r="3356" spans="1:29">
      <c r="A3356" s="83" t="str">
        <f t="shared" si="364"/>
        <v/>
      </c>
      <c r="B3356" s="83" t="str">
        <f t="shared" si="365"/>
        <v/>
      </c>
      <c r="U3356" s="83" t="str">
        <f t="shared" si="366"/>
        <v/>
      </c>
      <c r="V3356" s="83" t="str">
        <f t="shared" si="367"/>
        <v/>
      </c>
      <c r="AA3356" s="60">
        <f t="shared" si="368"/>
        <v>0</v>
      </c>
      <c r="AB3356" s="49">
        <f t="shared" si="369"/>
        <v>0</v>
      </c>
      <c r="AC3356" s="60">
        <f t="shared" si="370"/>
        <v>0</v>
      </c>
    </row>
    <row r="3357" spans="1:29">
      <c r="A3357" s="83" t="str">
        <f t="shared" si="364"/>
        <v/>
      </c>
      <c r="B3357" s="83" t="str">
        <f t="shared" si="365"/>
        <v/>
      </c>
      <c r="U3357" s="83" t="str">
        <f t="shared" si="366"/>
        <v/>
      </c>
      <c r="V3357" s="83" t="str">
        <f t="shared" si="367"/>
        <v/>
      </c>
      <c r="AA3357" s="60">
        <f t="shared" si="368"/>
        <v>0</v>
      </c>
      <c r="AB3357" s="49">
        <f t="shared" si="369"/>
        <v>0</v>
      </c>
      <c r="AC3357" s="60">
        <f t="shared" si="370"/>
        <v>0</v>
      </c>
    </row>
    <row r="3358" spans="1:29">
      <c r="A3358" s="83" t="str">
        <f t="shared" si="364"/>
        <v/>
      </c>
      <c r="B3358" s="83" t="str">
        <f t="shared" si="365"/>
        <v/>
      </c>
      <c r="U3358" s="83" t="str">
        <f t="shared" si="366"/>
        <v/>
      </c>
      <c r="V3358" s="83" t="str">
        <f t="shared" si="367"/>
        <v/>
      </c>
      <c r="AA3358" s="60">
        <f t="shared" si="368"/>
        <v>0</v>
      </c>
      <c r="AB3358" s="49">
        <f t="shared" si="369"/>
        <v>0</v>
      </c>
      <c r="AC3358" s="60">
        <f t="shared" si="370"/>
        <v>0</v>
      </c>
    </row>
    <row r="3359" spans="1:29">
      <c r="A3359" s="83" t="str">
        <f t="shared" si="364"/>
        <v/>
      </c>
      <c r="B3359" s="83" t="str">
        <f t="shared" si="365"/>
        <v/>
      </c>
      <c r="U3359" s="83" t="str">
        <f t="shared" si="366"/>
        <v/>
      </c>
      <c r="V3359" s="83" t="str">
        <f t="shared" si="367"/>
        <v/>
      </c>
      <c r="AA3359" s="60">
        <f t="shared" si="368"/>
        <v>0</v>
      </c>
      <c r="AB3359" s="49">
        <f t="shared" si="369"/>
        <v>0</v>
      </c>
      <c r="AC3359" s="60">
        <f t="shared" si="370"/>
        <v>0</v>
      </c>
    </row>
    <row r="3360" spans="1:29">
      <c r="A3360" s="83" t="str">
        <f t="shared" si="364"/>
        <v/>
      </c>
      <c r="B3360" s="83" t="str">
        <f t="shared" si="365"/>
        <v/>
      </c>
      <c r="U3360" s="83" t="str">
        <f t="shared" si="366"/>
        <v/>
      </c>
      <c r="V3360" s="83" t="str">
        <f t="shared" si="367"/>
        <v/>
      </c>
      <c r="AA3360" s="60">
        <f t="shared" si="368"/>
        <v>0</v>
      </c>
      <c r="AB3360" s="49">
        <f t="shared" si="369"/>
        <v>0</v>
      </c>
      <c r="AC3360" s="60">
        <f t="shared" si="370"/>
        <v>0</v>
      </c>
    </row>
    <row r="3361" spans="1:29">
      <c r="A3361" s="83" t="str">
        <f t="shared" si="364"/>
        <v/>
      </c>
      <c r="B3361" s="83" t="str">
        <f t="shared" si="365"/>
        <v/>
      </c>
      <c r="U3361" s="83" t="str">
        <f t="shared" si="366"/>
        <v/>
      </c>
      <c r="V3361" s="83" t="str">
        <f t="shared" si="367"/>
        <v/>
      </c>
      <c r="AA3361" s="60">
        <f t="shared" si="368"/>
        <v>0</v>
      </c>
      <c r="AB3361" s="49">
        <f t="shared" si="369"/>
        <v>0</v>
      </c>
      <c r="AC3361" s="60">
        <f t="shared" si="370"/>
        <v>0</v>
      </c>
    </row>
    <row r="3362" spans="1:29">
      <c r="A3362" s="83" t="str">
        <f t="shared" si="364"/>
        <v/>
      </c>
      <c r="B3362" s="83" t="str">
        <f t="shared" si="365"/>
        <v/>
      </c>
      <c r="U3362" s="83" t="str">
        <f t="shared" si="366"/>
        <v/>
      </c>
      <c r="V3362" s="83" t="str">
        <f t="shared" si="367"/>
        <v/>
      </c>
      <c r="AA3362" s="60">
        <f t="shared" si="368"/>
        <v>0</v>
      </c>
      <c r="AB3362" s="49">
        <f t="shared" si="369"/>
        <v>0</v>
      </c>
      <c r="AC3362" s="60">
        <f t="shared" si="370"/>
        <v>0</v>
      </c>
    </row>
    <row r="3363" spans="1:29">
      <c r="A3363" s="83" t="str">
        <f t="shared" si="364"/>
        <v/>
      </c>
      <c r="B3363" s="83" t="str">
        <f t="shared" si="365"/>
        <v/>
      </c>
      <c r="U3363" s="83" t="str">
        <f t="shared" si="366"/>
        <v/>
      </c>
      <c r="V3363" s="83" t="str">
        <f t="shared" si="367"/>
        <v/>
      </c>
      <c r="AA3363" s="60">
        <f t="shared" si="368"/>
        <v>0</v>
      </c>
      <c r="AB3363" s="49">
        <f t="shared" si="369"/>
        <v>0</v>
      </c>
      <c r="AC3363" s="60">
        <f t="shared" si="370"/>
        <v>0</v>
      </c>
    </row>
    <row r="3364" spans="1:29">
      <c r="A3364" s="83" t="str">
        <f t="shared" si="364"/>
        <v/>
      </c>
      <c r="B3364" s="83" t="str">
        <f t="shared" si="365"/>
        <v/>
      </c>
      <c r="U3364" s="83" t="str">
        <f t="shared" si="366"/>
        <v/>
      </c>
      <c r="V3364" s="83" t="str">
        <f t="shared" si="367"/>
        <v/>
      </c>
      <c r="AA3364" s="60">
        <f t="shared" si="368"/>
        <v>0</v>
      </c>
      <c r="AB3364" s="49">
        <f t="shared" si="369"/>
        <v>0</v>
      </c>
      <c r="AC3364" s="60">
        <f t="shared" si="370"/>
        <v>0</v>
      </c>
    </row>
    <row r="3365" spans="1:29">
      <c r="A3365" s="83" t="str">
        <f t="shared" si="364"/>
        <v/>
      </c>
      <c r="B3365" s="83" t="str">
        <f t="shared" si="365"/>
        <v/>
      </c>
      <c r="U3365" s="83" t="str">
        <f t="shared" si="366"/>
        <v/>
      </c>
      <c r="V3365" s="83" t="str">
        <f t="shared" si="367"/>
        <v/>
      </c>
      <c r="AA3365" s="60">
        <f t="shared" si="368"/>
        <v>0</v>
      </c>
      <c r="AB3365" s="49">
        <f t="shared" si="369"/>
        <v>0</v>
      </c>
      <c r="AC3365" s="60">
        <f t="shared" si="370"/>
        <v>0</v>
      </c>
    </row>
    <row r="3366" spans="1:29">
      <c r="A3366" s="83" t="str">
        <f t="shared" si="364"/>
        <v/>
      </c>
      <c r="B3366" s="83" t="str">
        <f t="shared" si="365"/>
        <v/>
      </c>
      <c r="U3366" s="83" t="str">
        <f t="shared" si="366"/>
        <v/>
      </c>
      <c r="V3366" s="83" t="str">
        <f t="shared" si="367"/>
        <v/>
      </c>
      <c r="AA3366" s="60">
        <f t="shared" si="368"/>
        <v>0</v>
      </c>
      <c r="AB3366" s="49">
        <f t="shared" si="369"/>
        <v>0</v>
      </c>
      <c r="AC3366" s="60">
        <f t="shared" si="370"/>
        <v>0</v>
      </c>
    </row>
    <row r="3367" spans="1:29">
      <c r="A3367" s="83" t="str">
        <f t="shared" si="364"/>
        <v/>
      </c>
      <c r="B3367" s="83" t="str">
        <f t="shared" si="365"/>
        <v/>
      </c>
      <c r="U3367" s="83" t="str">
        <f t="shared" si="366"/>
        <v/>
      </c>
      <c r="V3367" s="83" t="str">
        <f t="shared" si="367"/>
        <v/>
      </c>
      <c r="AA3367" s="60">
        <f t="shared" si="368"/>
        <v>0</v>
      </c>
      <c r="AB3367" s="49">
        <f t="shared" si="369"/>
        <v>0</v>
      </c>
      <c r="AC3367" s="60">
        <f t="shared" si="370"/>
        <v>0</v>
      </c>
    </row>
    <row r="3368" spans="1:29">
      <c r="A3368" s="83" t="str">
        <f t="shared" si="364"/>
        <v/>
      </c>
      <c r="B3368" s="83" t="str">
        <f t="shared" si="365"/>
        <v/>
      </c>
      <c r="U3368" s="83" t="str">
        <f t="shared" si="366"/>
        <v/>
      </c>
      <c r="V3368" s="83" t="str">
        <f t="shared" si="367"/>
        <v/>
      </c>
      <c r="AA3368" s="60">
        <f t="shared" si="368"/>
        <v>0</v>
      </c>
      <c r="AB3368" s="49">
        <f t="shared" si="369"/>
        <v>0</v>
      </c>
      <c r="AC3368" s="60">
        <f t="shared" si="370"/>
        <v>0</v>
      </c>
    </row>
    <row r="3369" spans="1:29">
      <c r="A3369" s="83" t="str">
        <f t="shared" si="364"/>
        <v/>
      </c>
      <c r="B3369" s="83" t="str">
        <f t="shared" si="365"/>
        <v/>
      </c>
      <c r="U3369" s="83" t="str">
        <f t="shared" si="366"/>
        <v/>
      </c>
      <c r="V3369" s="83" t="str">
        <f t="shared" si="367"/>
        <v/>
      </c>
      <c r="AA3369" s="60">
        <f t="shared" si="368"/>
        <v>0</v>
      </c>
      <c r="AB3369" s="49">
        <f t="shared" si="369"/>
        <v>0</v>
      </c>
      <c r="AC3369" s="60">
        <f t="shared" si="370"/>
        <v>0</v>
      </c>
    </row>
    <row r="3370" spans="1:29">
      <c r="A3370" s="83" t="str">
        <f t="shared" si="364"/>
        <v/>
      </c>
      <c r="B3370" s="83" t="str">
        <f t="shared" si="365"/>
        <v/>
      </c>
      <c r="U3370" s="83" t="str">
        <f t="shared" si="366"/>
        <v/>
      </c>
      <c r="V3370" s="83" t="str">
        <f t="shared" si="367"/>
        <v/>
      </c>
      <c r="AA3370" s="60">
        <f t="shared" si="368"/>
        <v>0</v>
      </c>
      <c r="AB3370" s="49">
        <f t="shared" si="369"/>
        <v>0</v>
      </c>
      <c r="AC3370" s="60">
        <f t="shared" si="370"/>
        <v>0</v>
      </c>
    </row>
    <row r="3371" spans="1:29">
      <c r="A3371" s="83" t="str">
        <f t="shared" si="364"/>
        <v/>
      </c>
      <c r="B3371" s="83" t="str">
        <f t="shared" si="365"/>
        <v/>
      </c>
      <c r="U3371" s="83" t="str">
        <f t="shared" si="366"/>
        <v/>
      </c>
      <c r="V3371" s="83" t="str">
        <f t="shared" si="367"/>
        <v/>
      </c>
      <c r="AA3371" s="60">
        <f t="shared" si="368"/>
        <v>0</v>
      </c>
      <c r="AB3371" s="49">
        <f t="shared" si="369"/>
        <v>0</v>
      </c>
      <c r="AC3371" s="60">
        <f t="shared" si="370"/>
        <v>0</v>
      </c>
    </row>
    <row r="3372" spans="1:29">
      <c r="A3372" s="83" t="str">
        <f t="shared" si="364"/>
        <v/>
      </c>
      <c r="B3372" s="83" t="str">
        <f t="shared" si="365"/>
        <v/>
      </c>
      <c r="U3372" s="83" t="str">
        <f t="shared" si="366"/>
        <v/>
      </c>
      <c r="V3372" s="83" t="str">
        <f t="shared" si="367"/>
        <v/>
      </c>
      <c r="AA3372" s="60">
        <f t="shared" si="368"/>
        <v>0</v>
      </c>
      <c r="AB3372" s="49">
        <f t="shared" si="369"/>
        <v>0</v>
      </c>
      <c r="AC3372" s="60">
        <f t="shared" si="370"/>
        <v>0</v>
      </c>
    </row>
    <row r="3373" spans="1:29">
      <c r="A3373" s="83" t="str">
        <f t="shared" si="364"/>
        <v/>
      </c>
      <c r="B3373" s="83" t="str">
        <f t="shared" si="365"/>
        <v/>
      </c>
      <c r="U3373" s="83" t="str">
        <f t="shared" si="366"/>
        <v/>
      </c>
      <c r="V3373" s="83" t="str">
        <f t="shared" si="367"/>
        <v/>
      </c>
      <c r="AA3373" s="60">
        <f t="shared" si="368"/>
        <v>0</v>
      </c>
      <c r="AB3373" s="49">
        <f t="shared" si="369"/>
        <v>0</v>
      </c>
      <c r="AC3373" s="60">
        <f t="shared" si="370"/>
        <v>0</v>
      </c>
    </row>
    <row r="3374" spans="1:29">
      <c r="A3374" s="83" t="str">
        <f t="shared" si="364"/>
        <v/>
      </c>
      <c r="B3374" s="83" t="str">
        <f t="shared" si="365"/>
        <v/>
      </c>
      <c r="U3374" s="83" t="str">
        <f t="shared" si="366"/>
        <v/>
      </c>
      <c r="V3374" s="83" t="str">
        <f t="shared" si="367"/>
        <v/>
      </c>
      <c r="AA3374" s="60">
        <f t="shared" si="368"/>
        <v>0</v>
      </c>
      <c r="AB3374" s="49">
        <f t="shared" si="369"/>
        <v>0</v>
      </c>
      <c r="AC3374" s="60">
        <f t="shared" si="370"/>
        <v>0</v>
      </c>
    </row>
    <row r="3375" spans="1:29">
      <c r="A3375" s="83" t="str">
        <f t="shared" si="364"/>
        <v/>
      </c>
      <c r="B3375" s="83" t="str">
        <f t="shared" si="365"/>
        <v/>
      </c>
      <c r="U3375" s="83" t="str">
        <f t="shared" si="366"/>
        <v/>
      </c>
      <c r="V3375" s="83" t="str">
        <f t="shared" si="367"/>
        <v/>
      </c>
      <c r="AA3375" s="60">
        <f t="shared" si="368"/>
        <v>0</v>
      </c>
      <c r="AB3375" s="49">
        <f t="shared" si="369"/>
        <v>0</v>
      </c>
      <c r="AC3375" s="60">
        <f t="shared" si="370"/>
        <v>0</v>
      </c>
    </row>
    <row r="3376" spans="1:29">
      <c r="A3376" s="83" t="str">
        <f t="shared" si="364"/>
        <v/>
      </c>
      <c r="B3376" s="83" t="str">
        <f t="shared" si="365"/>
        <v/>
      </c>
      <c r="U3376" s="83" t="str">
        <f t="shared" si="366"/>
        <v/>
      </c>
      <c r="V3376" s="83" t="str">
        <f t="shared" si="367"/>
        <v/>
      </c>
      <c r="AA3376" s="60">
        <f t="shared" si="368"/>
        <v>0</v>
      </c>
      <c r="AB3376" s="49">
        <f t="shared" si="369"/>
        <v>0</v>
      </c>
      <c r="AC3376" s="60">
        <f t="shared" si="370"/>
        <v>0</v>
      </c>
    </row>
    <row r="3377" spans="1:29">
      <c r="A3377" s="83" t="str">
        <f t="shared" si="364"/>
        <v/>
      </c>
      <c r="B3377" s="83" t="str">
        <f t="shared" si="365"/>
        <v/>
      </c>
      <c r="U3377" s="83" t="str">
        <f t="shared" si="366"/>
        <v/>
      </c>
      <c r="V3377" s="83" t="str">
        <f t="shared" si="367"/>
        <v/>
      </c>
      <c r="AA3377" s="60">
        <f t="shared" si="368"/>
        <v>0</v>
      </c>
      <c r="AB3377" s="49">
        <f t="shared" si="369"/>
        <v>0</v>
      </c>
      <c r="AC3377" s="60">
        <f t="shared" si="370"/>
        <v>0</v>
      </c>
    </row>
    <row r="3378" spans="1:29">
      <c r="A3378" s="83" t="str">
        <f t="shared" si="364"/>
        <v/>
      </c>
      <c r="B3378" s="83" t="str">
        <f t="shared" si="365"/>
        <v/>
      </c>
      <c r="U3378" s="83" t="str">
        <f t="shared" si="366"/>
        <v/>
      </c>
      <c r="V3378" s="83" t="str">
        <f t="shared" si="367"/>
        <v/>
      </c>
      <c r="AA3378" s="60">
        <f t="shared" si="368"/>
        <v>0</v>
      </c>
      <c r="AB3378" s="49">
        <f t="shared" si="369"/>
        <v>0</v>
      </c>
      <c r="AC3378" s="60">
        <f t="shared" si="370"/>
        <v>0</v>
      </c>
    </row>
    <row r="3379" spans="1:29">
      <c r="A3379" s="83" t="str">
        <f t="shared" si="364"/>
        <v/>
      </c>
      <c r="B3379" s="83" t="str">
        <f t="shared" si="365"/>
        <v/>
      </c>
      <c r="U3379" s="83" t="str">
        <f t="shared" si="366"/>
        <v/>
      </c>
      <c r="V3379" s="83" t="str">
        <f t="shared" si="367"/>
        <v/>
      </c>
      <c r="AA3379" s="60">
        <f t="shared" si="368"/>
        <v>0</v>
      </c>
      <c r="AB3379" s="49">
        <f t="shared" si="369"/>
        <v>0</v>
      </c>
      <c r="AC3379" s="60">
        <f t="shared" si="370"/>
        <v>0</v>
      </c>
    </row>
    <row r="3380" spans="1:29">
      <c r="A3380" s="83" t="str">
        <f t="shared" si="364"/>
        <v/>
      </c>
      <c r="B3380" s="83" t="str">
        <f t="shared" si="365"/>
        <v/>
      </c>
      <c r="U3380" s="83" t="str">
        <f t="shared" si="366"/>
        <v/>
      </c>
      <c r="V3380" s="83" t="str">
        <f t="shared" si="367"/>
        <v/>
      </c>
      <c r="AA3380" s="60">
        <f t="shared" si="368"/>
        <v>0</v>
      </c>
      <c r="AB3380" s="49">
        <f t="shared" si="369"/>
        <v>0</v>
      </c>
      <c r="AC3380" s="60">
        <f t="shared" si="370"/>
        <v>0</v>
      </c>
    </row>
    <row r="3381" spans="1:29">
      <c r="A3381" s="83" t="str">
        <f t="shared" si="364"/>
        <v/>
      </c>
      <c r="B3381" s="83" t="str">
        <f t="shared" si="365"/>
        <v/>
      </c>
      <c r="U3381" s="83" t="str">
        <f t="shared" si="366"/>
        <v/>
      </c>
      <c r="V3381" s="83" t="str">
        <f t="shared" si="367"/>
        <v/>
      </c>
      <c r="AA3381" s="60">
        <f t="shared" si="368"/>
        <v>0</v>
      </c>
      <c r="AB3381" s="49">
        <f t="shared" si="369"/>
        <v>0</v>
      </c>
      <c r="AC3381" s="60">
        <f t="shared" si="370"/>
        <v>0</v>
      </c>
    </row>
    <row r="3382" spans="1:29">
      <c r="A3382" s="83" t="str">
        <f t="shared" si="364"/>
        <v/>
      </c>
      <c r="B3382" s="83" t="str">
        <f t="shared" si="365"/>
        <v/>
      </c>
      <c r="U3382" s="83" t="str">
        <f t="shared" si="366"/>
        <v/>
      </c>
      <c r="V3382" s="83" t="str">
        <f t="shared" si="367"/>
        <v/>
      </c>
      <c r="AA3382" s="60">
        <f t="shared" si="368"/>
        <v>0</v>
      </c>
      <c r="AB3382" s="49">
        <f t="shared" si="369"/>
        <v>0</v>
      </c>
      <c r="AC3382" s="60">
        <f t="shared" si="370"/>
        <v>0</v>
      </c>
    </row>
    <row r="3383" spans="1:29">
      <c r="A3383" s="83" t="str">
        <f t="shared" si="364"/>
        <v/>
      </c>
      <c r="B3383" s="83" t="str">
        <f t="shared" si="365"/>
        <v/>
      </c>
      <c r="U3383" s="83" t="str">
        <f t="shared" si="366"/>
        <v/>
      </c>
      <c r="V3383" s="83" t="str">
        <f t="shared" si="367"/>
        <v/>
      </c>
      <c r="AA3383" s="60">
        <f t="shared" si="368"/>
        <v>0</v>
      </c>
      <c r="AB3383" s="49">
        <f t="shared" si="369"/>
        <v>0</v>
      </c>
      <c r="AC3383" s="60">
        <f t="shared" si="370"/>
        <v>0</v>
      </c>
    </row>
    <row r="3384" spans="1:29">
      <c r="A3384" s="83" t="str">
        <f t="shared" si="364"/>
        <v/>
      </c>
      <c r="B3384" s="83" t="str">
        <f t="shared" si="365"/>
        <v/>
      </c>
      <c r="U3384" s="83" t="str">
        <f t="shared" si="366"/>
        <v/>
      </c>
      <c r="V3384" s="83" t="str">
        <f t="shared" si="367"/>
        <v/>
      </c>
      <c r="AA3384" s="60">
        <f t="shared" si="368"/>
        <v>0</v>
      </c>
      <c r="AB3384" s="49">
        <f t="shared" si="369"/>
        <v>0</v>
      </c>
      <c r="AC3384" s="60">
        <f t="shared" si="370"/>
        <v>0</v>
      </c>
    </row>
    <row r="3385" spans="1:29">
      <c r="A3385" s="83" t="str">
        <f t="shared" si="364"/>
        <v/>
      </c>
      <c r="B3385" s="83" t="str">
        <f t="shared" si="365"/>
        <v/>
      </c>
      <c r="U3385" s="83" t="str">
        <f t="shared" si="366"/>
        <v/>
      </c>
      <c r="V3385" s="83" t="str">
        <f t="shared" si="367"/>
        <v/>
      </c>
      <c r="AA3385" s="60">
        <f t="shared" si="368"/>
        <v>0</v>
      </c>
      <c r="AB3385" s="49">
        <f t="shared" si="369"/>
        <v>0</v>
      </c>
      <c r="AC3385" s="60">
        <f t="shared" si="370"/>
        <v>0</v>
      </c>
    </row>
    <row r="3386" spans="1:29">
      <c r="A3386" s="83" t="str">
        <f t="shared" si="364"/>
        <v/>
      </c>
      <c r="B3386" s="83" t="str">
        <f t="shared" si="365"/>
        <v/>
      </c>
      <c r="U3386" s="83" t="str">
        <f t="shared" si="366"/>
        <v/>
      </c>
      <c r="V3386" s="83" t="str">
        <f t="shared" si="367"/>
        <v/>
      </c>
      <c r="AA3386" s="60">
        <f t="shared" si="368"/>
        <v>0</v>
      </c>
      <c r="AB3386" s="49">
        <f t="shared" si="369"/>
        <v>0</v>
      </c>
      <c r="AC3386" s="60">
        <f t="shared" si="370"/>
        <v>0</v>
      </c>
    </row>
    <row r="3387" spans="1:29">
      <c r="A3387" s="83" t="str">
        <f t="shared" si="364"/>
        <v/>
      </c>
      <c r="B3387" s="83" t="str">
        <f t="shared" si="365"/>
        <v/>
      </c>
      <c r="U3387" s="83" t="str">
        <f t="shared" si="366"/>
        <v/>
      </c>
      <c r="V3387" s="83" t="str">
        <f t="shared" si="367"/>
        <v/>
      </c>
      <c r="AA3387" s="60">
        <f t="shared" si="368"/>
        <v>0</v>
      </c>
      <c r="AB3387" s="49">
        <f t="shared" si="369"/>
        <v>0</v>
      </c>
      <c r="AC3387" s="60">
        <f t="shared" si="370"/>
        <v>0</v>
      </c>
    </row>
    <row r="3388" spans="1:29">
      <c r="A3388" s="83" t="str">
        <f t="shared" si="364"/>
        <v/>
      </c>
      <c r="B3388" s="83" t="str">
        <f t="shared" si="365"/>
        <v/>
      </c>
      <c r="U3388" s="83" t="str">
        <f t="shared" si="366"/>
        <v/>
      </c>
      <c r="V3388" s="83" t="str">
        <f t="shared" si="367"/>
        <v/>
      </c>
      <c r="AA3388" s="60">
        <f t="shared" si="368"/>
        <v>0</v>
      </c>
      <c r="AB3388" s="49">
        <f t="shared" si="369"/>
        <v>0</v>
      </c>
      <c r="AC3388" s="60">
        <f t="shared" si="370"/>
        <v>0</v>
      </c>
    </row>
    <row r="3389" spans="1:29">
      <c r="A3389" s="83" t="str">
        <f t="shared" si="364"/>
        <v/>
      </c>
      <c r="B3389" s="83" t="str">
        <f t="shared" si="365"/>
        <v/>
      </c>
      <c r="U3389" s="83" t="str">
        <f t="shared" si="366"/>
        <v/>
      </c>
      <c r="V3389" s="83" t="str">
        <f t="shared" si="367"/>
        <v/>
      </c>
      <c r="AA3389" s="60">
        <f t="shared" si="368"/>
        <v>0</v>
      </c>
      <c r="AB3389" s="49">
        <f t="shared" si="369"/>
        <v>0</v>
      </c>
      <c r="AC3389" s="60">
        <f t="shared" si="370"/>
        <v>0</v>
      </c>
    </row>
    <row r="3390" spans="1:29">
      <c r="A3390" s="83" t="str">
        <f t="shared" si="364"/>
        <v/>
      </c>
      <c r="B3390" s="83" t="str">
        <f t="shared" si="365"/>
        <v/>
      </c>
      <c r="U3390" s="83" t="str">
        <f t="shared" si="366"/>
        <v/>
      </c>
      <c r="V3390" s="83" t="str">
        <f t="shared" si="367"/>
        <v/>
      </c>
      <c r="AA3390" s="60">
        <f t="shared" si="368"/>
        <v>0</v>
      </c>
      <c r="AB3390" s="49">
        <f t="shared" si="369"/>
        <v>0</v>
      </c>
      <c r="AC3390" s="60">
        <f t="shared" si="370"/>
        <v>0</v>
      </c>
    </row>
    <row r="3391" spans="1:29">
      <c r="A3391" s="83" t="str">
        <f t="shared" si="364"/>
        <v/>
      </c>
      <c r="B3391" s="83" t="str">
        <f t="shared" si="365"/>
        <v/>
      </c>
      <c r="U3391" s="83" t="str">
        <f t="shared" si="366"/>
        <v/>
      </c>
      <c r="V3391" s="83" t="str">
        <f t="shared" si="367"/>
        <v/>
      </c>
      <c r="AA3391" s="60">
        <f t="shared" si="368"/>
        <v>0</v>
      </c>
      <c r="AB3391" s="49">
        <f t="shared" si="369"/>
        <v>0</v>
      </c>
      <c r="AC3391" s="60">
        <f t="shared" si="370"/>
        <v>0</v>
      </c>
    </row>
    <row r="3392" spans="1:29">
      <c r="A3392" s="83" t="str">
        <f t="shared" si="364"/>
        <v/>
      </c>
      <c r="B3392" s="83" t="str">
        <f t="shared" si="365"/>
        <v/>
      </c>
      <c r="U3392" s="83" t="str">
        <f t="shared" si="366"/>
        <v/>
      </c>
      <c r="V3392" s="83" t="str">
        <f t="shared" si="367"/>
        <v/>
      </c>
      <c r="AA3392" s="60">
        <f t="shared" si="368"/>
        <v>0</v>
      </c>
      <c r="AB3392" s="49">
        <f t="shared" si="369"/>
        <v>0</v>
      </c>
      <c r="AC3392" s="60">
        <f t="shared" si="370"/>
        <v>0</v>
      </c>
    </row>
    <row r="3393" spans="1:29">
      <c r="A3393" s="83" t="str">
        <f t="shared" si="364"/>
        <v/>
      </c>
      <c r="B3393" s="83" t="str">
        <f t="shared" si="365"/>
        <v/>
      </c>
      <c r="U3393" s="83" t="str">
        <f t="shared" si="366"/>
        <v/>
      </c>
      <c r="V3393" s="83" t="str">
        <f t="shared" si="367"/>
        <v/>
      </c>
      <c r="AA3393" s="60">
        <f t="shared" si="368"/>
        <v>0</v>
      </c>
      <c r="AB3393" s="49">
        <f t="shared" si="369"/>
        <v>0</v>
      </c>
      <c r="AC3393" s="60">
        <f t="shared" si="370"/>
        <v>0</v>
      </c>
    </row>
    <row r="3394" spans="1:29">
      <c r="A3394" s="83" t="str">
        <f t="shared" si="364"/>
        <v/>
      </c>
      <c r="B3394" s="83" t="str">
        <f t="shared" si="365"/>
        <v/>
      </c>
      <c r="U3394" s="83" t="str">
        <f t="shared" si="366"/>
        <v/>
      </c>
      <c r="V3394" s="83" t="str">
        <f t="shared" si="367"/>
        <v/>
      </c>
      <c r="AA3394" s="60">
        <f t="shared" si="368"/>
        <v>0</v>
      </c>
      <c r="AB3394" s="49">
        <f t="shared" si="369"/>
        <v>0</v>
      </c>
      <c r="AC3394" s="60">
        <f t="shared" si="370"/>
        <v>0</v>
      </c>
    </row>
    <row r="3395" spans="1:29">
      <c r="A3395" s="83" t="str">
        <f t="shared" ref="A3395:A3458" si="371">IF(G3395&amp;Q3395&lt;&gt;"",U3395&amp;Q3395,"")</f>
        <v/>
      </c>
      <c r="B3395" s="83" t="str">
        <f t="shared" ref="B3395:B3424" si="372">IF(C3395&lt;&gt;"",LEFT(C3395,9),"")</f>
        <v/>
      </c>
      <c r="U3395" s="83" t="str">
        <f t="shared" ref="U3395:U3458" si="373">IF(G3395&lt;&gt;"",IF(StyleSpaceSplit,IFERROR(IF(FIND(" ",G3395)&gt;=1,MID(G3395,1,FIND(" ",G3395)-1),G3395),G3395),G3395),"")</f>
        <v/>
      </c>
      <c r="V3395" s="83" t="str">
        <f t="shared" ref="V3395:V3458" si="374">IF(A3395&lt;&gt;"",IFERROR(IF(FIND(" ",G3395)&gt;=1,MID(G3395,FIND(" ",G3395)+1,LEN(G3395)),""),G3395),"")</f>
        <v/>
      </c>
      <c r="AA3395" s="60">
        <f t="shared" ref="AA3395:AA3458" si="375">IFERROR(VALUE(MID($C3395,1,2)),0)</f>
        <v>0</v>
      </c>
      <c r="AB3395" s="49">
        <f t="shared" ref="AB3395:AB3458" si="376">IFERROR(VALUE(MID($C3395,4,3)),0)</f>
        <v>0</v>
      </c>
      <c r="AC3395" s="60">
        <f t="shared" ref="AC3395:AC3458" si="377">VALUE(RIGHT("00"&amp;AA3395,2)&amp;RIGHT("000"&amp;AB3395,3))</f>
        <v>0</v>
      </c>
    </row>
    <row r="3396" spans="1:29">
      <c r="A3396" s="83" t="str">
        <f t="shared" si="371"/>
        <v/>
      </c>
      <c r="B3396" s="83" t="str">
        <f t="shared" si="372"/>
        <v/>
      </c>
      <c r="U3396" s="83" t="str">
        <f t="shared" si="373"/>
        <v/>
      </c>
      <c r="V3396" s="83" t="str">
        <f t="shared" si="374"/>
        <v/>
      </c>
      <c r="AA3396" s="60">
        <f t="shared" si="375"/>
        <v>0</v>
      </c>
      <c r="AB3396" s="49">
        <f t="shared" si="376"/>
        <v>0</v>
      </c>
      <c r="AC3396" s="60">
        <f t="shared" si="377"/>
        <v>0</v>
      </c>
    </row>
    <row r="3397" spans="1:29">
      <c r="A3397" s="83" t="str">
        <f t="shared" si="371"/>
        <v/>
      </c>
      <c r="B3397" s="83" t="str">
        <f t="shared" si="372"/>
        <v/>
      </c>
      <c r="U3397" s="83" t="str">
        <f t="shared" si="373"/>
        <v/>
      </c>
      <c r="V3397" s="83" t="str">
        <f t="shared" si="374"/>
        <v/>
      </c>
      <c r="AA3397" s="60">
        <f t="shared" si="375"/>
        <v>0</v>
      </c>
      <c r="AB3397" s="49">
        <f t="shared" si="376"/>
        <v>0</v>
      </c>
      <c r="AC3397" s="60">
        <f t="shared" si="377"/>
        <v>0</v>
      </c>
    </row>
    <row r="3398" spans="1:29">
      <c r="A3398" s="83" t="str">
        <f t="shared" si="371"/>
        <v/>
      </c>
      <c r="B3398" s="83" t="str">
        <f t="shared" si="372"/>
        <v/>
      </c>
      <c r="U3398" s="83" t="str">
        <f t="shared" si="373"/>
        <v/>
      </c>
      <c r="V3398" s="83" t="str">
        <f t="shared" si="374"/>
        <v/>
      </c>
      <c r="AA3398" s="60">
        <f t="shared" si="375"/>
        <v>0</v>
      </c>
      <c r="AB3398" s="49">
        <f t="shared" si="376"/>
        <v>0</v>
      </c>
      <c r="AC3398" s="60">
        <f t="shared" si="377"/>
        <v>0</v>
      </c>
    </row>
    <row r="3399" spans="1:29">
      <c r="A3399" s="83" t="str">
        <f t="shared" si="371"/>
        <v/>
      </c>
      <c r="B3399" s="83" t="str">
        <f t="shared" si="372"/>
        <v/>
      </c>
      <c r="U3399" s="83" t="str">
        <f t="shared" si="373"/>
        <v/>
      </c>
      <c r="V3399" s="83" t="str">
        <f t="shared" si="374"/>
        <v/>
      </c>
      <c r="AA3399" s="60">
        <f t="shared" si="375"/>
        <v>0</v>
      </c>
      <c r="AB3399" s="49">
        <f t="shared" si="376"/>
        <v>0</v>
      </c>
      <c r="AC3399" s="60">
        <f t="shared" si="377"/>
        <v>0</v>
      </c>
    </row>
    <row r="3400" spans="1:29">
      <c r="A3400" s="83" t="str">
        <f t="shared" si="371"/>
        <v/>
      </c>
      <c r="B3400" s="83" t="str">
        <f t="shared" si="372"/>
        <v/>
      </c>
      <c r="U3400" s="83" t="str">
        <f t="shared" si="373"/>
        <v/>
      </c>
      <c r="V3400" s="83" t="str">
        <f t="shared" si="374"/>
        <v/>
      </c>
      <c r="AA3400" s="60">
        <f t="shared" si="375"/>
        <v>0</v>
      </c>
      <c r="AB3400" s="49">
        <f t="shared" si="376"/>
        <v>0</v>
      </c>
      <c r="AC3400" s="60">
        <f t="shared" si="377"/>
        <v>0</v>
      </c>
    </row>
    <row r="3401" spans="1:29">
      <c r="A3401" s="83" t="str">
        <f t="shared" si="371"/>
        <v/>
      </c>
      <c r="B3401" s="83" t="str">
        <f t="shared" si="372"/>
        <v/>
      </c>
      <c r="U3401" s="83" t="str">
        <f t="shared" si="373"/>
        <v/>
      </c>
      <c r="V3401" s="83" t="str">
        <f t="shared" si="374"/>
        <v/>
      </c>
      <c r="AA3401" s="60">
        <f t="shared" si="375"/>
        <v>0</v>
      </c>
      <c r="AB3401" s="49">
        <f t="shared" si="376"/>
        <v>0</v>
      </c>
      <c r="AC3401" s="60">
        <f t="shared" si="377"/>
        <v>0</v>
      </c>
    </row>
    <row r="3402" spans="1:29">
      <c r="A3402" s="83" t="str">
        <f t="shared" si="371"/>
        <v/>
      </c>
      <c r="B3402" s="83" t="str">
        <f t="shared" si="372"/>
        <v/>
      </c>
      <c r="U3402" s="83" t="str">
        <f t="shared" si="373"/>
        <v/>
      </c>
      <c r="V3402" s="83" t="str">
        <f t="shared" si="374"/>
        <v/>
      </c>
      <c r="AA3402" s="60">
        <f t="shared" si="375"/>
        <v>0</v>
      </c>
      <c r="AB3402" s="49">
        <f t="shared" si="376"/>
        <v>0</v>
      </c>
      <c r="AC3402" s="60">
        <f t="shared" si="377"/>
        <v>0</v>
      </c>
    </row>
    <row r="3403" spans="1:29">
      <c r="A3403" s="83" t="str">
        <f t="shared" si="371"/>
        <v/>
      </c>
      <c r="B3403" s="83" t="str">
        <f t="shared" si="372"/>
        <v/>
      </c>
      <c r="U3403" s="83" t="str">
        <f t="shared" si="373"/>
        <v/>
      </c>
      <c r="V3403" s="83" t="str">
        <f t="shared" si="374"/>
        <v/>
      </c>
      <c r="AA3403" s="60">
        <f t="shared" si="375"/>
        <v>0</v>
      </c>
      <c r="AB3403" s="49">
        <f t="shared" si="376"/>
        <v>0</v>
      </c>
      <c r="AC3403" s="60">
        <f t="shared" si="377"/>
        <v>0</v>
      </c>
    </row>
    <row r="3404" spans="1:29">
      <c r="A3404" s="83" t="str">
        <f t="shared" si="371"/>
        <v/>
      </c>
      <c r="B3404" s="83" t="str">
        <f t="shared" si="372"/>
        <v/>
      </c>
      <c r="U3404" s="83" t="str">
        <f t="shared" si="373"/>
        <v/>
      </c>
      <c r="V3404" s="83" t="str">
        <f t="shared" si="374"/>
        <v/>
      </c>
      <c r="AA3404" s="60">
        <f t="shared" si="375"/>
        <v>0</v>
      </c>
      <c r="AB3404" s="49">
        <f t="shared" si="376"/>
        <v>0</v>
      </c>
      <c r="AC3404" s="60">
        <f t="shared" si="377"/>
        <v>0</v>
      </c>
    </row>
    <row r="3405" spans="1:29">
      <c r="A3405" s="83" t="str">
        <f t="shared" si="371"/>
        <v/>
      </c>
      <c r="B3405" s="83" t="str">
        <f t="shared" si="372"/>
        <v/>
      </c>
      <c r="U3405" s="83" t="str">
        <f t="shared" si="373"/>
        <v/>
      </c>
      <c r="V3405" s="83" t="str">
        <f t="shared" si="374"/>
        <v/>
      </c>
      <c r="AA3405" s="60">
        <f t="shared" si="375"/>
        <v>0</v>
      </c>
      <c r="AB3405" s="49">
        <f t="shared" si="376"/>
        <v>0</v>
      </c>
      <c r="AC3405" s="60">
        <f t="shared" si="377"/>
        <v>0</v>
      </c>
    </row>
    <row r="3406" spans="1:29">
      <c r="A3406" s="83" t="str">
        <f t="shared" si="371"/>
        <v/>
      </c>
      <c r="B3406" s="83" t="str">
        <f t="shared" si="372"/>
        <v/>
      </c>
      <c r="U3406" s="83" t="str">
        <f t="shared" si="373"/>
        <v/>
      </c>
      <c r="V3406" s="83" t="str">
        <f t="shared" si="374"/>
        <v/>
      </c>
      <c r="AA3406" s="60">
        <f t="shared" si="375"/>
        <v>0</v>
      </c>
      <c r="AB3406" s="49">
        <f t="shared" si="376"/>
        <v>0</v>
      </c>
      <c r="AC3406" s="60">
        <f t="shared" si="377"/>
        <v>0</v>
      </c>
    </row>
    <row r="3407" spans="1:29">
      <c r="A3407" s="83" t="str">
        <f t="shared" si="371"/>
        <v/>
      </c>
      <c r="B3407" s="83" t="str">
        <f t="shared" si="372"/>
        <v/>
      </c>
      <c r="U3407" s="83" t="str">
        <f t="shared" si="373"/>
        <v/>
      </c>
      <c r="V3407" s="83" t="str">
        <f t="shared" si="374"/>
        <v/>
      </c>
      <c r="AA3407" s="60">
        <f t="shared" si="375"/>
        <v>0</v>
      </c>
      <c r="AB3407" s="49">
        <f t="shared" si="376"/>
        <v>0</v>
      </c>
      <c r="AC3407" s="60">
        <f t="shared" si="377"/>
        <v>0</v>
      </c>
    </row>
    <row r="3408" spans="1:29">
      <c r="A3408" s="83" t="str">
        <f t="shared" si="371"/>
        <v/>
      </c>
      <c r="B3408" s="83" t="str">
        <f t="shared" si="372"/>
        <v/>
      </c>
      <c r="U3408" s="83" t="str">
        <f t="shared" si="373"/>
        <v/>
      </c>
      <c r="V3408" s="83" t="str">
        <f t="shared" si="374"/>
        <v/>
      </c>
      <c r="AA3408" s="60">
        <f t="shared" si="375"/>
        <v>0</v>
      </c>
      <c r="AB3408" s="49">
        <f t="shared" si="376"/>
        <v>0</v>
      </c>
      <c r="AC3408" s="60">
        <f t="shared" si="377"/>
        <v>0</v>
      </c>
    </row>
    <row r="3409" spans="1:29">
      <c r="A3409" s="83" t="str">
        <f t="shared" si="371"/>
        <v/>
      </c>
      <c r="B3409" s="83" t="str">
        <f t="shared" si="372"/>
        <v/>
      </c>
      <c r="U3409" s="83" t="str">
        <f t="shared" si="373"/>
        <v/>
      </c>
      <c r="V3409" s="83" t="str">
        <f t="shared" si="374"/>
        <v/>
      </c>
      <c r="AA3409" s="60">
        <f t="shared" si="375"/>
        <v>0</v>
      </c>
      <c r="AB3409" s="49">
        <f t="shared" si="376"/>
        <v>0</v>
      </c>
      <c r="AC3409" s="60">
        <f t="shared" si="377"/>
        <v>0</v>
      </c>
    </row>
    <row r="3410" spans="1:29">
      <c r="A3410" s="83" t="str">
        <f t="shared" si="371"/>
        <v/>
      </c>
      <c r="B3410" s="83" t="str">
        <f t="shared" si="372"/>
        <v/>
      </c>
      <c r="U3410" s="83" t="str">
        <f t="shared" si="373"/>
        <v/>
      </c>
      <c r="V3410" s="83" t="str">
        <f t="shared" si="374"/>
        <v/>
      </c>
      <c r="AA3410" s="60">
        <f t="shared" si="375"/>
        <v>0</v>
      </c>
      <c r="AB3410" s="49">
        <f t="shared" si="376"/>
        <v>0</v>
      </c>
      <c r="AC3410" s="60">
        <f t="shared" si="377"/>
        <v>0</v>
      </c>
    </row>
    <row r="3411" spans="1:29">
      <c r="A3411" s="83" t="str">
        <f t="shared" si="371"/>
        <v/>
      </c>
      <c r="B3411" s="83" t="str">
        <f t="shared" si="372"/>
        <v/>
      </c>
      <c r="U3411" s="83" t="str">
        <f t="shared" si="373"/>
        <v/>
      </c>
      <c r="V3411" s="83" t="str">
        <f t="shared" si="374"/>
        <v/>
      </c>
      <c r="AA3411" s="60">
        <f t="shared" si="375"/>
        <v>0</v>
      </c>
      <c r="AB3411" s="49">
        <f t="shared" si="376"/>
        <v>0</v>
      </c>
      <c r="AC3411" s="60">
        <f t="shared" si="377"/>
        <v>0</v>
      </c>
    </row>
    <row r="3412" spans="1:29">
      <c r="A3412" s="83" t="str">
        <f t="shared" si="371"/>
        <v/>
      </c>
      <c r="B3412" s="83" t="str">
        <f t="shared" si="372"/>
        <v/>
      </c>
      <c r="U3412" s="83" t="str">
        <f t="shared" si="373"/>
        <v/>
      </c>
      <c r="V3412" s="83" t="str">
        <f t="shared" si="374"/>
        <v/>
      </c>
      <c r="AA3412" s="60">
        <f t="shared" si="375"/>
        <v>0</v>
      </c>
      <c r="AB3412" s="49">
        <f t="shared" si="376"/>
        <v>0</v>
      </c>
      <c r="AC3412" s="60">
        <f t="shared" si="377"/>
        <v>0</v>
      </c>
    </row>
    <row r="3413" spans="1:29">
      <c r="A3413" s="83" t="str">
        <f t="shared" si="371"/>
        <v/>
      </c>
      <c r="B3413" s="83" t="str">
        <f t="shared" si="372"/>
        <v/>
      </c>
      <c r="U3413" s="83" t="str">
        <f t="shared" si="373"/>
        <v/>
      </c>
      <c r="V3413" s="83" t="str">
        <f t="shared" si="374"/>
        <v/>
      </c>
      <c r="AA3413" s="60">
        <f t="shared" si="375"/>
        <v>0</v>
      </c>
      <c r="AB3413" s="49">
        <f t="shared" si="376"/>
        <v>0</v>
      </c>
      <c r="AC3413" s="60">
        <f t="shared" si="377"/>
        <v>0</v>
      </c>
    </row>
    <row r="3414" spans="1:29">
      <c r="A3414" s="83" t="str">
        <f t="shared" si="371"/>
        <v/>
      </c>
      <c r="B3414" s="83" t="str">
        <f t="shared" si="372"/>
        <v/>
      </c>
      <c r="U3414" s="83" t="str">
        <f t="shared" si="373"/>
        <v/>
      </c>
      <c r="V3414" s="83" t="str">
        <f t="shared" si="374"/>
        <v/>
      </c>
      <c r="AA3414" s="60">
        <f t="shared" si="375"/>
        <v>0</v>
      </c>
      <c r="AB3414" s="49">
        <f t="shared" si="376"/>
        <v>0</v>
      </c>
      <c r="AC3414" s="60">
        <f t="shared" si="377"/>
        <v>0</v>
      </c>
    </row>
    <row r="3415" spans="1:29">
      <c r="A3415" s="83" t="str">
        <f t="shared" si="371"/>
        <v/>
      </c>
      <c r="B3415" s="83" t="str">
        <f t="shared" si="372"/>
        <v/>
      </c>
      <c r="U3415" s="83" t="str">
        <f t="shared" si="373"/>
        <v/>
      </c>
      <c r="V3415" s="83" t="str">
        <f t="shared" si="374"/>
        <v/>
      </c>
      <c r="AA3415" s="60">
        <f t="shared" si="375"/>
        <v>0</v>
      </c>
      <c r="AB3415" s="49">
        <f t="shared" si="376"/>
        <v>0</v>
      </c>
      <c r="AC3415" s="60">
        <f t="shared" si="377"/>
        <v>0</v>
      </c>
    </row>
    <row r="3416" spans="1:29">
      <c r="A3416" s="83" t="str">
        <f t="shared" si="371"/>
        <v/>
      </c>
      <c r="B3416" s="83" t="str">
        <f t="shared" si="372"/>
        <v/>
      </c>
      <c r="U3416" s="83" t="str">
        <f t="shared" si="373"/>
        <v/>
      </c>
      <c r="V3416" s="83" t="str">
        <f t="shared" si="374"/>
        <v/>
      </c>
      <c r="AA3416" s="60">
        <f t="shared" si="375"/>
        <v>0</v>
      </c>
      <c r="AB3416" s="49">
        <f t="shared" si="376"/>
        <v>0</v>
      </c>
      <c r="AC3416" s="60">
        <f t="shared" si="377"/>
        <v>0</v>
      </c>
    </row>
    <row r="3417" spans="1:29">
      <c r="A3417" s="83" t="str">
        <f t="shared" si="371"/>
        <v/>
      </c>
      <c r="B3417" s="83" t="str">
        <f t="shared" si="372"/>
        <v/>
      </c>
      <c r="U3417" s="83" t="str">
        <f t="shared" si="373"/>
        <v/>
      </c>
      <c r="V3417" s="83" t="str">
        <f t="shared" si="374"/>
        <v/>
      </c>
      <c r="AA3417" s="60">
        <f t="shared" si="375"/>
        <v>0</v>
      </c>
      <c r="AB3417" s="49">
        <f t="shared" si="376"/>
        <v>0</v>
      </c>
      <c r="AC3417" s="60">
        <f t="shared" si="377"/>
        <v>0</v>
      </c>
    </row>
    <row r="3418" spans="1:29">
      <c r="A3418" s="83" t="str">
        <f t="shared" si="371"/>
        <v/>
      </c>
      <c r="B3418" s="83" t="str">
        <f t="shared" si="372"/>
        <v/>
      </c>
      <c r="U3418" s="83" t="str">
        <f t="shared" si="373"/>
        <v/>
      </c>
      <c r="V3418" s="83" t="str">
        <f t="shared" si="374"/>
        <v/>
      </c>
      <c r="AA3418" s="60">
        <f t="shared" si="375"/>
        <v>0</v>
      </c>
      <c r="AB3418" s="49">
        <f t="shared" si="376"/>
        <v>0</v>
      </c>
      <c r="AC3418" s="60">
        <f t="shared" si="377"/>
        <v>0</v>
      </c>
    </row>
    <row r="3419" spans="1:29">
      <c r="A3419" s="83" t="str">
        <f t="shared" si="371"/>
        <v/>
      </c>
      <c r="B3419" s="83" t="str">
        <f t="shared" si="372"/>
        <v/>
      </c>
      <c r="U3419" s="83" t="str">
        <f t="shared" si="373"/>
        <v/>
      </c>
      <c r="V3419" s="83" t="str">
        <f t="shared" si="374"/>
        <v/>
      </c>
      <c r="AA3419" s="60">
        <f t="shared" si="375"/>
        <v>0</v>
      </c>
      <c r="AB3419" s="49">
        <f t="shared" si="376"/>
        <v>0</v>
      </c>
      <c r="AC3419" s="60">
        <f t="shared" si="377"/>
        <v>0</v>
      </c>
    </row>
    <row r="3420" spans="1:29">
      <c r="A3420" s="83" t="str">
        <f t="shared" si="371"/>
        <v/>
      </c>
      <c r="B3420" s="83" t="str">
        <f t="shared" si="372"/>
        <v/>
      </c>
      <c r="U3420" s="83" t="str">
        <f t="shared" si="373"/>
        <v/>
      </c>
      <c r="V3420" s="83" t="str">
        <f t="shared" si="374"/>
        <v/>
      </c>
      <c r="AA3420" s="60">
        <f t="shared" si="375"/>
        <v>0</v>
      </c>
      <c r="AB3420" s="49">
        <f t="shared" si="376"/>
        <v>0</v>
      </c>
      <c r="AC3420" s="60">
        <f t="shared" si="377"/>
        <v>0</v>
      </c>
    </row>
    <row r="3421" spans="1:29">
      <c r="A3421" s="83" t="str">
        <f t="shared" si="371"/>
        <v/>
      </c>
      <c r="B3421" s="83" t="str">
        <f t="shared" si="372"/>
        <v/>
      </c>
      <c r="U3421" s="83" t="str">
        <f t="shared" si="373"/>
        <v/>
      </c>
      <c r="V3421" s="83" t="str">
        <f t="shared" si="374"/>
        <v/>
      </c>
      <c r="AA3421" s="60">
        <f t="shared" si="375"/>
        <v>0</v>
      </c>
      <c r="AB3421" s="49">
        <f t="shared" si="376"/>
        <v>0</v>
      </c>
      <c r="AC3421" s="60">
        <f t="shared" si="377"/>
        <v>0</v>
      </c>
    </row>
    <row r="3422" spans="1:29">
      <c r="A3422" s="83" t="str">
        <f t="shared" si="371"/>
        <v/>
      </c>
      <c r="B3422" s="83" t="str">
        <f t="shared" si="372"/>
        <v/>
      </c>
      <c r="U3422" s="83" t="str">
        <f t="shared" si="373"/>
        <v/>
      </c>
      <c r="V3422" s="83" t="str">
        <f t="shared" si="374"/>
        <v/>
      </c>
      <c r="AA3422" s="60">
        <f t="shared" si="375"/>
        <v>0</v>
      </c>
      <c r="AB3422" s="49">
        <f t="shared" si="376"/>
        <v>0</v>
      </c>
      <c r="AC3422" s="60">
        <f t="shared" si="377"/>
        <v>0</v>
      </c>
    </row>
    <row r="3423" spans="1:29">
      <c r="A3423" s="83" t="str">
        <f t="shared" si="371"/>
        <v/>
      </c>
      <c r="B3423" s="83" t="str">
        <f t="shared" si="372"/>
        <v/>
      </c>
      <c r="U3423" s="83" t="str">
        <f t="shared" si="373"/>
        <v/>
      </c>
      <c r="V3423" s="83" t="str">
        <f t="shared" si="374"/>
        <v/>
      </c>
      <c r="AA3423" s="60">
        <f t="shared" si="375"/>
        <v>0</v>
      </c>
      <c r="AB3423" s="49">
        <f t="shared" si="376"/>
        <v>0</v>
      </c>
      <c r="AC3423" s="60">
        <f t="shared" si="377"/>
        <v>0</v>
      </c>
    </row>
    <row r="3424" spans="1:29">
      <c r="A3424" s="83" t="str">
        <f t="shared" si="371"/>
        <v/>
      </c>
      <c r="B3424" s="83" t="str">
        <f t="shared" si="372"/>
        <v/>
      </c>
      <c r="U3424" s="83" t="str">
        <f t="shared" si="373"/>
        <v/>
      </c>
      <c r="V3424" s="83" t="str">
        <f t="shared" si="374"/>
        <v/>
      </c>
      <c r="AA3424" s="60">
        <f t="shared" si="375"/>
        <v>0</v>
      </c>
      <c r="AB3424" s="49">
        <f t="shared" si="376"/>
        <v>0</v>
      </c>
      <c r="AC3424" s="60">
        <f t="shared" si="377"/>
        <v>0</v>
      </c>
    </row>
    <row r="3425" spans="1:29">
      <c r="A3425" s="83" t="str">
        <f t="shared" si="371"/>
        <v/>
      </c>
      <c r="B3425" s="83" t="str">
        <f t="shared" ref="B3425:B3488" si="378">IF(C3425&lt;&gt;"",LEFT(C3425,9),"")</f>
        <v/>
      </c>
      <c r="U3425" s="83" t="str">
        <f t="shared" si="373"/>
        <v/>
      </c>
      <c r="V3425" s="83" t="str">
        <f t="shared" si="374"/>
        <v/>
      </c>
      <c r="AA3425" s="60">
        <f t="shared" si="375"/>
        <v>0</v>
      </c>
      <c r="AB3425" s="49">
        <f t="shared" si="376"/>
        <v>0</v>
      </c>
      <c r="AC3425" s="60">
        <f t="shared" si="377"/>
        <v>0</v>
      </c>
    </row>
    <row r="3426" spans="1:29">
      <c r="A3426" s="83" t="str">
        <f t="shared" si="371"/>
        <v/>
      </c>
      <c r="B3426" s="83" t="str">
        <f t="shared" si="378"/>
        <v/>
      </c>
      <c r="U3426" s="83" t="str">
        <f t="shared" si="373"/>
        <v/>
      </c>
      <c r="V3426" s="83" t="str">
        <f t="shared" si="374"/>
        <v/>
      </c>
      <c r="AA3426" s="60">
        <f t="shared" si="375"/>
        <v>0</v>
      </c>
      <c r="AB3426" s="49">
        <f t="shared" si="376"/>
        <v>0</v>
      </c>
      <c r="AC3426" s="60">
        <f t="shared" si="377"/>
        <v>0</v>
      </c>
    </row>
    <row r="3427" spans="1:29">
      <c r="A3427" s="83" t="str">
        <f t="shared" si="371"/>
        <v/>
      </c>
      <c r="B3427" s="83" t="str">
        <f t="shared" si="378"/>
        <v/>
      </c>
      <c r="U3427" s="83" t="str">
        <f t="shared" si="373"/>
        <v/>
      </c>
      <c r="V3427" s="83" t="str">
        <f t="shared" si="374"/>
        <v/>
      </c>
      <c r="AA3427" s="60">
        <f t="shared" si="375"/>
        <v>0</v>
      </c>
      <c r="AB3427" s="49">
        <f t="shared" si="376"/>
        <v>0</v>
      </c>
      <c r="AC3427" s="60">
        <f t="shared" si="377"/>
        <v>0</v>
      </c>
    </row>
    <row r="3428" spans="1:29">
      <c r="A3428" s="83" t="str">
        <f t="shared" si="371"/>
        <v/>
      </c>
      <c r="B3428" s="83" t="str">
        <f t="shared" si="378"/>
        <v/>
      </c>
      <c r="U3428" s="83" t="str">
        <f t="shared" si="373"/>
        <v/>
      </c>
      <c r="V3428" s="83" t="str">
        <f t="shared" si="374"/>
        <v/>
      </c>
      <c r="AA3428" s="60">
        <f t="shared" si="375"/>
        <v>0</v>
      </c>
      <c r="AB3428" s="49">
        <f t="shared" si="376"/>
        <v>0</v>
      </c>
      <c r="AC3428" s="60">
        <f t="shared" si="377"/>
        <v>0</v>
      </c>
    </row>
    <row r="3429" spans="1:29">
      <c r="A3429" s="83" t="str">
        <f t="shared" si="371"/>
        <v/>
      </c>
      <c r="B3429" s="83" t="str">
        <f t="shared" si="378"/>
        <v/>
      </c>
      <c r="U3429" s="83" t="str">
        <f t="shared" si="373"/>
        <v/>
      </c>
      <c r="V3429" s="83" t="str">
        <f t="shared" si="374"/>
        <v/>
      </c>
      <c r="AA3429" s="60">
        <f t="shared" si="375"/>
        <v>0</v>
      </c>
      <c r="AB3429" s="49">
        <f t="shared" si="376"/>
        <v>0</v>
      </c>
      <c r="AC3429" s="60">
        <f t="shared" si="377"/>
        <v>0</v>
      </c>
    </row>
    <row r="3430" spans="1:29">
      <c r="A3430" s="83" t="str">
        <f t="shared" si="371"/>
        <v/>
      </c>
      <c r="B3430" s="83" t="str">
        <f t="shared" si="378"/>
        <v/>
      </c>
      <c r="U3430" s="83" t="str">
        <f t="shared" si="373"/>
        <v/>
      </c>
      <c r="V3430" s="83" t="str">
        <f t="shared" si="374"/>
        <v/>
      </c>
      <c r="AA3430" s="60">
        <f t="shared" si="375"/>
        <v>0</v>
      </c>
      <c r="AB3430" s="49">
        <f t="shared" si="376"/>
        <v>0</v>
      </c>
      <c r="AC3430" s="60">
        <f t="shared" si="377"/>
        <v>0</v>
      </c>
    </row>
    <row r="3431" spans="1:29">
      <c r="A3431" s="83" t="str">
        <f t="shared" si="371"/>
        <v/>
      </c>
      <c r="B3431" s="83" t="str">
        <f t="shared" si="378"/>
        <v/>
      </c>
      <c r="U3431" s="83" t="str">
        <f t="shared" si="373"/>
        <v/>
      </c>
      <c r="V3431" s="83" t="str">
        <f t="shared" si="374"/>
        <v/>
      </c>
      <c r="AA3431" s="60">
        <f t="shared" si="375"/>
        <v>0</v>
      </c>
      <c r="AB3431" s="49">
        <f t="shared" si="376"/>
        <v>0</v>
      </c>
      <c r="AC3431" s="60">
        <f t="shared" si="377"/>
        <v>0</v>
      </c>
    </row>
    <row r="3432" spans="1:29">
      <c r="A3432" s="83" t="str">
        <f t="shared" si="371"/>
        <v/>
      </c>
      <c r="B3432" s="83" t="str">
        <f t="shared" si="378"/>
        <v/>
      </c>
      <c r="U3432" s="83" t="str">
        <f t="shared" si="373"/>
        <v/>
      </c>
      <c r="V3432" s="83" t="str">
        <f t="shared" si="374"/>
        <v/>
      </c>
      <c r="AA3432" s="60">
        <f t="shared" si="375"/>
        <v>0</v>
      </c>
      <c r="AB3432" s="49">
        <f t="shared" si="376"/>
        <v>0</v>
      </c>
      <c r="AC3432" s="60">
        <f t="shared" si="377"/>
        <v>0</v>
      </c>
    </row>
    <row r="3433" spans="1:29">
      <c r="A3433" s="83" t="str">
        <f t="shared" si="371"/>
        <v/>
      </c>
      <c r="B3433" s="83" t="str">
        <f t="shared" si="378"/>
        <v/>
      </c>
      <c r="U3433" s="83" t="str">
        <f t="shared" si="373"/>
        <v/>
      </c>
      <c r="V3433" s="83" t="str">
        <f t="shared" si="374"/>
        <v/>
      </c>
      <c r="AA3433" s="60">
        <f t="shared" si="375"/>
        <v>0</v>
      </c>
      <c r="AB3433" s="49">
        <f t="shared" si="376"/>
        <v>0</v>
      </c>
      <c r="AC3433" s="60">
        <f t="shared" si="377"/>
        <v>0</v>
      </c>
    </row>
    <row r="3434" spans="1:29">
      <c r="A3434" s="83" t="str">
        <f t="shared" si="371"/>
        <v/>
      </c>
      <c r="B3434" s="83" t="str">
        <f t="shared" si="378"/>
        <v/>
      </c>
      <c r="U3434" s="83" t="str">
        <f t="shared" si="373"/>
        <v/>
      </c>
      <c r="V3434" s="83" t="str">
        <f t="shared" si="374"/>
        <v/>
      </c>
      <c r="AA3434" s="60">
        <f t="shared" si="375"/>
        <v>0</v>
      </c>
      <c r="AB3434" s="49">
        <f t="shared" si="376"/>
        <v>0</v>
      </c>
      <c r="AC3434" s="60">
        <f t="shared" si="377"/>
        <v>0</v>
      </c>
    </row>
    <row r="3435" spans="1:29">
      <c r="A3435" s="83" t="str">
        <f t="shared" si="371"/>
        <v/>
      </c>
      <c r="B3435" s="83" t="str">
        <f t="shared" si="378"/>
        <v/>
      </c>
      <c r="U3435" s="83" t="str">
        <f t="shared" si="373"/>
        <v/>
      </c>
      <c r="V3435" s="83" t="str">
        <f t="shared" si="374"/>
        <v/>
      </c>
      <c r="AA3435" s="60">
        <f t="shared" si="375"/>
        <v>0</v>
      </c>
      <c r="AB3435" s="49">
        <f t="shared" si="376"/>
        <v>0</v>
      </c>
      <c r="AC3435" s="60">
        <f t="shared" si="377"/>
        <v>0</v>
      </c>
    </row>
    <row r="3436" spans="1:29">
      <c r="A3436" s="83" t="str">
        <f t="shared" si="371"/>
        <v/>
      </c>
      <c r="B3436" s="83" t="str">
        <f t="shared" si="378"/>
        <v/>
      </c>
      <c r="U3436" s="83" t="str">
        <f t="shared" si="373"/>
        <v/>
      </c>
      <c r="V3436" s="83" t="str">
        <f t="shared" si="374"/>
        <v/>
      </c>
      <c r="AA3436" s="60">
        <f t="shared" si="375"/>
        <v>0</v>
      </c>
      <c r="AB3436" s="49">
        <f t="shared" si="376"/>
        <v>0</v>
      </c>
      <c r="AC3436" s="60">
        <f t="shared" si="377"/>
        <v>0</v>
      </c>
    </row>
    <row r="3437" spans="1:29">
      <c r="A3437" s="83" t="str">
        <f t="shared" si="371"/>
        <v/>
      </c>
      <c r="B3437" s="83" t="str">
        <f t="shared" si="378"/>
        <v/>
      </c>
      <c r="U3437" s="83" t="str">
        <f t="shared" si="373"/>
        <v/>
      </c>
      <c r="V3437" s="83" t="str">
        <f t="shared" si="374"/>
        <v/>
      </c>
      <c r="AA3437" s="60">
        <f t="shared" si="375"/>
        <v>0</v>
      </c>
      <c r="AB3437" s="49">
        <f t="shared" si="376"/>
        <v>0</v>
      </c>
      <c r="AC3437" s="60">
        <f t="shared" si="377"/>
        <v>0</v>
      </c>
    </row>
    <row r="3438" spans="1:29">
      <c r="A3438" s="83" t="str">
        <f t="shared" si="371"/>
        <v/>
      </c>
      <c r="B3438" s="83" t="str">
        <f t="shared" si="378"/>
        <v/>
      </c>
      <c r="U3438" s="83" t="str">
        <f t="shared" si="373"/>
        <v/>
      </c>
      <c r="V3438" s="83" t="str">
        <f t="shared" si="374"/>
        <v/>
      </c>
      <c r="AA3438" s="60">
        <f t="shared" si="375"/>
        <v>0</v>
      </c>
      <c r="AB3438" s="49">
        <f t="shared" si="376"/>
        <v>0</v>
      </c>
      <c r="AC3438" s="60">
        <f t="shared" si="377"/>
        <v>0</v>
      </c>
    </row>
    <row r="3439" spans="1:29">
      <c r="A3439" s="83" t="str">
        <f t="shared" si="371"/>
        <v/>
      </c>
      <c r="B3439" s="83" t="str">
        <f t="shared" si="378"/>
        <v/>
      </c>
      <c r="U3439" s="83" t="str">
        <f t="shared" si="373"/>
        <v/>
      </c>
      <c r="V3439" s="83" t="str">
        <f t="shared" si="374"/>
        <v/>
      </c>
      <c r="AA3439" s="60">
        <f t="shared" si="375"/>
        <v>0</v>
      </c>
      <c r="AB3439" s="49">
        <f t="shared" si="376"/>
        <v>0</v>
      </c>
      <c r="AC3439" s="60">
        <f t="shared" si="377"/>
        <v>0</v>
      </c>
    </row>
    <row r="3440" spans="1:29">
      <c r="A3440" s="83" t="str">
        <f t="shared" si="371"/>
        <v/>
      </c>
      <c r="B3440" s="83" t="str">
        <f t="shared" si="378"/>
        <v/>
      </c>
      <c r="U3440" s="83" t="str">
        <f t="shared" si="373"/>
        <v/>
      </c>
      <c r="V3440" s="83" t="str">
        <f t="shared" si="374"/>
        <v/>
      </c>
      <c r="AA3440" s="60">
        <f t="shared" si="375"/>
        <v>0</v>
      </c>
      <c r="AB3440" s="49">
        <f t="shared" si="376"/>
        <v>0</v>
      </c>
      <c r="AC3440" s="60">
        <f t="shared" si="377"/>
        <v>0</v>
      </c>
    </row>
    <row r="3441" spans="1:29">
      <c r="A3441" s="83" t="str">
        <f t="shared" si="371"/>
        <v/>
      </c>
      <c r="B3441" s="83" t="str">
        <f t="shared" si="378"/>
        <v/>
      </c>
      <c r="U3441" s="83" t="str">
        <f t="shared" si="373"/>
        <v/>
      </c>
      <c r="V3441" s="83" t="str">
        <f t="shared" si="374"/>
        <v/>
      </c>
      <c r="AA3441" s="60">
        <f t="shared" si="375"/>
        <v>0</v>
      </c>
      <c r="AB3441" s="49">
        <f t="shared" si="376"/>
        <v>0</v>
      </c>
      <c r="AC3441" s="60">
        <f t="shared" si="377"/>
        <v>0</v>
      </c>
    </row>
    <row r="3442" spans="1:29">
      <c r="A3442" s="83" t="str">
        <f t="shared" si="371"/>
        <v/>
      </c>
      <c r="B3442" s="83" t="str">
        <f t="shared" si="378"/>
        <v/>
      </c>
      <c r="U3442" s="83" t="str">
        <f t="shared" si="373"/>
        <v/>
      </c>
      <c r="V3442" s="83" t="str">
        <f t="shared" si="374"/>
        <v/>
      </c>
      <c r="AA3442" s="60">
        <f t="shared" si="375"/>
        <v>0</v>
      </c>
      <c r="AB3442" s="49">
        <f t="shared" si="376"/>
        <v>0</v>
      </c>
      <c r="AC3442" s="60">
        <f t="shared" si="377"/>
        <v>0</v>
      </c>
    </row>
    <row r="3443" spans="1:29">
      <c r="A3443" s="83" t="str">
        <f t="shared" si="371"/>
        <v/>
      </c>
      <c r="B3443" s="83" t="str">
        <f t="shared" si="378"/>
        <v/>
      </c>
      <c r="U3443" s="83" t="str">
        <f t="shared" si="373"/>
        <v/>
      </c>
      <c r="V3443" s="83" t="str">
        <f t="shared" si="374"/>
        <v/>
      </c>
      <c r="AA3443" s="60">
        <f t="shared" si="375"/>
        <v>0</v>
      </c>
      <c r="AB3443" s="49">
        <f t="shared" si="376"/>
        <v>0</v>
      </c>
      <c r="AC3443" s="60">
        <f t="shared" si="377"/>
        <v>0</v>
      </c>
    </row>
    <row r="3444" spans="1:29">
      <c r="A3444" s="83" t="str">
        <f t="shared" si="371"/>
        <v/>
      </c>
      <c r="B3444" s="83" t="str">
        <f t="shared" si="378"/>
        <v/>
      </c>
      <c r="U3444" s="83" t="str">
        <f t="shared" si="373"/>
        <v/>
      </c>
      <c r="V3444" s="83" t="str">
        <f t="shared" si="374"/>
        <v/>
      </c>
      <c r="AA3444" s="60">
        <f t="shared" si="375"/>
        <v>0</v>
      </c>
      <c r="AB3444" s="49">
        <f t="shared" si="376"/>
        <v>0</v>
      </c>
      <c r="AC3444" s="60">
        <f t="shared" si="377"/>
        <v>0</v>
      </c>
    </row>
    <row r="3445" spans="1:29">
      <c r="A3445" s="83" t="str">
        <f t="shared" si="371"/>
        <v/>
      </c>
      <c r="B3445" s="83" t="str">
        <f t="shared" si="378"/>
        <v/>
      </c>
      <c r="U3445" s="83" t="str">
        <f t="shared" si="373"/>
        <v/>
      </c>
      <c r="V3445" s="83" t="str">
        <f t="shared" si="374"/>
        <v/>
      </c>
      <c r="AA3445" s="60">
        <f t="shared" si="375"/>
        <v>0</v>
      </c>
      <c r="AB3445" s="49">
        <f t="shared" si="376"/>
        <v>0</v>
      </c>
      <c r="AC3445" s="60">
        <f t="shared" si="377"/>
        <v>0</v>
      </c>
    </row>
    <row r="3446" spans="1:29">
      <c r="A3446" s="83" t="str">
        <f t="shared" si="371"/>
        <v/>
      </c>
      <c r="B3446" s="83" t="str">
        <f t="shared" si="378"/>
        <v/>
      </c>
      <c r="U3446" s="83" t="str">
        <f t="shared" si="373"/>
        <v/>
      </c>
      <c r="V3446" s="83" t="str">
        <f t="shared" si="374"/>
        <v/>
      </c>
      <c r="AA3446" s="60">
        <f t="shared" si="375"/>
        <v>0</v>
      </c>
      <c r="AB3446" s="49">
        <f t="shared" si="376"/>
        <v>0</v>
      </c>
      <c r="AC3446" s="60">
        <f t="shared" si="377"/>
        <v>0</v>
      </c>
    </row>
    <row r="3447" spans="1:29">
      <c r="A3447" s="83" t="str">
        <f t="shared" si="371"/>
        <v/>
      </c>
      <c r="B3447" s="83" t="str">
        <f t="shared" si="378"/>
        <v/>
      </c>
      <c r="U3447" s="83" t="str">
        <f t="shared" si="373"/>
        <v/>
      </c>
      <c r="V3447" s="83" t="str">
        <f t="shared" si="374"/>
        <v/>
      </c>
      <c r="AA3447" s="60">
        <f t="shared" si="375"/>
        <v>0</v>
      </c>
      <c r="AB3447" s="49">
        <f t="shared" si="376"/>
        <v>0</v>
      </c>
      <c r="AC3447" s="60">
        <f t="shared" si="377"/>
        <v>0</v>
      </c>
    </row>
    <row r="3448" spans="1:29">
      <c r="A3448" s="83" t="str">
        <f t="shared" si="371"/>
        <v/>
      </c>
      <c r="B3448" s="83" t="str">
        <f t="shared" si="378"/>
        <v/>
      </c>
      <c r="U3448" s="83" t="str">
        <f t="shared" si="373"/>
        <v/>
      </c>
      <c r="V3448" s="83" t="str">
        <f t="shared" si="374"/>
        <v/>
      </c>
      <c r="AA3448" s="60">
        <f t="shared" si="375"/>
        <v>0</v>
      </c>
      <c r="AB3448" s="49">
        <f t="shared" si="376"/>
        <v>0</v>
      </c>
      <c r="AC3448" s="60">
        <f t="shared" si="377"/>
        <v>0</v>
      </c>
    </row>
    <row r="3449" spans="1:29">
      <c r="A3449" s="83" t="str">
        <f t="shared" si="371"/>
        <v/>
      </c>
      <c r="B3449" s="83" t="str">
        <f t="shared" si="378"/>
        <v/>
      </c>
      <c r="U3449" s="83" t="str">
        <f t="shared" si="373"/>
        <v/>
      </c>
      <c r="V3449" s="83" t="str">
        <f t="shared" si="374"/>
        <v/>
      </c>
      <c r="AA3449" s="60">
        <f t="shared" si="375"/>
        <v>0</v>
      </c>
      <c r="AB3449" s="49">
        <f t="shared" si="376"/>
        <v>0</v>
      </c>
      <c r="AC3449" s="60">
        <f t="shared" si="377"/>
        <v>0</v>
      </c>
    </row>
    <row r="3450" spans="1:29">
      <c r="A3450" s="83" t="str">
        <f t="shared" si="371"/>
        <v/>
      </c>
      <c r="B3450" s="83" t="str">
        <f t="shared" si="378"/>
        <v/>
      </c>
      <c r="U3450" s="83" t="str">
        <f t="shared" si="373"/>
        <v/>
      </c>
      <c r="V3450" s="83" t="str">
        <f t="shared" si="374"/>
        <v/>
      </c>
      <c r="AA3450" s="60">
        <f t="shared" si="375"/>
        <v>0</v>
      </c>
      <c r="AB3450" s="49">
        <f t="shared" si="376"/>
        <v>0</v>
      </c>
      <c r="AC3450" s="60">
        <f t="shared" si="377"/>
        <v>0</v>
      </c>
    </row>
    <row r="3451" spans="1:29">
      <c r="A3451" s="83" t="str">
        <f t="shared" si="371"/>
        <v/>
      </c>
      <c r="B3451" s="83" t="str">
        <f t="shared" si="378"/>
        <v/>
      </c>
      <c r="U3451" s="83" t="str">
        <f t="shared" si="373"/>
        <v/>
      </c>
      <c r="V3451" s="83" t="str">
        <f t="shared" si="374"/>
        <v/>
      </c>
      <c r="AA3451" s="60">
        <f t="shared" si="375"/>
        <v>0</v>
      </c>
      <c r="AB3451" s="49">
        <f t="shared" si="376"/>
        <v>0</v>
      </c>
      <c r="AC3451" s="60">
        <f t="shared" si="377"/>
        <v>0</v>
      </c>
    </row>
    <row r="3452" spans="1:29">
      <c r="A3452" s="83" t="str">
        <f t="shared" si="371"/>
        <v/>
      </c>
      <c r="B3452" s="83" t="str">
        <f t="shared" si="378"/>
        <v/>
      </c>
      <c r="U3452" s="83" t="str">
        <f t="shared" si="373"/>
        <v/>
      </c>
      <c r="V3452" s="83" t="str">
        <f t="shared" si="374"/>
        <v/>
      </c>
      <c r="AA3452" s="60">
        <f t="shared" si="375"/>
        <v>0</v>
      </c>
      <c r="AB3452" s="49">
        <f t="shared" si="376"/>
        <v>0</v>
      </c>
      <c r="AC3452" s="60">
        <f t="shared" si="377"/>
        <v>0</v>
      </c>
    </row>
    <row r="3453" spans="1:29">
      <c r="A3453" s="83" t="str">
        <f t="shared" si="371"/>
        <v/>
      </c>
      <c r="B3453" s="83" t="str">
        <f t="shared" si="378"/>
        <v/>
      </c>
      <c r="U3453" s="83" t="str">
        <f t="shared" si="373"/>
        <v/>
      </c>
      <c r="V3453" s="83" t="str">
        <f t="shared" si="374"/>
        <v/>
      </c>
      <c r="AA3453" s="60">
        <f t="shared" si="375"/>
        <v>0</v>
      </c>
      <c r="AB3453" s="49">
        <f t="shared" si="376"/>
        <v>0</v>
      </c>
      <c r="AC3453" s="60">
        <f t="shared" si="377"/>
        <v>0</v>
      </c>
    </row>
    <row r="3454" spans="1:29">
      <c r="A3454" s="83" t="str">
        <f t="shared" si="371"/>
        <v/>
      </c>
      <c r="B3454" s="83" t="str">
        <f t="shared" si="378"/>
        <v/>
      </c>
      <c r="U3454" s="83" t="str">
        <f t="shared" si="373"/>
        <v/>
      </c>
      <c r="V3454" s="83" t="str">
        <f t="shared" si="374"/>
        <v/>
      </c>
      <c r="AA3454" s="60">
        <f t="shared" si="375"/>
        <v>0</v>
      </c>
      <c r="AB3454" s="49">
        <f t="shared" si="376"/>
        <v>0</v>
      </c>
      <c r="AC3454" s="60">
        <f t="shared" si="377"/>
        <v>0</v>
      </c>
    </row>
    <row r="3455" spans="1:29">
      <c r="A3455" s="83" t="str">
        <f t="shared" si="371"/>
        <v/>
      </c>
      <c r="B3455" s="83" t="str">
        <f t="shared" si="378"/>
        <v/>
      </c>
      <c r="U3455" s="83" t="str">
        <f t="shared" si="373"/>
        <v/>
      </c>
      <c r="V3455" s="83" t="str">
        <f t="shared" si="374"/>
        <v/>
      </c>
      <c r="AA3455" s="60">
        <f t="shared" si="375"/>
        <v>0</v>
      </c>
      <c r="AB3455" s="49">
        <f t="shared" si="376"/>
        <v>0</v>
      </c>
      <c r="AC3455" s="60">
        <f t="shared" si="377"/>
        <v>0</v>
      </c>
    </row>
    <row r="3456" spans="1:29">
      <c r="A3456" s="83" t="str">
        <f t="shared" si="371"/>
        <v/>
      </c>
      <c r="B3456" s="83" t="str">
        <f t="shared" si="378"/>
        <v/>
      </c>
      <c r="U3456" s="83" t="str">
        <f t="shared" si="373"/>
        <v/>
      </c>
      <c r="V3456" s="83" t="str">
        <f t="shared" si="374"/>
        <v/>
      </c>
      <c r="AA3456" s="60">
        <f t="shared" si="375"/>
        <v>0</v>
      </c>
      <c r="AB3456" s="49">
        <f t="shared" si="376"/>
        <v>0</v>
      </c>
      <c r="AC3456" s="60">
        <f t="shared" si="377"/>
        <v>0</v>
      </c>
    </row>
    <row r="3457" spans="1:29">
      <c r="A3457" s="83" t="str">
        <f t="shared" si="371"/>
        <v/>
      </c>
      <c r="B3457" s="83" t="str">
        <f t="shared" si="378"/>
        <v/>
      </c>
      <c r="U3457" s="83" t="str">
        <f t="shared" si="373"/>
        <v/>
      </c>
      <c r="V3457" s="83" t="str">
        <f t="shared" si="374"/>
        <v/>
      </c>
      <c r="AA3457" s="60">
        <f t="shared" si="375"/>
        <v>0</v>
      </c>
      <c r="AB3457" s="49">
        <f t="shared" si="376"/>
        <v>0</v>
      </c>
      <c r="AC3457" s="60">
        <f t="shared" si="377"/>
        <v>0</v>
      </c>
    </row>
    <row r="3458" spans="1:29">
      <c r="A3458" s="83" t="str">
        <f t="shared" si="371"/>
        <v/>
      </c>
      <c r="B3458" s="83" t="str">
        <f t="shared" si="378"/>
        <v/>
      </c>
      <c r="U3458" s="83" t="str">
        <f t="shared" si="373"/>
        <v/>
      </c>
      <c r="V3458" s="83" t="str">
        <f t="shared" si="374"/>
        <v/>
      </c>
      <c r="AA3458" s="60">
        <f t="shared" si="375"/>
        <v>0</v>
      </c>
      <c r="AB3458" s="49">
        <f t="shared" si="376"/>
        <v>0</v>
      </c>
      <c r="AC3458" s="60">
        <f t="shared" si="377"/>
        <v>0</v>
      </c>
    </row>
    <row r="3459" spans="1:29">
      <c r="A3459" s="83" t="str">
        <f t="shared" ref="A3459:A3522" si="379">IF(G3459&amp;Q3459&lt;&gt;"",U3459&amp;Q3459,"")</f>
        <v/>
      </c>
      <c r="B3459" s="83" t="str">
        <f t="shared" si="378"/>
        <v/>
      </c>
      <c r="U3459" s="83" t="str">
        <f t="shared" ref="U3459:U3522" si="380">IF(G3459&lt;&gt;"",IF(StyleSpaceSplit,IFERROR(IF(FIND(" ",G3459)&gt;=1,MID(G3459,1,FIND(" ",G3459)-1),G3459),G3459),G3459),"")</f>
        <v/>
      </c>
      <c r="V3459" s="83" t="str">
        <f t="shared" ref="V3459:V3522" si="381">IF(A3459&lt;&gt;"",IFERROR(IF(FIND(" ",G3459)&gt;=1,MID(G3459,FIND(" ",G3459)+1,LEN(G3459)),""),G3459),"")</f>
        <v/>
      </c>
      <c r="AA3459" s="60">
        <f t="shared" ref="AA3459:AA3522" si="382">IFERROR(VALUE(MID($C3459,1,2)),0)</f>
        <v>0</v>
      </c>
      <c r="AB3459" s="49">
        <f t="shared" ref="AB3459:AB3522" si="383">IFERROR(VALUE(MID($C3459,4,3)),0)</f>
        <v>0</v>
      </c>
      <c r="AC3459" s="60">
        <f t="shared" ref="AC3459:AC3522" si="384">VALUE(RIGHT("00"&amp;AA3459,2)&amp;RIGHT("000"&amp;AB3459,3))</f>
        <v>0</v>
      </c>
    </row>
    <row r="3460" spans="1:29">
      <c r="A3460" s="83" t="str">
        <f t="shared" si="379"/>
        <v/>
      </c>
      <c r="B3460" s="83" t="str">
        <f t="shared" si="378"/>
        <v/>
      </c>
      <c r="U3460" s="83" t="str">
        <f t="shared" si="380"/>
        <v/>
      </c>
      <c r="V3460" s="83" t="str">
        <f t="shared" si="381"/>
        <v/>
      </c>
      <c r="AA3460" s="60">
        <f t="shared" si="382"/>
        <v>0</v>
      </c>
      <c r="AB3460" s="49">
        <f t="shared" si="383"/>
        <v>0</v>
      </c>
      <c r="AC3460" s="60">
        <f t="shared" si="384"/>
        <v>0</v>
      </c>
    </row>
    <row r="3461" spans="1:29">
      <c r="A3461" s="83" t="str">
        <f t="shared" si="379"/>
        <v/>
      </c>
      <c r="B3461" s="83" t="str">
        <f t="shared" si="378"/>
        <v/>
      </c>
      <c r="U3461" s="83" t="str">
        <f t="shared" si="380"/>
        <v/>
      </c>
      <c r="V3461" s="83" t="str">
        <f t="shared" si="381"/>
        <v/>
      </c>
      <c r="AA3461" s="60">
        <f t="shared" si="382"/>
        <v>0</v>
      </c>
      <c r="AB3461" s="49">
        <f t="shared" si="383"/>
        <v>0</v>
      </c>
      <c r="AC3461" s="60">
        <f t="shared" si="384"/>
        <v>0</v>
      </c>
    </row>
    <row r="3462" spans="1:29">
      <c r="A3462" s="83" t="str">
        <f t="shared" si="379"/>
        <v/>
      </c>
      <c r="B3462" s="83" t="str">
        <f t="shared" si="378"/>
        <v/>
      </c>
      <c r="U3462" s="83" t="str">
        <f t="shared" si="380"/>
        <v/>
      </c>
      <c r="V3462" s="83" t="str">
        <f t="shared" si="381"/>
        <v/>
      </c>
      <c r="AA3462" s="60">
        <f t="shared" si="382"/>
        <v>0</v>
      </c>
      <c r="AB3462" s="49">
        <f t="shared" si="383"/>
        <v>0</v>
      </c>
      <c r="AC3462" s="60">
        <f t="shared" si="384"/>
        <v>0</v>
      </c>
    </row>
    <row r="3463" spans="1:29">
      <c r="A3463" s="83" t="str">
        <f t="shared" si="379"/>
        <v/>
      </c>
      <c r="B3463" s="83" t="str">
        <f t="shared" si="378"/>
        <v/>
      </c>
      <c r="U3463" s="83" t="str">
        <f t="shared" si="380"/>
        <v/>
      </c>
      <c r="V3463" s="83" t="str">
        <f t="shared" si="381"/>
        <v/>
      </c>
      <c r="AA3463" s="60">
        <f t="shared" si="382"/>
        <v>0</v>
      </c>
      <c r="AB3463" s="49">
        <f t="shared" si="383"/>
        <v>0</v>
      </c>
      <c r="AC3463" s="60">
        <f t="shared" si="384"/>
        <v>0</v>
      </c>
    </row>
    <row r="3464" spans="1:29">
      <c r="A3464" s="83" t="str">
        <f t="shared" si="379"/>
        <v/>
      </c>
      <c r="B3464" s="83" t="str">
        <f t="shared" si="378"/>
        <v/>
      </c>
      <c r="U3464" s="83" t="str">
        <f t="shared" si="380"/>
        <v/>
      </c>
      <c r="V3464" s="83" t="str">
        <f t="shared" si="381"/>
        <v/>
      </c>
      <c r="AA3464" s="60">
        <f t="shared" si="382"/>
        <v>0</v>
      </c>
      <c r="AB3464" s="49">
        <f t="shared" si="383"/>
        <v>0</v>
      </c>
      <c r="AC3464" s="60">
        <f t="shared" si="384"/>
        <v>0</v>
      </c>
    </row>
    <row r="3465" spans="1:29">
      <c r="A3465" s="83" t="str">
        <f t="shared" si="379"/>
        <v/>
      </c>
      <c r="B3465" s="83" t="str">
        <f t="shared" si="378"/>
        <v/>
      </c>
      <c r="U3465" s="83" t="str">
        <f t="shared" si="380"/>
        <v/>
      </c>
      <c r="V3465" s="83" t="str">
        <f t="shared" si="381"/>
        <v/>
      </c>
      <c r="AA3465" s="60">
        <f t="shared" si="382"/>
        <v>0</v>
      </c>
      <c r="AB3465" s="49">
        <f t="shared" si="383"/>
        <v>0</v>
      </c>
      <c r="AC3465" s="60">
        <f t="shared" si="384"/>
        <v>0</v>
      </c>
    </row>
    <row r="3466" spans="1:29">
      <c r="A3466" s="83" t="str">
        <f t="shared" si="379"/>
        <v/>
      </c>
      <c r="B3466" s="83" t="str">
        <f t="shared" si="378"/>
        <v/>
      </c>
      <c r="U3466" s="83" t="str">
        <f t="shared" si="380"/>
        <v/>
      </c>
      <c r="V3466" s="83" t="str">
        <f t="shared" si="381"/>
        <v/>
      </c>
      <c r="AA3466" s="60">
        <f t="shared" si="382"/>
        <v>0</v>
      </c>
      <c r="AB3466" s="49">
        <f t="shared" si="383"/>
        <v>0</v>
      </c>
      <c r="AC3466" s="60">
        <f t="shared" si="384"/>
        <v>0</v>
      </c>
    </row>
    <row r="3467" spans="1:29">
      <c r="A3467" s="83" t="str">
        <f t="shared" si="379"/>
        <v/>
      </c>
      <c r="B3467" s="83" t="str">
        <f t="shared" si="378"/>
        <v/>
      </c>
      <c r="U3467" s="83" t="str">
        <f t="shared" si="380"/>
        <v/>
      </c>
      <c r="V3467" s="83" t="str">
        <f t="shared" si="381"/>
        <v/>
      </c>
      <c r="AA3467" s="60">
        <f t="shared" si="382"/>
        <v>0</v>
      </c>
      <c r="AB3467" s="49">
        <f t="shared" si="383"/>
        <v>0</v>
      </c>
      <c r="AC3467" s="60">
        <f t="shared" si="384"/>
        <v>0</v>
      </c>
    </row>
    <row r="3468" spans="1:29">
      <c r="A3468" s="83" t="str">
        <f t="shared" si="379"/>
        <v/>
      </c>
      <c r="B3468" s="83" t="str">
        <f t="shared" si="378"/>
        <v/>
      </c>
      <c r="U3468" s="83" t="str">
        <f t="shared" si="380"/>
        <v/>
      </c>
      <c r="V3468" s="83" t="str">
        <f t="shared" si="381"/>
        <v/>
      </c>
      <c r="AA3468" s="60">
        <f t="shared" si="382"/>
        <v>0</v>
      </c>
      <c r="AB3468" s="49">
        <f t="shared" si="383"/>
        <v>0</v>
      </c>
      <c r="AC3468" s="60">
        <f t="shared" si="384"/>
        <v>0</v>
      </c>
    </row>
    <row r="3469" spans="1:29">
      <c r="A3469" s="83" t="str">
        <f t="shared" si="379"/>
        <v/>
      </c>
      <c r="B3469" s="83" t="str">
        <f t="shared" si="378"/>
        <v/>
      </c>
      <c r="U3469" s="83" t="str">
        <f t="shared" si="380"/>
        <v/>
      </c>
      <c r="V3469" s="83" t="str">
        <f t="shared" si="381"/>
        <v/>
      </c>
      <c r="AA3469" s="60">
        <f t="shared" si="382"/>
        <v>0</v>
      </c>
      <c r="AB3469" s="49">
        <f t="shared" si="383"/>
        <v>0</v>
      </c>
      <c r="AC3469" s="60">
        <f t="shared" si="384"/>
        <v>0</v>
      </c>
    </row>
    <row r="3470" spans="1:29">
      <c r="A3470" s="83" t="str">
        <f t="shared" si="379"/>
        <v/>
      </c>
      <c r="B3470" s="83" t="str">
        <f t="shared" si="378"/>
        <v/>
      </c>
      <c r="U3470" s="83" t="str">
        <f t="shared" si="380"/>
        <v/>
      </c>
      <c r="V3470" s="83" t="str">
        <f t="shared" si="381"/>
        <v/>
      </c>
      <c r="AA3470" s="60">
        <f t="shared" si="382"/>
        <v>0</v>
      </c>
      <c r="AB3470" s="49">
        <f t="shared" si="383"/>
        <v>0</v>
      </c>
      <c r="AC3470" s="60">
        <f t="shared" si="384"/>
        <v>0</v>
      </c>
    </row>
    <row r="3471" spans="1:29">
      <c r="A3471" s="83" t="str">
        <f t="shared" si="379"/>
        <v/>
      </c>
      <c r="B3471" s="83" t="str">
        <f t="shared" si="378"/>
        <v/>
      </c>
      <c r="U3471" s="83" t="str">
        <f t="shared" si="380"/>
        <v/>
      </c>
      <c r="V3471" s="83" t="str">
        <f t="shared" si="381"/>
        <v/>
      </c>
      <c r="AA3471" s="60">
        <f t="shared" si="382"/>
        <v>0</v>
      </c>
      <c r="AB3471" s="49">
        <f t="shared" si="383"/>
        <v>0</v>
      </c>
      <c r="AC3471" s="60">
        <f t="shared" si="384"/>
        <v>0</v>
      </c>
    </row>
    <row r="3472" spans="1:29">
      <c r="A3472" s="83" t="str">
        <f t="shared" si="379"/>
        <v/>
      </c>
      <c r="B3472" s="83" t="str">
        <f t="shared" si="378"/>
        <v/>
      </c>
      <c r="U3472" s="83" t="str">
        <f t="shared" si="380"/>
        <v/>
      </c>
      <c r="V3472" s="83" t="str">
        <f t="shared" si="381"/>
        <v/>
      </c>
      <c r="AA3472" s="60">
        <f t="shared" si="382"/>
        <v>0</v>
      </c>
      <c r="AB3472" s="49">
        <f t="shared" si="383"/>
        <v>0</v>
      </c>
      <c r="AC3472" s="60">
        <f t="shared" si="384"/>
        <v>0</v>
      </c>
    </row>
    <row r="3473" spans="1:29">
      <c r="A3473" s="83" t="str">
        <f t="shared" si="379"/>
        <v/>
      </c>
      <c r="B3473" s="83" t="str">
        <f t="shared" si="378"/>
        <v/>
      </c>
      <c r="U3473" s="83" t="str">
        <f t="shared" si="380"/>
        <v/>
      </c>
      <c r="V3473" s="83" t="str">
        <f t="shared" si="381"/>
        <v/>
      </c>
      <c r="AA3473" s="60">
        <f t="shared" si="382"/>
        <v>0</v>
      </c>
      <c r="AB3473" s="49">
        <f t="shared" si="383"/>
        <v>0</v>
      </c>
      <c r="AC3473" s="60">
        <f t="shared" si="384"/>
        <v>0</v>
      </c>
    </row>
    <row r="3474" spans="1:29">
      <c r="A3474" s="83" t="str">
        <f t="shared" si="379"/>
        <v/>
      </c>
      <c r="B3474" s="83" t="str">
        <f t="shared" si="378"/>
        <v/>
      </c>
      <c r="U3474" s="83" t="str">
        <f t="shared" si="380"/>
        <v/>
      </c>
      <c r="V3474" s="83" t="str">
        <f t="shared" si="381"/>
        <v/>
      </c>
      <c r="AA3474" s="60">
        <f t="shared" si="382"/>
        <v>0</v>
      </c>
      <c r="AB3474" s="49">
        <f t="shared" si="383"/>
        <v>0</v>
      </c>
      <c r="AC3474" s="60">
        <f t="shared" si="384"/>
        <v>0</v>
      </c>
    </row>
    <row r="3475" spans="1:29">
      <c r="A3475" s="83" t="str">
        <f t="shared" si="379"/>
        <v/>
      </c>
      <c r="B3475" s="83" t="str">
        <f t="shared" si="378"/>
        <v/>
      </c>
      <c r="U3475" s="83" t="str">
        <f t="shared" si="380"/>
        <v/>
      </c>
      <c r="V3475" s="83" t="str">
        <f t="shared" si="381"/>
        <v/>
      </c>
      <c r="AA3475" s="60">
        <f t="shared" si="382"/>
        <v>0</v>
      </c>
      <c r="AB3475" s="49">
        <f t="shared" si="383"/>
        <v>0</v>
      </c>
      <c r="AC3475" s="60">
        <f t="shared" si="384"/>
        <v>0</v>
      </c>
    </row>
    <row r="3476" spans="1:29">
      <c r="A3476" s="83" t="str">
        <f t="shared" si="379"/>
        <v/>
      </c>
      <c r="B3476" s="83" t="str">
        <f t="shared" si="378"/>
        <v/>
      </c>
      <c r="U3476" s="83" t="str">
        <f t="shared" si="380"/>
        <v/>
      </c>
      <c r="V3476" s="83" t="str">
        <f t="shared" si="381"/>
        <v/>
      </c>
      <c r="AA3476" s="60">
        <f t="shared" si="382"/>
        <v>0</v>
      </c>
      <c r="AB3476" s="49">
        <f t="shared" si="383"/>
        <v>0</v>
      </c>
      <c r="AC3476" s="60">
        <f t="shared" si="384"/>
        <v>0</v>
      </c>
    </row>
    <row r="3477" spans="1:29">
      <c r="A3477" s="83" t="str">
        <f t="shared" si="379"/>
        <v/>
      </c>
      <c r="B3477" s="83" t="str">
        <f t="shared" si="378"/>
        <v/>
      </c>
      <c r="U3477" s="83" t="str">
        <f t="shared" si="380"/>
        <v/>
      </c>
      <c r="V3477" s="83" t="str">
        <f t="shared" si="381"/>
        <v/>
      </c>
      <c r="AA3477" s="60">
        <f t="shared" si="382"/>
        <v>0</v>
      </c>
      <c r="AB3477" s="49">
        <f t="shared" si="383"/>
        <v>0</v>
      </c>
      <c r="AC3477" s="60">
        <f t="shared" si="384"/>
        <v>0</v>
      </c>
    </row>
    <row r="3478" spans="1:29">
      <c r="A3478" s="83" t="str">
        <f t="shared" si="379"/>
        <v/>
      </c>
      <c r="B3478" s="83" t="str">
        <f t="shared" si="378"/>
        <v/>
      </c>
      <c r="U3478" s="83" t="str">
        <f t="shared" si="380"/>
        <v/>
      </c>
      <c r="V3478" s="83" t="str">
        <f t="shared" si="381"/>
        <v/>
      </c>
      <c r="AA3478" s="60">
        <f t="shared" si="382"/>
        <v>0</v>
      </c>
      <c r="AB3478" s="49">
        <f t="shared" si="383"/>
        <v>0</v>
      </c>
      <c r="AC3478" s="60">
        <f t="shared" si="384"/>
        <v>0</v>
      </c>
    </row>
    <row r="3479" spans="1:29">
      <c r="A3479" s="83" t="str">
        <f t="shared" si="379"/>
        <v/>
      </c>
      <c r="B3479" s="83" t="str">
        <f t="shared" si="378"/>
        <v/>
      </c>
      <c r="U3479" s="83" t="str">
        <f t="shared" si="380"/>
        <v/>
      </c>
      <c r="V3479" s="83" t="str">
        <f t="shared" si="381"/>
        <v/>
      </c>
      <c r="AA3479" s="60">
        <f t="shared" si="382"/>
        <v>0</v>
      </c>
      <c r="AB3479" s="49">
        <f t="shared" si="383"/>
        <v>0</v>
      </c>
      <c r="AC3479" s="60">
        <f t="shared" si="384"/>
        <v>0</v>
      </c>
    </row>
    <row r="3480" spans="1:29">
      <c r="A3480" s="83" t="str">
        <f t="shared" si="379"/>
        <v/>
      </c>
      <c r="B3480" s="83" t="str">
        <f t="shared" si="378"/>
        <v/>
      </c>
      <c r="U3480" s="83" t="str">
        <f t="shared" si="380"/>
        <v/>
      </c>
      <c r="V3480" s="83" t="str">
        <f t="shared" si="381"/>
        <v/>
      </c>
      <c r="AA3480" s="60">
        <f t="shared" si="382"/>
        <v>0</v>
      </c>
      <c r="AB3480" s="49">
        <f t="shared" si="383"/>
        <v>0</v>
      </c>
      <c r="AC3480" s="60">
        <f t="shared" si="384"/>
        <v>0</v>
      </c>
    </row>
    <row r="3481" spans="1:29">
      <c r="A3481" s="83" t="str">
        <f t="shared" si="379"/>
        <v/>
      </c>
      <c r="B3481" s="83" t="str">
        <f t="shared" si="378"/>
        <v/>
      </c>
      <c r="U3481" s="83" t="str">
        <f t="shared" si="380"/>
        <v/>
      </c>
      <c r="V3481" s="83" t="str">
        <f t="shared" si="381"/>
        <v/>
      </c>
      <c r="AA3481" s="60">
        <f t="shared" si="382"/>
        <v>0</v>
      </c>
      <c r="AB3481" s="49">
        <f t="shared" si="383"/>
        <v>0</v>
      </c>
      <c r="AC3481" s="60">
        <f t="shared" si="384"/>
        <v>0</v>
      </c>
    </row>
    <row r="3482" spans="1:29">
      <c r="A3482" s="83" t="str">
        <f t="shared" si="379"/>
        <v/>
      </c>
      <c r="B3482" s="83" t="str">
        <f t="shared" si="378"/>
        <v/>
      </c>
      <c r="U3482" s="83" t="str">
        <f t="shared" si="380"/>
        <v/>
      </c>
      <c r="V3482" s="83" t="str">
        <f t="shared" si="381"/>
        <v/>
      </c>
      <c r="AA3482" s="60">
        <f t="shared" si="382"/>
        <v>0</v>
      </c>
      <c r="AB3482" s="49">
        <f t="shared" si="383"/>
        <v>0</v>
      </c>
      <c r="AC3482" s="60">
        <f t="shared" si="384"/>
        <v>0</v>
      </c>
    </row>
    <row r="3483" spans="1:29">
      <c r="A3483" s="83" t="str">
        <f t="shared" si="379"/>
        <v/>
      </c>
      <c r="B3483" s="83" t="str">
        <f t="shared" si="378"/>
        <v/>
      </c>
      <c r="U3483" s="83" t="str">
        <f t="shared" si="380"/>
        <v/>
      </c>
      <c r="V3483" s="83" t="str">
        <f t="shared" si="381"/>
        <v/>
      </c>
      <c r="AA3483" s="60">
        <f t="shared" si="382"/>
        <v>0</v>
      </c>
      <c r="AB3483" s="49">
        <f t="shared" si="383"/>
        <v>0</v>
      </c>
      <c r="AC3483" s="60">
        <f t="shared" si="384"/>
        <v>0</v>
      </c>
    </row>
    <row r="3484" spans="1:29">
      <c r="A3484" s="83" t="str">
        <f t="shared" si="379"/>
        <v/>
      </c>
      <c r="B3484" s="83" t="str">
        <f t="shared" si="378"/>
        <v/>
      </c>
      <c r="U3484" s="83" t="str">
        <f t="shared" si="380"/>
        <v/>
      </c>
      <c r="V3484" s="83" t="str">
        <f t="shared" si="381"/>
        <v/>
      </c>
      <c r="AA3484" s="60">
        <f t="shared" si="382"/>
        <v>0</v>
      </c>
      <c r="AB3484" s="49">
        <f t="shared" si="383"/>
        <v>0</v>
      </c>
      <c r="AC3484" s="60">
        <f t="shared" si="384"/>
        <v>0</v>
      </c>
    </row>
    <row r="3485" spans="1:29">
      <c r="A3485" s="83" t="str">
        <f t="shared" si="379"/>
        <v/>
      </c>
      <c r="B3485" s="83" t="str">
        <f t="shared" si="378"/>
        <v/>
      </c>
      <c r="U3485" s="83" t="str">
        <f t="shared" si="380"/>
        <v/>
      </c>
      <c r="V3485" s="83" t="str">
        <f t="shared" si="381"/>
        <v/>
      </c>
      <c r="AA3485" s="60">
        <f t="shared" si="382"/>
        <v>0</v>
      </c>
      <c r="AB3485" s="49">
        <f t="shared" si="383"/>
        <v>0</v>
      </c>
      <c r="AC3485" s="60">
        <f t="shared" si="384"/>
        <v>0</v>
      </c>
    </row>
    <row r="3486" spans="1:29">
      <c r="A3486" s="83" t="str">
        <f t="shared" si="379"/>
        <v/>
      </c>
      <c r="B3486" s="83" t="str">
        <f t="shared" si="378"/>
        <v/>
      </c>
      <c r="U3486" s="83" t="str">
        <f t="shared" si="380"/>
        <v/>
      </c>
      <c r="V3486" s="83" t="str">
        <f t="shared" si="381"/>
        <v/>
      </c>
      <c r="AA3486" s="60">
        <f t="shared" si="382"/>
        <v>0</v>
      </c>
      <c r="AB3486" s="49">
        <f t="shared" si="383"/>
        <v>0</v>
      </c>
      <c r="AC3486" s="60">
        <f t="shared" si="384"/>
        <v>0</v>
      </c>
    </row>
    <row r="3487" spans="1:29">
      <c r="A3487" s="83" t="str">
        <f t="shared" si="379"/>
        <v/>
      </c>
      <c r="B3487" s="83" t="str">
        <f t="shared" si="378"/>
        <v/>
      </c>
      <c r="U3487" s="83" t="str">
        <f t="shared" si="380"/>
        <v/>
      </c>
      <c r="V3487" s="83" t="str">
        <f t="shared" si="381"/>
        <v/>
      </c>
      <c r="AA3487" s="60">
        <f t="shared" si="382"/>
        <v>0</v>
      </c>
      <c r="AB3487" s="49">
        <f t="shared" si="383"/>
        <v>0</v>
      </c>
      <c r="AC3487" s="60">
        <f t="shared" si="384"/>
        <v>0</v>
      </c>
    </row>
    <row r="3488" spans="1:29">
      <c r="A3488" s="83" t="str">
        <f t="shared" si="379"/>
        <v/>
      </c>
      <c r="B3488" s="83" t="str">
        <f t="shared" si="378"/>
        <v/>
      </c>
      <c r="U3488" s="83" t="str">
        <f t="shared" si="380"/>
        <v/>
      </c>
      <c r="V3488" s="83" t="str">
        <f t="shared" si="381"/>
        <v/>
      </c>
      <c r="AA3488" s="60">
        <f t="shared" si="382"/>
        <v>0</v>
      </c>
      <c r="AB3488" s="49">
        <f t="shared" si="383"/>
        <v>0</v>
      </c>
      <c r="AC3488" s="60">
        <f t="shared" si="384"/>
        <v>0</v>
      </c>
    </row>
    <row r="3489" spans="1:29">
      <c r="A3489" s="83" t="str">
        <f t="shared" si="379"/>
        <v/>
      </c>
      <c r="B3489" s="83" t="str">
        <f t="shared" ref="B3489:B3552" si="385">IF(C3489&lt;&gt;"",LEFT(C3489,9),"")</f>
        <v/>
      </c>
      <c r="U3489" s="83" t="str">
        <f t="shared" si="380"/>
        <v/>
      </c>
      <c r="V3489" s="83" t="str">
        <f t="shared" si="381"/>
        <v/>
      </c>
      <c r="AA3489" s="60">
        <f t="shared" si="382"/>
        <v>0</v>
      </c>
      <c r="AB3489" s="49">
        <f t="shared" si="383"/>
        <v>0</v>
      </c>
      <c r="AC3489" s="60">
        <f t="shared" si="384"/>
        <v>0</v>
      </c>
    </row>
    <row r="3490" spans="1:29">
      <c r="A3490" s="83" t="str">
        <f t="shared" si="379"/>
        <v/>
      </c>
      <c r="B3490" s="83" t="str">
        <f t="shared" si="385"/>
        <v/>
      </c>
      <c r="U3490" s="83" t="str">
        <f t="shared" si="380"/>
        <v/>
      </c>
      <c r="V3490" s="83" t="str">
        <f t="shared" si="381"/>
        <v/>
      </c>
      <c r="AA3490" s="60">
        <f t="shared" si="382"/>
        <v>0</v>
      </c>
      <c r="AB3490" s="49">
        <f t="shared" si="383"/>
        <v>0</v>
      </c>
      <c r="AC3490" s="60">
        <f t="shared" si="384"/>
        <v>0</v>
      </c>
    </row>
    <row r="3491" spans="1:29">
      <c r="A3491" s="83" t="str">
        <f t="shared" si="379"/>
        <v/>
      </c>
      <c r="B3491" s="83" t="str">
        <f t="shared" si="385"/>
        <v/>
      </c>
      <c r="U3491" s="83" t="str">
        <f t="shared" si="380"/>
        <v/>
      </c>
      <c r="V3491" s="83" t="str">
        <f t="shared" si="381"/>
        <v/>
      </c>
      <c r="AA3491" s="60">
        <f t="shared" si="382"/>
        <v>0</v>
      </c>
      <c r="AB3491" s="49">
        <f t="shared" si="383"/>
        <v>0</v>
      </c>
      <c r="AC3491" s="60">
        <f t="shared" si="384"/>
        <v>0</v>
      </c>
    </row>
    <row r="3492" spans="1:29">
      <c r="A3492" s="83" t="str">
        <f t="shared" si="379"/>
        <v/>
      </c>
      <c r="B3492" s="83" t="str">
        <f t="shared" si="385"/>
        <v/>
      </c>
      <c r="U3492" s="83" t="str">
        <f t="shared" si="380"/>
        <v/>
      </c>
      <c r="V3492" s="83" t="str">
        <f t="shared" si="381"/>
        <v/>
      </c>
      <c r="AA3492" s="60">
        <f t="shared" si="382"/>
        <v>0</v>
      </c>
      <c r="AB3492" s="49">
        <f t="shared" si="383"/>
        <v>0</v>
      </c>
      <c r="AC3492" s="60">
        <f t="shared" si="384"/>
        <v>0</v>
      </c>
    </row>
    <row r="3493" spans="1:29">
      <c r="A3493" s="83" t="str">
        <f t="shared" si="379"/>
        <v/>
      </c>
      <c r="B3493" s="83" t="str">
        <f t="shared" si="385"/>
        <v/>
      </c>
      <c r="U3493" s="83" t="str">
        <f t="shared" si="380"/>
        <v/>
      </c>
      <c r="V3493" s="83" t="str">
        <f t="shared" si="381"/>
        <v/>
      </c>
      <c r="AA3493" s="60">
        <f t="shared" si="382"/>
        <v>0</v>
      </c>
      <c r="AB3493" s="49">
        <f t="shared" si="383"/>
        <v>0</v>
      </c>
      <c r="AC3493" s="60">
        <f t="shared" si="384"/>
        <v>0</v>
      </c>
    </row>
    <row r="3494" spans="1:29">
      <c r="A3494" s="83" t="str">
        <f t="shared" si="379"/>
        <v/>
      </c>
      <c r="B3494" s="83" t="str">
        <f t="shared" si="385"/>
        <v/>
      </c>
      <c r="U3494" s="83" t="str">
        <f t="shared" si="380"/>
        <v/>
      </c>
      <c r="V3494" s="83" t="str">
        <f t="shared" si="381"/>
        <v/>
      </c>
      <c r="AA3494" s="60">
        <f t="shared" si="382"/>
        <v>0</v>
      </c>
      <c r="AB3494" s="49">
        <f t="shared" si="383"/>
        <v>0</v>
      </c>
      <c r="AC3494" s="60">
        <f t="shared" si="384"/>
        <v>0</v>
      </c>
    </row>
    <row r="3495" spans="1:29">
      <c r="A3495" s="83" t="str">
        <f t="shared" si="379"/>
        <v/>
      </c>
      <c r="B3495" s="83" t="str">
        <f t="shared" si="385"/>
        <v/>
      </c>
      <c r="U3495" s="83" t="str">
        <f t="shared" si="380"/>
        <v/>
      </c>
      <c r="V3495" s="83" t="str">
        <f t="shared" si="381"/>
        <v/>
      </c>
      <c r="AA3495" s="60">
        <f t="shared" si="382"/>
        <v>0</v>
      </c>
      <c r="AB3495" s="49">
        <f t="shared" si="383"/>
        <v>0</v>
      </c>
      <c r="AC3495" s="60">
        <f t="shared" si="384"/>
        <v>0</v>
      </c>
    </row>
    <row r="3496" spans="1:29">
      <c r="A3496" s="83" t="str">
        <f t="shared" si="379"/>
        <v/>
      </c>
      <c r="B3496" s="83" t="str">
        <f t="shared" si="385"/>
        <v/>
      </c>
      <c r="U3496" s="83" t="str">
        <f t="shared" si="380"/>
        <v/>
      </c>
      <c r="V3496" s="83" t="str">
        <f t="shared" si="381"/>
        <v/>
      </c>
      <c r="AA3496" s="60">
        <f t="shared" si="382"/>
        <v>0</v>
      </c>
      <c r="AB3496" s="49">
        <f t="shared" si="383"/>
        <v>0</v>
      </c>
      <c r="AC3496" s="60">
        <f t="shared" si="384"/>
        <v>0</v>
      </c>
    </row>
    <row r="3497" spans="1:29">
      <c r="A3497" s="83" t="str">
        <f t="shared" si="379"/>
        <v/>
      </c>
      <c r="B3497" s="83" t="str">
        <f t="shared" si="385"/>
        <v/>
      </c>
      <c r="U3497" s="83" t="str">
        <f t="shared" si="380"/>
        <v/>
      </c>
      <c r="V3497" s="83" t="str">
        <f t="shared" si="381"/>
        <v/>
      </c>
      <c r="AA3497" s="60">
        <f t="shared" si="382"/>
        <v>0</v>
      </c>
      <c r="AB3497" s="49">
        <f t="shared" si="383"/>
        <v>0</v>
      </c>
      <c r="AC3497" s="60">
        <f t="shared" si="384"/>
        <v>0</v>
      </c>
    </row>
    <row r="3498" spans="1:29">
      <c r="A3498" s="83" t="str">
        <f t="shared" si="379"/>
        <v/>
      </c>
      <c r="B3498" s="83" t="str">
        <f t="shared" si="385"/>
        <v/>
      </c>
      <c r="U3498" s="83" t="str">
        <f t="shared" si="380"/>
        <v/>
      </c>
      <c r="V3498" s="83" t="str">
        <f t="shared" si="381"/>
        <v/>
      </c>
      <c r="AA3498" s="60">
        <f t="shared" si="382"/>
        <v>0</v>
      </c>
      <c r="AB3498" s="49">
        <f t="shared" si="383"/>
        <v>0</v>
      </c>
      <c r="AC3498" s="60">
        <f t="shared" si="384"/>
        <v>0</v>
      </c>
    </row>
    <row r="3499" spans="1:29">
      <c r="A3499" s="83" t="str">
        <f t="shared" si="379"/>
        <v/>
      </c>
      <c r="B3499" s="83" t="str">
        <f t="shared" si="385"/>
        <v/>
      </c>
      <c r="U3499" s="83" t="str">
        <f t="shared" si="380"/>
        <v/>
      </c>
      <c r="V3499" s="83" t="str">
        <f t="shared" si="381"/>
        <v/>
      </c>
      <c r="AA3499" s="60">
        <f t="shared" si="382"/>
        <v>0</v>
      </c>
      <c r="AB3499" s="49">
        <f t="shared" si="383"/>
        <v>0</v>
      </c>
      <c r="AC3499" s="60">
        <f t="shared" si="384"/>
        <v>0</v>
      </c>
    </row>
    <row r="3500" spans="1:29">
      <c r="A3500" s="83" t="str">
        <f t="shared" si="379"/>
        <v/>
      </c>
      <c r="B3500" s="83" t="str">
        <f t="shared" si="385"/>
        <v/>
      </c>
      <c r="U3500" s="83" t="str">
        <f t="shared" si="380"/>
        <v/>
      </c>
      <c r="V3500" s="83" t="str">
        <f t="shared" si="381"/>
        <v/>
      </c>
      <c r="AA3500" s="60">
        <f t="shared" si="382"/>
        <v>0</v>
      </c>
      <c r="AB3500" s="49">
        <f t="shared" si="383"/>
        <v>0</v>
      </c>
      <c r="AC3500" s="60">
        <f t="shared" si="384"/>
        <v>0</v>
      </c>
    </row>
    <row r="3501" spans="1:29">
      <c r="A3501" s="83" t="str">
        <f t="shared" si="379"/>
        <v/>
      </c>
      <c r="B3501" s="83" t="str">
        <f t="shared" si="385"/>
        <v/>
      </c>
      <c r="U3501" s="83" t="str">
        <f t="shared" si="380"/>
        <v/>
      </c>
      <c r="V3501" s="83" t="str">
        <f t="shared" si="381"/>
        <v/>
      </c>
      <c r="AA3501" s="60">
        <f t="shared" si="382"/>
        <v>0</v>
      </c>
      <c r="AB3501" s="49">
        <f t="shared" si="383"/>
        <v>0</v>
      </c>
      <c r="AC3501" s="60">
        <f t="shared" si="384"/>
        <v>0</v>
      </c>
    </row>
    <row r="3502" spans="1:29">
      <c r="A3502" s="83" t="str">
        <f t="shared" si="379"/>
        <v/>
      </c>
      <c r="B3502" s="83" t="str">
        <f t="shared" si="385"/>
        <v/>
      </c>
      <c r="U3502" s="83" t="str">
        <f t="shared" si="380"/>
        <v/>
      </c>
      <c r="V3502" s="83" t="str">
        <f t="shared" si="381"/>
        <v/>
      </c>
      <c r="AA3502" s="60">
        <f t="shared" si="382"/>
        <v>0</v>
      </c>
      <c r="AB3502" s="49">
        <f t="shared" si="383"/>
        <v>0</v>
      </c>
      <c r="AC3502" s="60">
        <f t="shared" si="384"/>
        <v>0</v>
      </c>
    </row>
    <row r="3503" spans="1:29">
      <c r="A3503" s="83" t="str">
        <f t="shared" si="379"/>
        <v/>
      </c>
      <c r="B3503" s="83" t="str">
        <f t="shared" si="385"/>
        <v/>
      </c>
      <c r="U3503" s="83" t="str">
        <f t="shared" si="380"/>
        <v/>
      </c>
      <c r="V3503" s="83" t="str">
        <f t="shared" si="381"/>
        <v/>
      </c>
      <c r="AA3503" s="60">
        <f t="shared" si="382"/>
        <v>0</v>
      </c>
      <c r="AB3503" s="49">
        <f t="shared" si="383"/>
        <v>0</v>
      </c>
      <c r="AC3503" s="60">
        <f t="shared" si="384"/>
        <v>0</v>
      </c>
    </row>
    <row r="3504" spans="1:29">
      <c r="A3504" s="83" t="str">
        <f t="shared" si="379"/>
        <v/>
      </c>
      <c r="B3504" s="83" t="str">
        <f t="shared" si="385"/>
        <v/>
      </c>
      <c r="U3504" s="83" t="str">
        <f t="shared" si="380"/>
        <v/>
      </c>
      <c r="V3504" s="83" t="str">
        <f t="shared" si="381"/>
        <v/>
      </c>
      <c r="AA3504" s="60">
        <f t="shared" si="382"/>
        <v>0</v>
      </c>
      <c r="AB3504" s="49">
        <f t="shared" si="383"/>
        <v>0</v>
      </c>
      <c r="AC3504" s="60">
        <f t="shared" si="384"/>
        <v>0</v>
      </c>
    </row>
    <row r="3505" spans="1:29">
      <c r="A3505" s="83" t="str">
        <f t="shared" si="379"/>
        <v/>
      </c>
      <c r="B3505" s="83" t="str">
        <f t="shared" si="385"/>
        <v/>
      </c>
      <c r="U3505" s="83" t="str">
        <f t="shared" si="380"/>
        <v/>
      </c>
      <c r="V3505" s="83" t="str">
        <f t="shared" si="381"/>
        <v/>
      </c>
      <c r="AA3505" s="60">
        <f t="shared" si="382"/>
        <v>0</v>
      </c>
      <c r="AB3505" s="49">
        <f t="shared" si="383"/>
        <v>0</v>
      </c>
      <c r="AC3505" s="60">
        <f t="shared" si="384"/>
        <v>0</v>
      </c>
    </row>
    <row r="3506" spans="1:29">
      <c r="A3506" s="83" t="str">
        <f t="shared" si="379"/>
        <v/>
      </c>
      <c r="B3506" s="83" t="str">
        <f t="shared" si="385"/>
        <v/>
      </c>
      <c r="U3506" s="83" t="str">
        <f t="shared" si="380"/>
        <v/>
      </c>
      <c r="V3506" s="83" t="str">
        <f t="shared" si="381"/>
        <v/>
      </c>
      <c r="AA3506" s="60">
        <f t="shared" si="382"/>
        <v>0</v>
      </c>
      <c r="AB3506" s="49">
        <f t="shared" si="383"/>
        <v>0</v>
      </c>
      <c r="AC3506" s="60">
        <f t="shared" si="384"/>
        <v>0</v>
      </c>
    </row>
    <row r="3507" spans="1:29">
      <c r="A3507" s="83" t="str">
        <f t="shared" si="379"/>
        <v/>
      </c>
      <c r="B3507" s="83" t="str">
        <f t="shared" si="385"/>
        <v/>
      </c>
      <c r="U3507" s="83" t="str">
        <f t="shared" si="380"/>
        <v/>
      </c>
      <c r="V3507" s="83" t="str">
        <f t="shared" si="381"/>
        <v/>
      </c>
      <c r="AA3507" s="60">
        <f t="shared" si="382"/>
        <v>0</v>
      </c>
      <c r="AB3507" s="49">
        <f t="shared" si="383"/>
        <v>0</v>
      </c>
      <c r="AC3507" s="60">
        <f t="shared" si="384"/>
        <v>0</v>
      </c>
    </row>
    <row r="3508" spans="1:29">
      <c r="A3508" s="83" t="str">
        <f t="shared" si="379"/>
        <v/>
      </c>
      <c r="B3508" s="83" t="str">
        <f t="shared" si="385"/>
        <v/>
      </c>
      <c r="U3508" s="83" t="str">
        <f t="shared" si="380"/>
        <v/>
      </c>
      <c r="V3508" s="83" t="str">
        <f t="shared" si="381"/>
        <v/>
      </c>
      <c r="AA3508" s="60">
        <f t="shared" si="382"/>
        <v>0</v>
      </c>
      <c r="AB3508" s="49">
        <f t="shared" si="383"/>
        <v>0</v>
      </c>
      <c r="AC3508" s="60">
        <f t="shared" si="384"/>
        <v>0</v>
      </c>
    </row>
    <row r="3509" spans="1:29">
      <c r="A3509" s="83" t="str">
        <f t="shared" si="379"/>
        <v/>
      </c>
      <c r="B3509" s="83" t="str">
        <f t="shared" si="385"/>
        <v/>
      </c>
      <c r="U3509" s="83" t="str">
        <f t="shared" si="380"/>
        <v/>
      </c>
      <c r="V3509" s="83" t="str">
        <f t="shared" si="381"/>
        <v/>
      </c>
      <c r="AA3509" s="60">
        <f t="shared" si="382"/>
        <v>0</v>
      </c>
      <c r="AB3509" s="49">
        <f t="shared" si="383"/>
        <v>0</v>
      </c>
      <c r="AC3509" s="60">
        <f t="shared" si="384"/>
        <v>0</v>
      </c>
    </row>
    <row r="3510" spans="1:29">
      <c r="A3510" s="83" t="str">
        <f t="shared" si="379"/>
        <v/>
      </c>
      <c r="B3510" s="83" t="str">
        <f t="shared" si="385"/>
        <v/>
      </c>
      <c r="U3510" s="83" t="str">
        <f t="shared" si="380"/>
        <v/>
      </c>
      <c r="V3510" s="83" t="str">
        <f t="shared" si="381"/>
        <v/>
      </c>
      <c r="AA3510" s="60">
        <f t="shared" si="382"/>
        <v>0</v>
      </c>
      <c r="AB3510" s="49">
        <f t="shared" si="383"/>
        <v>0</v>
      </c>
      <c r="AC3510" s="60">
        <f t="shared" si="384"/>
        <v>0</v>
      </c>
    </row>
    <row r="3511" spans="1:29">
      <c r="A3511" s="83" t="str">
        <f t="shared" si="379"/>
        <v/>
      </c>
      <c r="B3511" s="83" t="str">
        <f t="shared" si="385"/>
        <v/>
      </c>
      <c r="U3511" s="83" t="str">
        <f t="shared" si="380"/>
        <v/>
      </c>
      <c r="V3511" s="83" t="str">
        <f t="shared" si="381"/>
        <v/>
      </c>
      <c r="AA3511" s="60">
        <f t="shared" si="382"/>
        <v>0</v>
      </c>
      <c r="AB3511" s="49">
        <f t="shared" si="383"/>
        <v>0</v>
      </c>
      <c r="AC3511" s="60">
        <f t="shared" si="384"/>
        <v>0</v>
      </c>
    </row>
    <row r="3512" spans="1:29">
      <c r="A3512" s="83" t="str">
        <f t="shared" si="379"/>
        <v/>
      </c>
      <c r="B3512" s="83" t="str">
        <f t="shared" si="385"/>
        <v/>
      </c>
      <c r="U3512" s="83" t="str">
        <f t="shared" si="380"/>
        <v/>
      </c>
      <c r="V3512" s="83" t="str">
        <f t="shared" si="381"/>
        <v/>
      </c>
      <c r="AA3512" s="60">
        <f t="shared" si="382"/>
        <v>0</v>
      </c>
      <c r="AB3512" s="49">
        <f t="shared" si="383"/>
        <v>0</v>
      </c>
      <c r="AC3512" s="60">
        <f t="shared" si="384"/>
        <v>0</v>
      </c>
    </row>
    <row r="3513" spans="1:29">
      <c r="A3513" s="83" t="str">
        <f t="shared" si="379"/>
        <v/>
      </c>
      <c r="B3513" s="83" t="str">
        <f t="shared" si="385"/>
        <v/>
      </c>
      <c r="U3513" s="83" t="str">
        <f t="shared" si="380"/>
        <v/>
      </c>
      <c r="V3513" s="83" t="str">
        <f t="shared" si="381"/>
        <v/>
      </c>
      <c r="AA3513" s="60">
        <f t="shared" si="382"/>
        <v>0</v>
      </c>
      <c r="AB3513" s="49">
        <f t="shared" si="383"/>
        <v>0</v>
      </c>
      <c r="AC3513" s="60">
        <f t="shared" si="384"/>
        <v>0</v>
      </c>
    </row>
    <row r="3514" spans="1:29">
      <c r="A3514" s="83" t="str">
        <f t="shared" si="379"/>
        <v/>
      </c>
      <c r="B3514" s="83" t="str">
        <f t="shared" si="385"/>
        <v/>
      </c>
      <c r="U3514" s="83" t="str">
        <f t="shared" si="380"/>
        <v/>
      </c>
      <c r="V3514" s="83" t="str">
        <f t="shared" si="381"/>
        <v/>
      </c>
      <c r="AA3514" s="60">
        <f t="shared" si="382"/>
        <v>0</v>
      </c>
      <c r="AB3514" s="49">
        <f t="shared" si="383"/>
        <v>0</v>
      </c>
      <c r="AC3514" s="60">
        <f t="shared" si="384"/>
        <v>0</v>
      </c>
    </row>
    <row r="3515" spans="1:29">
      <c r="A3515" s="83" t="str">
        <f t="shared" si="379"/>
        <v/>
      </c>
      <c r="B3515" s="83" t="str">
        <f t="shared" si="385"/>
        <v/>
      </c>
      <c r="U3515" s="83" t="str">
        <f t="shared" si="380"/>
        <v/>
      </c>
      <c r="V3515" s="83" t="str">
        <f t="shared" si="381"/>
        <v/>
      </c>
      <c r="AA3515" s="60">
        <f t="shared" si="382"/>
        <v>0</v>
      </c>
      <c r="AB3515" s="49">
        <f t="shared" si="383"/>
        <v>0</v>
      </c>
      <c r="AC3515" s="60">
        <f t="shared" si="384"/>
        <v>0</v>
      </c>
    </row>
    <row r="3516" spans="1:29">
      <c r="A3516" s="83" t="str">
        <f t="shared" si="379"/>
        <v/>
      </c>
      <c r="B3516" s="83" t="str">
        <f t="shared" si="385"/>
        <v/>
      </c>
      <c r="U3516" s="83" t="str">
        <f t="shared" si="380"/>
        <v/>
      </c>
      <c r="V3516" s="83" t="str">
        <f t="shared" si="381"/>
        <v/>
      </c>
      <c r="AA3516" s="60">
        <f t="shared" si="382"/>
        <v>0</v>
      </c>
      <c r="AB3516" s="49">
        <f t="shared" si="383"/>
        <v>0</v>
      </c>
      <c r="AC3516" s="60">
        <f t="shared" si="384"/>
        <v>0</v>
      </c>
    </row>
    <row r="3517" spans="1:29">
      <c r="A3517" s="83" t="str">
        <f t="shared" si="379"/>
        <v/>
      </c>
      <c r="B3517" s="83" t="str">
        <f t="shared" si="385"/>
        <v/>
      </c>
      <c r="U3517" s="83" t="str">
        <f t="shared" si="380"/>
        <v/>
      </c>
      <c r="V3517" s="83" t="str">
        <f t="shared" si="381"/>
        <v/>
      </c>
      <c r="AA3517" s="60">
        <f t="shared" si="382"/>
        <v>0</v>
      </c>
      <c r="AB3517" s="49">
        <f t="shared" si="383"/>
        <v>0</v>
      </c>
      <c r="AC3517" s="60">
        <f t="shared" si="384"/>
        <v>0</v>
      </c>
    </row>
    <row r="3518" spans="1:29">
      <c r="A3518" s="83" t="str">
        <f t="shared" si="379"/>
        <v/>
      </c>
      <c r="B3518" s="83" t="str">
        <f t="shared" si="385"/>
        <v/>
      </c>
      <c r="U3518" s="83" t="str">
        <f t="shared" si="380"/>
        <v/>
      </c>
      <c r="V3518" s="83" t="str">
        <f t="shared" si="381"/>
        <v/>
      </c>
      <c r="AA3518" s="60">
        <f t="shared" si="382"/>
        <v>0</v>
      </c>
      <c r="AB3518" s="49">
        <f t="shared" si="383"/>
        <v>0</v>
      </c>
      <c r="AC3518" s="60">
        <f t="shared" si="384"/>
        <v>0</v>
      </c>
    </row>
    <row r="3519" spans="1:29">
      <c r="A3519" s="83" t="str">
        <f t="shared" si="379"/>
        <v/>
      </c>
      <c r="B3519" s="83" t="str">
        <f t="shared" si="385"/>
        <v/>
      </c>
      <c r="U3519" s="83" t="str">
        <f t="shared" si="380"/>
        <v/>
      </c>
      <c r="V3519" s="83" t="str">
        <f t="shared" si="381"/>
        <v/>
      </c>
      <c r="AA3519" s="60">
        <f t="shared" si="382"/>
        <v>0</v>
      </c>
      <c r="AB3519" s="49">
        <f t="shared" si="383"/>
        <v>0</v>
      </c>
      <c r="AC3519" s="60">
        <f t="shared" si="384"/>
        <v>0</v>
      </c>
    </row>
    <row r="3520" spans="1:29">
      <c r="A3520" s="83" t="str">
        <f t="shared" si="379"/>
        <v/>
      </c>
      <c r="B3520" s="83" t="str">
        <f t="shared" si="385"/>
        <v/>
      </c>
      <c r="U3520" s="83" t="str">
        <f t="shared" si="380"/>
        <v/>
      </c>
      <c r="V3520" s="83" t="str">
        <f t="shared" si="381"/>
        <v/>
      </c>
      <c r="AA3520" s="60">
        <f t="shared" si="382"/>
        <v>0</v>
      </c>
      <c r="AB3520" s="49">
        <f t="shared" si="383"/>
        <v>0</v>
      </c>
      <c r="AC3520" s="60">
        <f t="shared" si="384"/>
        <v>0</v>
      </c>
    </row>
    <row r="3521" spans="1:29">
      <c r="A3521" s="83" t="str">
        <f t="shared" si="379"/>
        <v/>
      </c>
      <c r="B3521" s="83" t="str">
        <f t="shared" si="385"/>
        <v/>
      </c>
      <c r="U3521" s="83" t="str">
        <f t="shared" si="380"/>
        <v/>
      </c>
      <c r="V3521" s="83" t="str">
        <f t="shared" si="381"/>
        <v/>
      </c>
      <c r="AA3521" s="60">
        <f t="shared" si="382"/>
        <v>0</v>
      </c>
      <c r="AB3521" s="49">
        <f t="shared" si="383"/>
        <v>0</v>
      </c>
      <c r="AC3521" s="60">
        <f t="shared" si="384"/>
        <v>0</v>
      </c>
    </row>
    <row r="3522" spans="1:29">
      <c r="A3522" s="83" t="str">
        <f t="shared" si="379"/>
        <v/>
      </c>
      <c r="B3522" s="83" t="str">
        <f t="shared" si="385"/>
        <v/>
      </c>
      <c r="U3522" s="83" t="str">
        <f t="shared" si="380"/>
        <v/>
      </c>
      <c r="V3522" s="83" t="str">
        <f t="shared" si="381"/>
        <v/>
      </c>
      <c r="AA3522" s="60">
        <f t="shared" si="382"/>
        <v>0</v>
      </c>
      <c r="AB3522" s="49">
        <f t="shared" si="383"/>
        <v>0</v>
      </c>
      <c r="AC3522" s="60">
        <f t="shared" si="384"/>
        <v>0</v>
      </c>
    </row>
    <row r="3523" spans="1:29">
      <c r="A3523" s="83" t="str">
        <f t="shared" ref="A3523:A3586" si="386">IF(G3523&amp;Q3523&lt;&gt;"",U3523&amp;Q3523,"")</f>
        <v/>
      </c>
      <c r="B3523" s="83" t="str">
        <f t="shared" si="385"/>
        <v/>
      </c>
      <c r="U3523" s="83" t="str">
        <f t="shared" ref="U3523:U3586" si="387">IF(G3523&lt;&gt;"",IF(StyleSpaceSplit,IFERROR(IF(FIND(" ",G3523)&gt;=1,MID(G3523,1,FIND(" ",G3523)-1),G3523),G3523),G3523),"")</f>
        <v/>
      </c>
      <c r="V3523" s="83" t="str">
        <f t="shared" ref="V3523:V3586" si="388">IF(A3523&lt;&gt;"",IFERROR(IF(FIND(" ",G3523)&gt;=1,MID(G3523,FIND(" ",G3523)+1,LEN(G3523)),""),G3523),"")</f>
        <v/>
      </c>
      <c r="AA3523" s="60">
        <f t="shared" ref="AA3523:AA3586" si="389">IFERROR(VALUE(MID($C3523,1,2)),0)</f>
        <v>0</v>
      </c>
      <c r="AB3523" s="49">
        <f t="shared" ref="AB3523:AB3586" si="390">IFERROR(VALUE(MID($C3523,4,3)),0)</f>
        <v>0</v>
      </c>
      <c r="AC3523" s="60">
        <f t="shared" ref="AC3523:AC3586" si="391">VALUE(RIGHT("00"&amp;AA3523,2)&amp;RIGHT("000"&amp;AB3523,3))</f>
        <v>0</v>
      </c>
    </row>
    <row r="3524" spans="1:29">
      <c r="A3524" s="83" t="str">
        <f t="shared" si="386"/>
        <v/>
      </c>
      <c r="B3524" s="83" t="str">
        <f t="shared" si="385"/>
        <v/>
      </c>
      <c r="U3524" s="83" t="str">
        <f t="shared" si="387"/>
        <v/>
      </c>
      <c r="V3524" s="83" t="str">
        <f t="shared" si="388"/>
        <v/>
      </c>
      <c r="AA3524" s="60">
        <f t="shared" si="389"/>
        <v>0</v>
      </c>
      <c r="AB3524" s="49">
        <f t="shared" si="390"/>
        <v>0</v>
      </c>
      <c r="AC3524" s="60">
        <f t="shared" si="391"/>
        <v>0</v>
      </c>
    </row>
    <row r="3525" spans="1:29">
      <c r="A3525" s="83" t="str">
        <f t="shared" si="386"/>
        <v/>
      </c>
      <c r="B3525" s="83" t="str">
        <f t="shared" si="385"/>
        <v/>
      </c>
      <c r="U3525" s="83" t="str">
        <f t="shared" si="387"/>
        <v/>
      </c>
      <c r="V3525" s="83" t="str">
        <f t="shared" si="388"/>
        <v/>
      </c>
      <c r="AA3525" s="60">
        <f t="shared" si="389"/>
        <v>0</v>
      </c>
      <c r="AB3525" s="49">
        <f t="shared" si="390"/>
        <v>0</v>
      </c>
      <c r="AC3525" s="60">
        <f t="shared" si="391"/>
        <v>0</v>
      </c>
    </row>
    <row r="3526" spans="1:29">
      <c r="A3526" s="83" t="str">
        <f t="shared" si="386"/>
        <v/>
      </c>
      <c r="B3526" s="83" t="str">
        <f t="shared" si="385"/>
        <v/>
      </c>
      <c r="U3526" s="83" t="str">
        <f t="shared" si="387"/>
        <v/>
      </c>
      <c r="V3526" s="83" t="str">
        <f t="shared" si="388"/>
        <v/>
      </c>
      <c r="AA3526" s="60">
        <f t="shared" si="389"/>
        <v>0</v>
      </c>
      <c r="AB3526" s="49">
        <f t="shared" si="390"/>
        <v>0</v>
      </c>
      <c r="AC3526" s="60">
        <f t="shared" si="391"/>
        <v>0</v>
      </c>
    </row>
    <row r="3527" spans="1:29">
      <c r="A3527" s="83" t="str">
        <f t="shared" si="386"/>
        <v/>
      </c>
      <c r="B3527" s="83" t="str">
        <f t="shared" si="385"/>
        <v/>
      </c>
      <c r="U3527" s="83" t="str">
        <f t="shared" si="387"/>
        <v/>
      </c>
      <c r="V3527" s="83" t="str">
        <f t="shared" si="388"/>
        <v/>
      </c>
      <c r="AA3527" s="60">
        <f t="shared" si="389"/>
        <v>0</v>
      </c>
      <c r="AB3527" s="49">
        <f t="shared" si="390"/>
        <v>0</v>
      </c>
      <c r="AC3527" s="60">
        <f t="shared" si="391"/>
        <v>0</v>
      </c>
    </row>
    <row r="3528" spans="1:29">
      <c r="A3528" s="83" t="str">
        <f t="shared" si="386"/>
        <v/>
      </c>
      <c r="B3528" s="83" t="str">
        <f t="shared" si="385"/>
        <v/>
      </c>
      <c r="U3528" s="83" t="str">
        <f t="shared" si="387"/>
        <v/>
      </c>
      <c r="V3528" s="83" t="str">
        <f t="shared" si="388"/>
        <v/>
      </c>
      <c r="AA3528" s="60">
        <f t="shared" si="389"/>
        <v>0</v>
      </c>
      <c r="AB3528" s="49">
        <f t="shared" si="390"/>
        <v>0</v>
      </c>
      <c r="AC3528" s="60">
        <f t="shared" si="391"/>
        <v>0</v>
      </c>
    </row>
    <row r="3529" spans="1:29">
      <c r="A3529" s="83" t="str">
        <f t="shared" si="386"/>
        <v/>
      </c>
      <c r="B3529" s="83" t="str">
        <f t="shared" si="385"/>
        <v/>
      </c>
      <c r="U3529" s="83" t="str">
        <f t="shared" si="387"/>
        <v/>
      </c>
      <c r="V3529" s="83" t="str">
        <f t="shared" si="388"/>
        <v/>
      </c>
      <c r="AA3529" s="60">
        <f t="shared" si="389"/>
        <v>0</v>
      </c>
      <c r="AB3529" s="49">
        <f t="shared" si="390"/>
        <v>0</v>
      </c>
      <c r="AC3529" s="60">
        <f t="shared" si="391"/>
        <v>0</v>
      </c>
    </row>
    <row r="3530" spans="1:29">
      <c r="A3530" s="83" t="str">
        <f t="shared" si="386"/>
        <v/>
      </c>
      <c r="B3530" s="83" t="str">
        <f t="shared" si="385"/>
        <v/>
      </c>
      <c r="U3530" s="83" t="str">
        <f t="shared" si="387"/>
        <v/>
      </c>
      <c r="V3530" s="83" t="str">
        <f t="shared" si="388"/>
        <v/>
      </c>
      <c r="AA3530" s="60">
        <f t="shared" si="389"/>
        <v>0</v>
      </c>
      <c r="AB3530" s="49">
        <f t="shared" si="390"/>
        <v>0</v>
      </c>
      <c r="AC3530" s="60">
        <f t="shared" si="391"/>
        <v>0</v>
      </c>
    </row>
    <row r="3531" spans="1:29">
      <c r="A3531" s="83" t="str">
        <f t="shared" si="386"/>
        <v/>
      </c>
      <c r="B3531" s="83" t="str">
        <f t="shared" si="385"/>
        <v/>
      </c>
      <c r="U3531" s="83" t="str">
        <f t="shared" si="387"/>
        <v/>
      </c>
      <c r="V3531" s="83" t="str">
        <f t="shared" si="388"/>
        <v/>
      </c>
      <c r="AA3531" s="60">
        <f t="shared" si="389"/>
        <v>0</v>
      </c>
      <c r="AB3531" s="49">
        <f t="shared" si="390"/>
        <v>0</v>
      </c>
      <c r="AC3531" s="60">
        <f t="shared" si="391"/>
        <v>0</v>
      </c>
    </row>
    <row r="3532" spans="1:29">
      <c r="A3532" s="83" t="str">
        <f t="shared" si="386"/>
        <v/>
      </c>
      <c r="B3532" s="83" t="str">
        <f t="shared" si="385"/>
        <v/>
      </c>
      <c r="U3532" s="83" t="str">
        <f t="shared" si="387"/>
        <v/>
      </c>
      <c r="V3532" s="83" t="str">
        <f t="shared" si="388"/>
        <v/>
      </c>
      <c r="AA3532" s="60">
        <f t="shared" si="389"/>
        <v>0</v>
      </c>
      <c r="AB3532" s="49">
        <f t="shared" si="390"/>
        <v>0</v>
      </c>
      <c r="AC3532" s="60">
        <f t="shared" si="391"/>
        <v>0</v>
      </c>
    </row>
    <row r="3533" spans="1:29">
      <c r="A3533" s="83" t="str">
        <f t="shared" si="386"/>
        <v/>
      </c>
      <c r="B3533" s="83" t="str">
        <f t="shared" si="385"/>
        <v/>
      </c>
      <c r="U3533" s="83" t="str">
        <f t="shared" si="387"/>
        <v/>
      </c>
      <c r="V3533" s="83" t="str">
        <f t="shared" si="388"/>
        <v/>
      </c>
      <c r="AA3533" s="60">
        <f t="shared" si="389"/>
        <v>0</v>
      </c>
      <c r="AB3533" s="49">
        <f t="shared" si="390"/>
        <v>0</v>
      </c>
      <c r="AC3533" s="60">
        <f t="shared" si="391"/>
        <v>0</v>
      </c>
    </row>
    <row r="3534" spans="1:29">
      <c r="A3534" s="83" t="str">
        <f t="shared" si="386"/>
        <v/>
      </c>
      <c r="B3534" s="83" t="str">
        <f t="shared" si="385"/>
        <v/>
      </c>
      <c r="U3534" s="83" t="str">
        <f t="shared" si="387"/>
        <v/>
      </c>
      <c r="V3534" s="83" t="str">
        <f t="shared" si="388"/>
        <v/>
      </c>
      <c r="AA3534" s="60">
        <f t="shared" si="389"/>
        <v>0</v>
      </c>
      <c r="AB3534" s="49">
        <f t="shared" si="390"/>
        <v>0</v>
      </c>
      <c r="AC3534" s="60">
        <f t="shared" si="391"/>
        <v>0</v>
      </c>
    </row>
    <row r="3535" spans="1:29">
      <c r="A3535" s="83" t="str">
        <f t="shared" si="386"/>
        <v/>
      </c>
      <c r="B3535" s="83" t="str">
        <f t="shared" si="385"/>
        <v/>
      </c>
      <c r="U3535" s="83" t="str">
        <f t="shared" si="387"/>
        <v/>
      </c>
      <c r="V3535" s="83" t="str">
        <f t="shared" si="388"/>
        <v/>
      </c>
      <c r="AA3535" s="60">
        <f t="shared" si="389"/>
        <v>0</v>
      </c>
      <c r="AB3535" s="49">
        <f t="shared" si="390"/>
        <v>0</v>
      </c>
      <c r="AC3535" s="60">
        <f t="shared" si="391"/>
        <v>0</v>
      </c>
    </row>
    <row r="3536" spans="1:29">
      <c r="A3536" s="83" t="str">
        <f t="shared" si="386"/>
        <v/>
      </c>
      <c r="B3536" s="83" t="str">
        <f t="shared" si="385"/>
        <v/>
      </c>
      <c r="U3536" s="83" t="str">
        <f t="shared" si="387"/>
        <v/>
      </c>
      <c r="V3536" s="83" t="str">
        <f t="shared" si="388"/>
        <v/>
      </c>
      <c r="AA3536" s="60">
        <f t="shared" si="389"/>
        <v>0</v>
      </c>
      <c r="AB3536" s="49">
        <f t="shared" si="390"/>
        <v>0</v>
      </c>
      <c r="AC3536" s="60">
        <f t="shared" si="391"/>
        <v>0</v>
      </c>
    </row>
    <row r="3537" spans="1:29">
      <c r="A3537" s="83" t="str">
        <f t="shared" si="386"/>
        <v/>
      </c>
      <c r="B3537" s="83" t="str">
        <f t="shared" si="385"/>
        <v/>
      </c>
      <c r="U3537" s="83" t="str">
        <f t="shared" si="387"/>
        <v/>
      </c>
      <c r="V3537" s="83" t="str">
        <f t="shared" si="388"/>
        <v/>
      </c>
      <c r="AA3537" s="60">
        <f t="shared" si="389"/>
        <v>0</v>
      </c>
      <c r="AB3537" s="49">
        <f t="shared" si="390"/>
        <v>0</v>
      </c>
      <c r="AC3537" s="60">
        <f t="shared" si="391"/>
        <v>0</v>
      </c>
    </row>
    <row r="3538" spans="1:29">
      <c r="A3538" s="83" t="str">
        <f t="shared" si="386"/>
        <v/>
      </c>
      <c r="B3538" s="83" t="str">
        <f t="shared" si="385"/>
        <v/>
      </c>
      <c r="U3538" s="83" t="str">
        <f t="shared" si="387"/>
        <v/>
      </c>
      <c r="V3538" s="83" t="str">
        <f t="shared" si="388"/>
        <v/>
      </c>
      <c r="AA3538" s="60">
        <f t="shared" si="389"/>
        <v>0</v>
      </c>
      <c r="AB3538" s="49">
        <f t="shared" si="390"/>
        <v>0</v>
      </c>
      <c r="AC3538" s="60">
        <f t="shared" si="391"/>
        <v>0</v>
      </c>
    </row>
    <row r="3539" spans="1:29">
      <c r="A3539" s="83" t="str">
        <f t="shared" si="386"/>
        <v/>
      </c>
      <c r="B3539" s="83" t="str">
        <f t="shared" si="385"/>
        <v/>
      </c>
      <c r="U3539" s="83" t="str">
        <f t="shared" si="387"/>
        <v/>
      </c>
      <c r="V3539" s="83" t="str">
        <f t="shared" si="388"/>
        <v/>
      </c>
      <c r="AA3539" s="60">
        <f t="shared" si="389"/>
        <v>0</v>
      </c>
      <c r="AB3539" s="49">
        <f t="shared" si="390"/>
        <v>0</v>
      </c>
      <c r="AC3539" s="60">
        <f t="shared" si="391"/>
        <v>0</v>
      </c>
    </row>
    <row r="3540" spans="1:29">
      <c r="A3540" s="83" t="str">
        <f t="shared" si="386"/>
        <v/>
      </c>
      <c r="B3540" s="83" t="str">
        <f t="shared" si="385"/>
        <v/>
      </c>
      <c r="U3540" s="83" t="str">
        <f t="shared" si="387"/>
        <v/>
      </c>
      <c r="V3540" s="83" t="str">
        <f t="shared" si="388"/>
        <v/>
      </c>
      <c r="AA3540" s="60">
        <f t="shared" si="389"/>
        <v>0</v>
      </c>
      <c r="AB3540" s="49">
        <f t="shared" si="390"/>
        <v>0</v>
      </c>
      <c r="AC3540" s="60">
        <f t="shared" si="391"/>
        <v>0</v>
      </c>
    </row>
    <row r="3541" spans="1:29">
      <c r="A3541" s="83" t="str">
        <f t="shared" si="386"/>
        <v/>
      </c>
      <c r="B3541" s="83" t="str">
        <f t="shared" si="385"/>
        <v/>
      </c>
      <c r="U3541" s="83" t="str">
        <f t="shared" si="387"/>
        <v/>
      </c>
      <c r="V3541" s="83" t="str">
        <f t="shared" si="388"/>
        <v/>
      </c>
      <c r="AA3541" s="60">
        <f t="shared" si="389"/>
        <v>0</v>
      </c>
      <c r="AB3541" s="49">
        <f t="shared" si="390"/>
        <v>0</v>
      </c>
      <c r="AC3541" s="60">
        <f t="shared" si="391"/>
        <v>0</v>
      </c>
    </row>
    <row r="3542" spans="1:29">
      <c r="A3542" s="83" t="str">
        <f t="shared" si="386"/>
        <v/>
      </c>
      <c r="B3542" s="83" t="str">
        <f t="shared" si="385"/>
        <v/>
      </c>
      <c r="U3542" s="83" t="str">
        <f t="shared" si="387"/>
        <v/>
      </c>
      <c r="V3542" s="83" t="str">
        <f t="shared" si="388"/>
        <v/>
      </c>
      <c r="AA3542" s="60">
        <f t="shared" si="389"/>
        <v>0</v>
      </c>
      <c r="AB3542" s="49">
        <f t="shared" si="390"/>
        <v>0</v>
      </c>
      <c r="AC3542" s="60">
        <f t="shared" si="391"/>
        <v>0</v>
      </c>
    </row>
    <row r="3543" spans="1:29">
      <c r="A3543" s="83" t="str">
        <f t="shared" si="386"/>
        <v/>
      </c>
      <c r="B3543" s="83" t="str">
        <f t="shared" si="385"/>
        <v/>
      </c>
      <c r="U3543" s="83" t="str">
        <f t="shared" si="387"/>
        <v/>
      </c>
      <c r="V3543" s="83" t="str">
        <f t="shared" si="388"/>
        <v/>
      </c>
      <c r="AA3543" s="60">
        <f t="shared" si="389"/>
        <v>0</v>
      </c>
      <c r="AB3543" s="49">
        <f t="shared" si="390"/>
        <v>0</v>
      </c>
      <c r="AC3543" s="60">
        <f t="shared" si="391"/>
        <v>0</v>
      </c>
    </row>
    <row r="3544" spans="1:29">
      <c r="A3544" s="83" t="str">
        <f t="shared" si="386"/>
        <v/>
      </c>
      <c r="B3544" s="83" t="str">
        <f t="shared" si="385"/>
        <v/>
      </c>
      <c r="U3544" s="83" t="str">
        <f t="shared" si="387"/>
        <v/>
      </c>
      <c r="V3544" s="83" t="str">
        <f t="shared" si="388"/>
        <v/>
      </c>
      <c r="AA3544" s="60">
        <f t="shared" si="389"/>
        <v>0</v>
      </c>
      <c r="AB3544" s="49">
        <f t="shared" si="390"/>
        <v>0</v>
      </c>
      <c r="AC3544" s="60">
        <f t="shared" si="391"/>
        <v>0</v>
      </c>
    </row>
    <row r="3545" spans="1:29">
      <c r="A3545" s="83" t="str">
        <f t="shared" si="386"/>
        <v/>
      </c>
      <c r="B3545" s="83" t="str">
        <f t="shared" si="385"/>
        <v/>
      </c>
      <c r="U3545" s="83" t="str">
        <f t="shared" si="387"/>
        <v/>
      </c>
      <c r="V3545" s="83" t="str">
        <f t="shared" si="388"/>
        <v/>
      </c>
      <c r="AA3545" s="60">
        <f t="shared" si="389"/>
        <v>0</v>
      </c>
      <c r="AB3545" s="49">
        <f t="shared" si="390"/>
        <v>0</v>
      </c>
      <c r="AC3545" s="60">
        <f t="shared" si="391"/>
        <v>0</v>
      </c>
    </row>
    <row r="3546" spans="1:29">
      <c r="A3546" s="83" t="str">
        <f t="shared" si="386"/>
        <v/>
      </c>
      <c r="B3546" s="83" t="str">
        <f t="shared" si="385"/>
        <v/>
      </c>
      <c r="U3546" s="83" t="str">
        <f t="shared" si="387"/>
        <v/>
      </c>
      <c r="V3546" s="83" t="str">
        <f t="shared" si="388"/>
        <v/>
      </c>
      <c r="AA3546" s="60">
        <f t="shared" si="389"/>
        <v>0</v>
      </c>
      <c r="AB3546" s="49">
        <f t="shared" si="390"/>
        <v>0</v>
      </c>
      <c r="AC3546" s="60">
        <f t="shared" si="391"/>
        <v>0</v>
      </c>
    </row>
    <row r="3547" spans="1:29">
      <c r="A3547" s="83" t="str">
        <f t="shared" si="386"/>
        <v/>
      </c>
      <c r="B3547" s="83" t="str">
        <f t="shared" si="385"/>
        <v/>
      </c>
      <c r="U3547" s="83" t="str">
        <f t="shared" si="387"/>
        <v/>
      </c>
      <c r="V3547" s="83" t="str">
        <f t="shared" si="388"/>
        <v/>
      </c>
      <c r="AA3547" s="60">
        <f t="shared" si="389"/>
        <v>0</v>
      </c>
      <c r="AB3547" s="49">
        <f t="shared" si="390"/>
        <v>0</v>
      </c>
      <c r="AC3547" s="60">
        <f t="shared" si="391"/>
        <v>0</v>
      </c>
    </row>
    <row r="3548" spans="1:29">
      <c r="A3548" s="83" t="str">
        <f t="shared" si="386"/>
        <v/>
      </c>
      <c r="B3548" s="83" t="str">
        <f t="shared" si="385"/>
        <v/>
      </c>
      <c r="U3548" s="83" t="str">
        <f t="shared" si="387"/>
        <v/>
      </c>
      <c r="V3548" s="83" t="str">
        <f t="shared" si="388"/>
        <v/>
      </c>
      <c r="AA3548" s="60">
        <f t="shared" si="389"/>
        <v>0</v>
      </c>
      <c r="AB3548" s="49">
        <f t="shared" si="390"/>
        <v>0</v>
      </c>
      <c r="AC3548" s="60">
        <f t="shared" si="391"/>
        <v>0</v>
      </c>
    </row>
    <row r="3549" spans="1:29">
      <c r="A3549" s="83" t="str">
        <f t="shared" si="386"/>
        <v/>
      </c>
      <c r="B3549" s="83" t="str">
        <f t="shared" si="385"/>
        <v/>
      </c>
      <c r="U3549" s="83" t="str">
        <f t="shared" si="387"/>
        <v/>
      </c>
      <c r="V3549" s="83" t="str">
        <f t="shared" si="388"/>
        <v/>
      </c>
      <c r="AA3549" s="60">
        <f t="shared" si="389"/>
        <v>0</v>
      </c>
      <c r="AB3549" s="49">
        <f t="shared" si="390"/>
        <v>0</v>
      </c>
      <c r="AC3549" s="60">
        <f t="shared" si="391"/>
        <v>0</v>
      </c>
    </row>
    <row r="3550" spans="1:29">
      <c r="A3550" s="83" t="str">
        <f t="shared" si="386"/>
        <v/>
      </c>
      <c r="B3550" s="83" t="str">
        <f t="shared" si="385"/>
        <v/>
      </c>
      <c r="U3550" s="83" t="str">
        <f t="shared" si="387"/>
        <v/>
      </c>
      <c r="V3550" s="83" t="str">
        <f t="shared" si="388"/>
        <v/>
      </c>
      <c r="AA3550" s="60">
        <f t="shared" si="389"/>
        <v>0</v>
      </c>
      <c r="AB3550" s="49">
        <f t="shared" si="390"/>
        <v>0</v>
      </c>
      <c r="AC3550" s="60">
        <f t="shared" si="391"/>
        <v>0</v>
      </c>
    </row>
    <row r="3551" spans="1:29">
      <c r="A3551" s="83" t="str">
        <f t="shared" si="386"/>
        <v/>
      </c>
      <c r="B3551" s="83" t="str">
        <f t="shared" si="385"/>
        <v/>
      </c>
      <c r="U3551" s="83" t="str">
        <f t="shared" si="387"/>
        <v/>
      </c>
      <c r="V3551" s="83" t="str">
        <f t="shared" si="388"/>
        <v/>
      </c>
      <c r="AA3551" s="60">
        <f t="shared" si="389"/>
        <v>0</v>
      </c>
      <c r="AB3551" s="49">
        <f t="shared" si="390"/>
        <v>0</v>
      </c>
      <c r="AC3551" s="60">
        <f t="shared" si="391"/>
        <v>0</v>
      </c>
    </row>
    <row r="3552" spans="1:29">
      <c r="A3552" s="83" t="str">
        <f t="shared" si="386"/>
        <v/>
      </c>
      <c r="B3552" s="83" t="str">
        <f t="shared" si="385"/>
        <v/>
      </c>
      <c r="U3552" s="83" t="str">
        <f t="shared" si="387"/>
        <v/>
      </c>
      <c r="V3552" s="83" t="str">
        <f t="shared" si="388"/>
        <v/>
      </c>
      <c r="AA3552" s="60">
        <f t="shared" si="389"/>
        <v>0</v>
      </c>
      <c r="AB3552" s="49">
        <f t="shared" si="390"/>
        <v>0</v>
      </c>
      <c r="AC3552" s="60">
        <f t="shared" si="391"/>
        <v>0</v>
      </c>
    </row>
    <row r="3553" spans="1:29">
      <c r="A3553" s="83" t="str">
        <f t="shared" si="386"/>
        <v/>
      </c>
      <c r="B3553" s="83" t="str">
        <f t="shared" ref="B3553:B3616" si="392">IF(C3553&lt;&gt;"",LEFT(C3553,9),"")</f>
        <v/>
      </c>
      <c r="U3553" s="83" t="str">
        <f t="shared" si="387"/>
        <v/>
      </c>
      <c r="V3553" s="83" t="str">
        <f t="shared" si="388"/>
        <v/>
      </c>
      <c r="AA3553" s="60">
        <f t="shared" si="389"/>
        <v>0</v>
      </c>
      <c r="AB3553" s="49">
        <f t="shared" si="390"/>
        <v>0</v>
      </c>
      <c r="AC3553" s="60">
        <f t="shared" si="391"/>
        <v>0</v>
      </c>
    </row>
    <row r="3554" spans="1:29">
      <c r="A3554" s="83" t="str">
        <f t="shared" si="386"/>
        <v/>
      </c>
      <c r="B3554" s="83" t="str">
        <f t="shared" si="392"/>
        <v/>
      </c>
      <c r="U3554" s="83" t="str">
        <f t="shared" si="387"/>
        <v/>
      </c>
      <c r="V3554" s="83" t="str">
        <f t="shared" si="388"/>
        <v/>
      </c>
      <c r="AA3554" s="60">
        <f t="shared" si="389"/>
        <v>0</v>
      </c>
      <c r="AB3554" s="49">
        <f t="shared" si="390"/>
        <v>0</v>
      </c>
      <c r="AC3554" s="60">
        <f t="shared" si="391"/>
        <v>0</v>
      </c>
    </row>
    <row r="3555" spans="1:29">
      <c r="A3555" s="83" t="str">
        <f t="shared" si="386"/>
        <v/>
      </c>
      <c r="B3555" s="83" t="str">
        <f t="shared" si="392"/>
        <v/>
      </c>
      <c r="U3555" s="83" t="str">
        <f t="shared" si="387"/>
        <v/>
      </c>
      <c r="V3555" s="83" t="str">
        <f t="shared" si="388"/>
        <v/>
      </c>
      <c r="AA3555" s="60">
        <f t="shared" si="389"/>
        <v>0</v>
      </c>
      <c r="AB3555" s="49">
        <f t="shared" si="390"/>
        <v>0</v>
      </c>
      <c r="AC3555" s="60">
        <f t="shared" si="391"/>
        <v>0</v>
      </c>
    </row>
    <row r="3556" spans="1:29">
      <c r="A3556" s="83" t="str">
        <f t="shared" si="386"/>
        <v/>
      </c>
      <c r="B3556" s="83" t="str">
        <f t="shared" si="392"/>
        <v/>
      </c>
      <c r="U3556" s="83" t="str">
        <f t="shared" si="387"/>
        <v/>
      </c>
      <c r="V3556" s="83" t="str">
        <f t="shared" si="388"/>
        <v/>
      </c>
      <c r="AA3556" s="60">
        <f t="shared" si="389"/>
        <v>0</v>
      </c>
      <c r="AB3556" s="49">
        <f t="shared" si="390"/>
        <v>0</v>
      </c>
      <c r="AC3556" s="60">
        <f t="shared" si="391"/>
        <v>0</v>
      </c>
    </row>
    <row r="3557" spans="1:29">
      <c r="A3557" s="83" t="str">
        <f t="shared" si="386"/>
        <v/>
      </c>
      <c r="B3557" s="83" t="str">
        <f t="shared" si="392"/>
        <v/>
      </c>
      <c r="U3557" s="83" t="str">
        <f t="shared" si="387"/>
        <v/>
      </c>
      <c r="V3557" s="83" t="str">
        <f t="shared" si="388"/>
        <v/>
      </c>
      <c r="AA3557" s="60">
        <f t="shared" si="389"/>
        <v>0</v>
      </c>
      <c r="AB3557" s="49">
        <f t="shared" si="390"/>
        <v>0</v>
      </c>
      <c r="AC3557" s="60">
        <f t="shared" si="391"/>
        <v>0</v>
      </c>
    </row>
    <row r="3558" spans="1:29">
      <c r="A3558" s="83" t="str">
        <f t="shared" si="386"/>
        <v/>
      </c>
      <c r="B3558" s="83" t="str">
        <f t="shared" si="392"/>
        <v/>
      </c>
      <c r="U3558" s="83" t="str">
        <f t="shared" si="387"/>
        <v/>
      </c>
      <c r="V3558" s="83" t="str">
        <f t="shared" si="388"/>
        <v/>
      </c>
      <c r="AA3558" s="60">
        <f t="shared" si="389"/>
        <v>0</v>
      </c>
      <c r="AB3558" s="49">
        <f t="shared" si="390"/>
        <v>0</v>
      </c>
      <c r="AC3558" s="60">
        <f t="shared" si="391"/>
        <v>0</v>
      </c>
    </row>
    <row r="3559" spans="1:29">
      <c r="A3559" s="83" t="str">
        <f t="shared" si="386"/>
        <v/>
      </c>
      <c r="B3559" s="83" t="str">
        <f t="shared" si="392"/>
        <v/>
      </c>
      <c r="U3559" s="83" t="str">
        <f t="shared" si="387"/>
        <v/>
      </c>
      <c r="V3559" s="83" t="str">
        <f t="shared" si="388"/>
        <v/>
      </c>
      <c r="AA3559" s="60">
        <f t="shared" si="389"/>
        <v>0</v>
      </c>
      <c r="AB3559" s="49">
        <f t="shared" si="390"/>
        <v>0</v>
      </c>
      <c r="AC3559" s="60">
        <f t="shared" si="391"/>
        <v>0</v>
      </c>
    </row>
    <row r="3560" spans="1:29">
      <c r="A3560" s="83" t="str">
        <f t="shared" si="386"/>
        <v/>
      </c>
      <c r="B3560" s="83" t="str">
        <f t="shared" si="392"/>
        <v/>
      </c>
      <c r="U3560" s="83" t="str">
        <f t="shared" si="387"/>
        <v/>
      </c>
      <c r="V3560" s="83" t="str">
        <f t="shared" si="388"/>
        <v/>
      </c>
      <c r="AA3560" s="60">
        <f t="shared" si="389"/>
        <v>0</v>
      </c>
      <c r="AB3560" s="49">
        <f t="shared" si="390"/>
        <v>0</v>
      </c>
      <c r="AC3560" s="60">
        <f t="shared" si="391"/>
        <v>0</v>
      </c>
    </row>
    <row r="3561" spans="1:29">
      <c r="A3561" s="83" t="str">
        <f t="shared" si="386"/>
        <v/>
      </c>
      <c r="B3561" s="83" t="str">
        <f t="shared" si="392"/>
        <v/>
      </c>
      <c r="U3561" s="83" t="str">
        <f t="shared" si="387"/>
        <v/>
      </c>
      <c r="V3561" s="83" t="str">
        <f t="shared" si="388"/>
        <v/>
      </c>
      <c r="AA3561" s="60">
        <f t="shared" si="389"/>
        <v>0</v>
      </c>
      <c r="AB3561" s="49">
        <f t="shared" si="390"/>
        <v>0</v>
      </c>
      <c r="AC3561" s="60">
        <f t="shared" si="391"/>
        <v>0</v>
      </c>
    </row>
    <row r="3562" spans="1:29">
      <c r="A3562" s="83" t="str">
        <f t="shared" si="386"/>
        <v/>
      </c>
      <c r="B3562" s="83" t="str">
        <f t="shared" si="392"/>
        <v/>
      </c>
      <c r="U3562" s="83" t="str">
        <f t="shared" si="387"/>
        <v/>
      </c>
      <c r="V3562" s="83" t="str">
        <f t="shared" si="388"/>
        <v/>
      </c>
      <c r="AA3562" s="60">
        <f t="shared" si="389"/>
        <v>0</v>
      </c>
      <c r="AB3562" s="49">
        <f t="shared" si="390"/>
        <v>0</v>
      </c>
      <c r="AC3562" s="60">
        <f t="shared" si="391"/>
        <v>0</v>
      </c>
    </row>
    <row r="3563" spans="1:29">
      <c r="A3563" s="83" t="str">
        <f t="shared" si="386"/>
        <v/>
      </c>
      <c r="B3563" s="83" t="str">
        <f t="shared" si="392"/>
        <v/>
      </c>
      <c r="U3563" s="83" t="str">
        <f t="shared" si="387"/>
        <v/>
      </c>
      <c r="V3563" s="83" t="str">
        <f t="shared" si="388"/>
        <v/>
      </c>
      <c r="AA3563" s="60">
        <f t="shared" si="389"/>
        <v>0</v>
      </c>
      <c r="AB3563" s="49">
        <f t="shared" si="390"/>
        <v>0</v>
      </c>
      <c r="AC3563" s="60">
        <f t="shared" si="391"/>
        <v>0</v>
      </c>
    </row>
    <row r="3564" spans="1:29">
      <c r="A3564" s="83" t="str">
        <f t="shared" si="386"/>
        <v/>
      </c>
      <c r="B3564" s="83" t="str">
        <f t="shared" si="392"/>
        <v/>
      </c>
      <c r="U3564" s="83" t="str">
        <f t="shared" si="387"/>
        <v/>
      </c>
      <c r="V3564" s="83" t="str">
        <f t="shared" si="388"/>
        <v/>
      </c>
      <c r="AA3564" s="60">
        <f t="shared" si="389"/>
        <v>0</v>
      </c>
      <c r="AB3564" s="49">
        <f t="shared" si="390"/>
        <v>0</v>
      </c>
      <c r="AC3564" s="60">
        <f t="shared" si="391"/>
        <v>0</v>
      </c>
    </row>
    <row r="3565" spans="1:29">
      <c r="A3565" s="83" t="str">
        <f t="shared" si="386"/>
        <v/>
      </c>
      <c r="B3565" s="83" t="str">
        <f t="shared" si="392"/>
        <v/>
      </c>
      <c r="U3565" s="83" t="str">
        <f t="shared" si="387"/>
        <v/>
      </c>
      <c r="V3565" s="83" t="str">
        <f t="shared" si="388"/>
        <v/>
      </c>
      <c r="AA3565" s="60">
        <f t="shared" si="389"/>
        <v>0</v>
      </c>
      <c r="AB3565" s="49">
        <f t="shared" si="390"/>
        <v>0</v>
      </c>
      <c r="AC3565" s="60">
        <f t="shared" si="391"/>
        <v>0</v>
      </c>
    </row>
    <row r="3566" spans="1:29">
      <c r="A3566" s="83" t="str">
        <f t="shared" si="386"/>
        <v/>
      </c>
      <c r="B3566" s="83" t="str">
        <f t="shared" si="392"/>
        <v/>
      </c>
      <c r="U3566" s="83" t="str">
        <f t="shared" si="387"/>
        <v/>
      </c>
      <c r="V3566" s="83" t="str">
        <f t="shared" si="388"/>
        <v/>
      </c>
      <c r="AA3566" s="60">
        <f t="shared" si="389"/>
        <v>0</v>
      </c>
      <c r="AB3566" s="49">
        <f t="shared" si="390"/>
        <v>0</v>
      </c>
      <c r="AC3566" s="60">
        <f t="shared" si="391"/>
        <v>0</v>
      </c>
    </row>
    <row r="3567" spans="1:29">
      <c r="A3567" s="83" t="str">
        <f t="shared" si="386"/>
        <v/>
      </c>
      <c r="B3567" s="83" t="str">
        <f t="shared" si="392"/>
        <v/>
      </c>
      <c r="U3567" s="83" t="str">
        <f t="shared" si="387"/>
        <v/>
      </c>
      <c r="V3567" s="83" t="str">
        <f t="shared" si="388"/>
        <v/>
      </c>
      <c r="AA3567" s="60">
        <f t="shared" si="389"/>
        <v>0</v>
      </c>
      <c r="AB3567" s="49">
        <f t="shared" si="390"/>
        <v>0</v>
      </c>
      <c r="AC3567" s="60">
        <f t="shared" si="391"/>
        <v>0</v>
      </c>
    </row>
    <row r="3568" spans="1:29">
      <c r="A3568" s="83" t="str">
        <f t="shared" si="386"/>
        <v/>
      </c>
      <c r="B3568" s="83" t="str">
        <f t="shared" si="392"/>
        <v/>
      </c>
      <c r="U3568" s="83" t="str">
        <f t="shared" si="387"/>
        <v/>
      </c>
      <c r="V3568" s="83" t="str">
        <f t="shared" si="388"/>
        <v/>
      </c>
      <c r="AA3568" s="60">
        <f t="shared" si="389"/>
        <v>0</v>
      </c>
      <c r="AB3568" s="49">
        <f t="shared" si="390"/>
        <v>0</v>
      </c>
      <c r="AC3568" s="60">
        <f t="shared" si="391"/>
        <v>0</v>
      </c>
    </row>
    <row r="3569" spans="1:29">
      <c r="A3569" s="83" t="str">
        <f t="shared" si="386"/>
        <v/>
      </c>
      <c r="B3569" s="83" t="str">
        <f t="shared" si="392"/>
        <v/>
      </c>
      <c r="U3569" s="83" t="str">
        <f t="shared" si="387"/>
        <v/>
      </c>
      <c r="V3569" s="83" t="str">
        <f t="shared" si="388"/>
        <v/>
      </c>
      <c r="AA3569" s="60">
        <f t="shared" si="389"/>
        <v>0</v>
      </c>
      <c r="AB3569" s="49">
        <f t="shared" si="390"/>
        <v>0</v>
      </c>
      <c r="AC3569" s="60">
        <f t="shared" si="391"/>
        <v>0</v>
      </c>
    </row>
    <row r="3570" spans="1:29">
      <c r="A3570" s="83" t="str">
        <f t="shared" si="386"/>
        <v/>
      </c>
      <c r="B3570" s="83" t="str">
        <f t="shared" si="392"/>
        <v/>
      </c>
      <c r="U3570" s="83" t="str">
        <f t="shared" si="387"/>
        <v/>
      </c>
      <c r="V3570" s="83" t="str">
        <f t="shared" si="388"/>
        <v/>
      </c>
      <c r="AA3570" s="60">
        <f t="shared" si="389"/>
        <v>0</v>
      </c>
      <c r="AB3570" s="49">
        <f t="shared" si="390"/>
        <v>0</v>
      </c>
      <c r="AC3570" s="60">
        <f t="shared" si="391"/>
        <v>0</v>
      </c>
    </row>
    <row r="3571" spans="1:29">
      <c r="A3571" s="83" t="str">
        <f t="shared" si="386"/>
        <v/>
      </c>
      <c r="B3571" s="83" t="str">
        <f t="shared" si="392"/>
        <v/>
      </c>
      <c r="U3571" s="83" t="str">
        <f t="shared" si="387"/>
        <v/>
      </c>
      <c r="V3571" s="83" t="str">
        <f t="shared" si="388"/>
        <v/>
      </c>
      <c r="AA3571" s="60">
        <f t="shared" si="389"/>
        <v>0</v>
      </c>
      <c r="AB3571" s="49">
        <f t="shared" si="390"/>
        <v>0</v>
      </c>
      <c r="AC3571" s="60">
        <f t="shared" si="391"/>
        <v>0</v>
      </c>
    </row>
    <row r="3572" spans="1:29">
      <c r="A3572" s="83" t="str">
        <f t="shared" si="386"/>
        <v/>
      </c>
      <c r="B3572" s="83" t="str">
        <f t="shared" si="392"/>
        <v/>
      </c>
      <c r="U3572" s="83" t="str">
        <f t="shared" si="387"/>
        <v/>
      </c>
      <c r="V3572" s="83" t="str">
        <f t="shared" si="388"/>
        <v/>
      </c>
      <c r="AA3572" s="60">
        <f t="shared" si="389"/>
        <v>0</v>
      </c>
      <c r="AB3572" s="49">
        <f t="shared" si="390"/>
        <v>0</v>
      </c>
      <c r="AC3572" s="60">
        <f t="shared" si="391"/>
        <v>0</v>
      </c>
    </row>
    <row r="3573" spans="1:29">
      <c r="A3573" s="83" t="str">
        <f t="shared" si="386"/>
        <v/>
      </c>
      <c r="B3573" s="83" t="str">
        <f t="shared" si="392"/>
        <v/>
      </c>
      <c r="U3573" s="83" t="str">
        <f t="shared" si="387"/>
        <v/>
      </c>
      <c r="V3573" s="83" t="str">
        <f t="shared" si="388"/>
        <v/>
      </c>
      <c r="AA3573" s="60">
        <f t="shared" si="389"/>
        <v>0</v>
      </c>
      <c r="AB3573" s="49">
        <f t="shared" si="390"/>
        <v>0</v>
      </c>
      <c r="AC3573" s="60">
        <f t="shared" si="391"/>
        <v>0</v>
      </c>
    </row>
    <row r="3574" spans="1:29">
      <c r="A3574" s="83" t="str">
        <f t="shared" si="386"/>
        <v/>
      </c>
      <c r="B3574" s="83" t="str">
        <f t="shared" si="392"/>
        <v/>
      </c>
      <c r="U3574" s="83" t="str">
        <f t="shared" si="387"/>
        <v/>
      </c>
      <c r="V3574" s="83" t="str">
        <f t="shared" si="388"/>
        <v/>
      </c>
      <c r="AA3574" s="60">
        <f t="shared" si="389"/>
        <v>0</v>
      </c>
      <c r="AB3574" s="49">
        <f t="shared" si="390"/>
        <v>0</v>
      </c>
      <c r="AC3574" s="60">
        <f t="shared" si="391"/>
        <v>0</v>
      </c>
    </row>
    <row r="3575" spans="1:29">
      <c r="A3575" s="83" t="str">
        <f t="shared" si="386"/>
        <v/>
      </c>
      <c r="B3575" s="83" t="str">
        <f t="shared" si="392"/>
        <v/>
      </c>
      <c r="U3575" s="83" t="str">
        <f t="shared" si="387"/>
        <v/>
      </c>
      <c r="V3575" s="83" t="str">
        <f t="shared" si="388"/>
        <v/>
      </c>
      <c r="AA3575" s="60">
        <f t="shared" si="389"/>
        <v>0</v>
      </c>
      <c r="AB3575" s="49">
        <f t="shared" si="390"/>
        <v>0</v>
      </c>
      <c r="AC3575" s="60">
        <f t="shared" si="391"/>
        <v>0</v>
      </c>
    </row>
    <row r="3576" spans="1:29">
      <c r="A3576" s="83" t="str">
        <f t="shared" si="386"/>
        <v/>
      </c>
      <c r="B3576" s="83" t="str">
        <f t="shared" si="392"/>
        <v/>
      </c>
      <c r="U3576" s="83" t="str">
        <f t="shared" si="387"/>
        <v/>
      </c>
      <c r="V3576" s="83" t="str">
        <f t="shared" si="388"/>
        <v/>
      </c>
      <c r="AA3576" s="60">
        <f t="shared" si="389"/>
        <v>0</v>
      </c>
      <c r="AB3576" s="49">
        <f t="shared" si="390"/>
        <v>0</v>
      </c>
      <c r="AC3576" s="60">
        <f t="shared" si="391"/>
        <v>0</v>
      </c>
    </row>
    <row r="3577" spans="1:29">
      <c r="A3577" s="83" t="str">
        <f t="shared" si="386"/>
        <v/>
      </c>
      <c r="B3577" s="83" t="str">
        <f t="shared" si="392"/>
        <v/>
      </c>
      <c r="U3577" s="83" t="str">
        <f t="shared" si="387"/>
        <v/>
      </c>
      <c r="V3577" s="83" t="str">
        <f t="shared" si="388"/>
        <v/>
      </c>
      <c r="AA3577" s="60">
        <f t="shared" si="389"/>
        <v>0</v>
      </c>
      <c r="AB3577" s="49">
        <f t="shared" si="390"/>
        <v>0</v>
      </c>
      <c r="AC3577" s="60">
        <f t="shared" si="391"/>
        <v>0</v>
      </c>
    </row>
    <row r="3578" spans="1:29">
      <c r="A3578" s="83" t="str">
        <f t="shared" si="386"/>
        <v/>
      </c>
      <c r="B3578" s="83" t="str">
        <f t="shared" si="392"/>
        <v/>
      </c>
      <c r="U3578" s="83" t="str">
        <f t="shared" si="387"/>
        <v/>
      </c>
      <c r="V3578" s="83" t="str">
        <f t="shared" si="388"/>
        <v/>
      </c>
      <c r="AA3578" s="60">
        <f t="shared" si="389"/>
        <v>0</v>
      </c>
      <c r="AB3578" s="49">
        <f t="shared" si="390"/>
        <v>0</v>
      </c>
      <c r="AC3578" s="60">
        <f t="shared" si="391"/>
        <v>0</v>
      </c>
    </row>
    <row r="3579" spans="1:29">
      <c r="A3579" s="83" t="str">
        <f t="shared" si="386"/>
        <v/>
      </c>
      <c r="B3579" s="83" t="str">
        <f t="shared" si="392"/>
        <v/>
      </c>
      <c r="U3579" s="83" t="str">
        <f t="shared" si="387"/>
        <v/>
      </c>
      <c r="V3579" s="83" t="str">
        <f t="shared" si="388"/>
        <v/>
      </c>
      <c r="AA3579" s="60">
        <f t="shared" si="389"/>
        <v>0</v>
      </c>
      <c r="AB3579" s="49">
        <f t="shared" si="390"/>
        <v>0</v>
      </c>
      <c r="AC3579" s="60">
        <f t="shared" si="391"/>
        <v>0</v>
      </c>
    </row>
    <row r="3580" spans="1:29">
      <c r="A3580" s="83" t="str">
        <f t="shared" si="386"/>
        <v/>
      </c>
      <c r="B3580" s="83" t="str">
        <f t="shared" si="392"/>
        <v/>
      </c>
      <c r="U3580" s="83" t="str">
        <f t="shared" si="387"/>
        <v/>
      </c>
      <c r="V3580" s="83" t="str">
        <f t="shared" si="388"/>
        <v/>
      </c>
      <c r="AA3580" s="60">
        <f t="shared" si="389"/>
        <v>0</v>
      </c>
      <c r="AB3580" s="49">
        <f t="shared" si="390"/>
        <v>0</v>
      </c>
      <c r="AC3580" s="60">
        <f t="shared" si="391"/>
        <v>0</v>
      </c>
    </row>
    <row r="3581" spans="1:29">
      <c r="A3581" s="83" t="str">
        <f t="shared" si="386"/>
        <v/>
      </c>
      <c r="B3581" s="83" t="str">
        <f t="shared" si="392"/>
        <v/>
      </c>
      <c r="U3581" s="83" t="str">
        <f t="shared" si="387"/>
        <v/>
      </c>
      <c r="V3581" s="83" t="str">
        <f t="shared" si="388"/>
        <v/>
      </c>
      <c r="AA3581" s="60">
        <f t="shared" si="389"/>
        <v>0</v>
      </c>
      <c r="AB3581" s="49">
        <f t="shared" si="390"/>
        <v>0</v>
      </c>
      <c r="AC3581" s="60">
        <f t="shared" si="391"/>
        <v>0</v>
      </c>
    </row>
    <row r="3582" spans="1:29">
      <c r="A3582" s="83" t="str">
        <f t="shared" si="386"/>
        <v/>
      </c>
      <c r="B3582" s="83" t="str">
        <f t="shared" si="392"/>
        <v/>
      </c>
      <c r="U3582" s="83" t="str">
        <f t="shared" si="387"/>
        <v/>
      </c>
      <c r="V3582" s="83" t="str">
        <f t="shared" si="388"/>
        <v/>
      </c>
      <c r="AA3582" s="60">
        <f t="shared" si="389"/>
        <v>0</v>
      </c>
      <c r="AB3582" s="49">
        <f t="shared" si="390"/>
        <v>0</v>
      </c>
      <c r="AC3582" s="60">
        <f t="shared" si="391"/>
        <v>0</v>
      </c>
    </row>
    <row r="3583" spans="1:29">
      <c r="A3583" s="83" t="str">
        <f t="shared" si="386"/>
        <v/>
      </c>
      <c r="B3583" s="83" t="str">
        <f t="shared" si="392"/>
        <v/>
      </c>
      <c r="U3583" s="83" t="str">
        <f t="shared" si="387"/>
        <v/>
      </c>
      <c r="V3583" s="83" t="str">
        <f t="shared" si="388"/>
        <v/>
      </c>
      <c r="AA3583" s="60">
        <f t="shared" si="389"/>
        <v>0</v>
      </c>
      <c r="AB3583" s="49">
        <f t="shared" si="390"/>
        <v>0</v>
      </c>
      <c r="AC3583" s="60">
        <f t="shared" si="391"/>
        <v>0</v>
      </c>
    </row>
    <row r="3584" spans="1:29">
      <c r="A3584" s="83" t="str">
        <f t="shared" si="386"/>
        <v/>
      </c>
      <c r="B3584" s="83" t="str">
        <f t="shared" si="392"/>
        <v/>
      </c>
      <c r="U3584" s="83" t="str">
        <f t="shared" si="387"/>
        <v/>
      </c>
      <c r="V3584" s="83" t="str">
        <f t="shared" si="388"/>
        <v/>
      </c>
      <c r="AA3584" s="60">
        <f t="shared" si="389"/>
        <v>0</v>
      </c>
      <c r="AB3584" s="49">
        <f t="shared" si="390"/>
        <v>0</v>
      </c>
      <c r="AC3584" s="60">
        <f t="shared" si="391"/>
        <v>0</v>
      </c>
    </row>
    <row r="3585" spans="1:29">
      <c r="A3585" s="83" t="str">
        <f t="shared" si="386"/>
        <v/>
      </c>
      <c r="B3585" s="83" t="str">
        <f t="shared" si="392"/>
        <v/>
      </c>
      <c r="U3585" s="83" t="str">
        <f t="shared" si="387"/>
        <v/>
      </c>
      <c r="V3585" s="83" t="str">
        <f t="shared" si="388"/>
        <v/>
      </c>
      <c r="AA3585" s="60">
        <f t="shared" si="389"/>
        <v>0</v>
      </c>
      <c r="AB3585" s="49">
        <f t="shared" si="390"/>
        <v>0</v>
      </c>
      <c r="AC3585" s="60">
        <f t="shared" si="391"/>
        <v>0</v>
      </c>
    </row>
    <row r="3586" spans="1:29">
      <c r="A3586" s="83" t="str">
        <f t="shared" si="386"/>
        <v/>
      </c>
      <c r="B3586" s="83" t="str">
        <f t="shared" si="392"/>
        <v/>
      </c>
      <c r="U3586" s="83" t="str">
        <f t="shared" si="387"/>
        <v/>
      </c>
      <c r="V3586" s="83" t="str">
        <f t="shared" si="388"/>
        <v/>
      </c>
      <c r="AA3586" s="60">
        <f t="shared" si="389"/>
        <v>0</v>
      </c>
      <c r="AB3586" s="49">
        <f t="shared" si="390"/>
        <v>0</v>
      </c>
      <c r="AC3586" s="60">
        <f t="shared" si="391"/>
        <v>0</v>
      </c>
    </row>
    <row r="3587" spans="1:29">
      <c r="A3587" s="83" t="str">
        <f t="shared" ref="A3587:A3650" si="393">IF(G3587&amp;Q3587&lt;&gt;"",U3587&amp;Q3587,"")</f>
        <v/>
      </c>
      <c r="B3587" s="83" t="str">
        <f t="shared" si="392"/>
        <v/>
      </c>
      <c r="U3587" s="83" t="str">
        <f t="shared" ref="U3587:U3650" si="394">IF(G3587&lt;&gt;"",IF(StyleSpaceSplit,IFERROR(IF(FIND(" ",G3587)&gt;=1,MID(G3587,1,FIND(" ",G3587)-1),G3587),G3587),G3587),"")</f>
        <v/>
      </c>
      <c r="V3587" s="83" t="str">
        <f t="shared" ref="V3587:V3650" si="395">IF(A3587&lt;&gt;"",IFERROR(IF(FIND(" ",G3587)&gt;=1,MID(G3587,FIND(" ",G3587)+1,LEN(G3587)),""),G3587),"")</f>
        <v/>
      </c>
      <c r="AA3587" s="60">
        <f t="shared" ref="AA3587:AA3650" si="396">IFERROR(VALUE(MID($C3587,1,2)),0)</f>
        <v>0</v>
      </c>
      <c r="AB3587" s="49">
        <f t="shared" ref="AB3587:AB3650" si="397">IFERROR(VALUE(MID($C3587,4,3)),0)</f>
        <v>0</v>
      </c>
      <c r="AC3587" s="60">
        <f t="shared" ref="AC3587:AC3650" si="398">VALUE(RIGHT("00"&amp;AA3587,2)&amp;RIGHT("000"&amp;AB3587,3))</f>
        <v>0</v>
      </c>
    </row>
    <row r="3588" spans="1:29">
      <c r="A3588" s="83" t="str">
        <f t="shared" si="393"/>
        <v/>
      </c>
      <c r="B3588" s="83" t="str">
        <f t="shared" si="392"/>
        <v/>
      </c>
      <c r="U3588" s="83" t="str">
        <f t="shared" si="394"/>
        <v/>
      </c>
      <c r="V3588" s="83" t="str">
        <f t="shared" si="395"/>
        <v/>
      </c>
      <c r="AA3588" s="60">
        <f t="shared" si="396"/>
        <v>0</v>
      </c>
      <c r="AB3588" s="49">
        <f t="shared" si="397"/>
        <v>0</v>
      </c>
      <c r="AC3588" s="60">
        <f t="shared" si="398"/>
        <v>0</v>
      </c>
    </row>
    <row r="3589" spans="1:29">
      <c r="A3589" s="83" t="str">
        <f t="shared" si="393"/>
        <v/>
      </c>
      <c r="B3589" s="83" t="str">
        <f t="shared" si="392"/>
        <v/>
      </c>
      <c r="U3589" s="83" t="str">
        <f t="shared" si="394"/>
        <v/>
      </c>
      <c r="V3589" s="83" t="str">
        <f t="shared" si="395"/>
        <v/>
      </c>
      <c r="AA3589" s="60">
        <f t="shared" si="396"/>
        <v>0</v>
      </c>
      <c r="AB3589" s="49">
        <f t="shared" si="397"/>
        <v>0</v>
      </c>
      <c r="AC3589" s="60">
        <f t="shared" si="398"/>
        <v>0</v>
      </c>
    </row>
    <row r="3590" spans="1:29">
      <c r="A3590" s="83" t="str">
        <f t="shared" si="393"/>
        <v/>
      </c>
      <c r="B3590" s="83" t="str">
        <f t="shared" si="392"/>
        <v/>
      </c>
      <c r="U3590" s="83" t="str">
        <f t="shared" si="394"/>
        <v/>
      </c>
      <c r="V3590" s="83" t="str">
        <f t="shared" si="395"/>
        <v/>
      </c>
      <c r="AA3590" s="60">
        <f t="shared" si="396"/>
        <v>0</v>
      </c>
      <c r="AB3590" s="49">
        <f t="shared" si="397"/>
        <v>0</v>
      </c>
      <c r="AC3590" s="60">
        <f t="shared" si="398"/>
        <v>0</v>
      </c>
    </row>
    <row r="3591" spans="1:29">
      <c r="A3591" s="83" t="str">
        <f t="shared" si="393"/>
        <v/>
      </c>
      <c r="B3591" s="83" t="str">
        <f t="shared" si="392"/>
        <v/>
      </c>
      <c r="U3591" s="83" t="str">
        <f t="shared" si="394"/>
        <v/>
      </c>
      <c r="V3591" s="83" t="str">
        <f t="shared" si="395"/>
        <v/>
      </c>
      <c r="AA3591" s="60">
        <f t="shared" si="396"/>
        <v>0</v>
      </c>
      <c r="AB3591" s="49">
        <f t="shared" si="397"/>
        <v>0</v>
      </c>
      <c r="AC3591" s="60">
        <f t="shared" si="398"/>
        <v>0</v>
      </c>
    </row>
    <row r="3592" spans="1:29">
      <c r="A3592" s="83" t="str">
        <f t="shared" si="393"/>
        <v/>
      </c>
      <c r="B3592" s="83" t="str">
        <f t="shared" si="392"/>
        <v/>
      </c>
      <c r="U3592" s="83" t="str">
        <f t="shared" si="394"/>
        <v/>
      </c>
      <c r="V3592" s="83" t="str">
        <f t="shared" si="395"/>
        <v/>
      </c>
      <c r="AA3592" s="60">
        <f t="shared" si="396"/>
        <v>0</v>
      </c>
      <c r="AB3592" s="49">
        <f t="shared" si="397"/>
        <v>0</v>
      </c>
      <c r="AC3592" s="60">
        <f t="shared" si="398"/>
        <v>0</v>
      </c>
    </row>
    <row r="3593" spans="1:29">
      <c r="A3593" s="83" t="str">
        <f t="shared" si="393"/>
        <v/>
      </c>
      <c r="B3593" s="83" t="str">
        <f t="shared" si="392"/>
        <v/>
      </c>
      <c r="U3593" s="83" t="str">
        <f t="shared" si="394"/>
        <v/>
      </c>
      <c r="V3593" s="83" t="str">
        <f t="shared" si="395"/>
        <v/>
      </c>
      <c r="AA3593" s="60">
        <f t="shared" si="396"/>
        <v>0</v>
      </c>
      <c r="AB3593" s="49">
        <f t="shared" si="397"/>
        <v>0</v>
      </c>
      <c r="AC3593" s="60">
        <f t="shared" si="398"/>
        <v>0</v>
      </c>
    </row>
    <row r="3594" spans="1:29">
      <c r="A3594" s="83" t="str">
        <f t="shared" si="393"/>
        <v/>
      </c>
      <c r="B3594" s="83" t="str">
        <f t="shared" si="392"/>
        <v/>
      </c>
      <c r="U3594" s="83" t="str">
        <f t="shared" si="394"/>
        <v/>
      </c>
      <c r="V3594" s="83" t="str">
        <f t="shared" si="395"/>
        <v/>
      </c>
      <c r="AA3594" s="60">
        <f t="shared" si="396"/>
        <v>0</v>
      </c>
      <c r="AB3594" s="49">
        <f t="shared" si="397"/>
        <v>0</v>
      </c>
      <c r="AC3594" s="60">
        <f t="shared" si="398"/>
        <v>0</v>
      </c>
    </row>
    <row r="3595" spans="1:29">
      <c r="A3595" s="83" t="str">
        <f t="shared" si="393"/>
        <v/>
      </c>
      <c r="B3595" s="83" t="str">
        <f t="shared" si="392"/>
        <v/>
      </c>
      <c r="U3595" s="83" t="str">
        <f t="shared" si="394"/>
        <v/>
      </c>
      <c r="V3595" s="83" t="str">
        <f t="shared" si="395"/>
        <v/>
      </c>
      <c r="AA3595" s="60">
        <f t="shared" si="396"/>
        <v>0</v>
      </c>
      <c r="AB3595" s="49">
        <f t="shared" si="397"/>
        <v>0</v>
      </c>
      <c r="AC3595" s="60">
        <f t="shared" si="398"/>
        <v>0</v>
      </c>
    </row>
    <row r="3596" spans="1:29">
      <c r="A3596" s="83" t="str">
        <f t="shared" si="393"/>
        <v/>
      </c>
      <c r="B3596" s="83" t="str">
        <f t="shared" si="392"/>
        <v/>
      </c>
      <c r="U3596" s="83" t="str">
        <f t="shared" si="394"/>
        <v/>
      </c>
      <c r="V3596" s="83" t="str">
        <f t="shared" si="395"/>
        <v/>
      </c>
      <c r="AA3596" s="60">
        <f t="shared" si="396"/>
        <v>0</v>
      </c>
      <c r="AB3596" s="49">
        <f t="shared" si="397"/>
        <v>0</v>
      </c>
      <c r="AC3596" s="60">
        <f t="shared" si="398"/>
        <v>0</v>
      </c>
    </row>
    <row r="3597" spans="1:29">
      <c r="A3597" s="83" t="str">
        <f t="shared" si="393"/>
        <v/>
      </c>
      <c r="B3597" s="83" t="str">
        <f t="shared" si="392"/>
        <v/>
      </c>
      <c r="U3597" s="83" t="str">
        <f t="shared" si="394"/>
        <v/>
      </c>
      <c r="V3597" s="83" t="str">
        <f t="shared" si="395"/>
        <v/>
      </c>
      <c r="AA3597" s="60">
        <f t="shared" si="396"/>
        <v>0</v>
      </c>
      <c r="AB3597" s="49">
        <f t="shared" si="397"/>
        <v>0</v>
      </c>
      <c r="AC3597" s="60">
        <f t="shared" si="398"/>
        <v>0</v>
      </c>
    </row>
    <row r="3598" spans="1:29">
      <c r="A3598" s="83" t="str">
        <f t="shared" si="393"/>
        <v/>
      </c>
      <c r="B3598" s="83" t="str">
        <f t="shared" si="392"/>
        <v/>
      </c>
      <c r="U3598" s="83" t="str">
        <f t="shared" si="394"/>
        <v/>
      </c>
      <c r="V3598" s="83" t="str">
        <f t="shared" si="395"/>
        <v/>
      </c>
      <c r="AA3598" s="60">
        <f t="shared" si="396"/>
        <v>0</v>
      </c>
      <c r="AB3598" s="49">
        <f t="shared" si="397"/>
        <v>0</v>
      </c>
      <c r="AC3598" s="60">
        <f t="shared" si="398"/>
        <v>0</v>
      </c>
    </row>
    <row r="3599" spans="1:29">
      <c r="A3599" s="83" t="str">
        <f t="shared" si="393"/>
        <v/>
      </c>
      <c r="B3599" s="83" t="str">
        <f t="shared" si="392"/>
        <v/>
      </c>
      <c r="U3599" s="83" t="str">
        <f t="shared" si="394"/>
        <v/>
      </c>
      <c r="V3599" s="83" t="str">
        <f t="shared" si="395"/>
        <v/>
      </c>
      <c r="AA3599" s="60">
        <f t="shared" si="396"/>
        <v>0</v>
      </c>
      <c r="AB3599" s="49">
        <f t="shared" si="397"/>
        <v>0</v>
      </c>
      <c r="AC3599" s="60">
        <f t="shared" si="398"/>
        <v>0</v>
      </c>
    </row>
    <row r="3600" spans="1:29">
      <c r="A3600" s="83" t="str">
        <f t="shared" si="393"/>
        <v/>
      </c>
      <c r="B3600" s="83" t="str">
        <f t="shared" si="392"/>
        <v/>
      </c>
      <c r="U3600" s="83" t="str">
        <f t="shared" si="394"/>
        <v/>
      </c>
      <c r="V3600" s="83" t="str">
        <f t="shared" si="395"/>
        <v/>
      </c>
      <c r="AA3600" s="60">
        <f t="shared" si="396"/>
        <v>0</v>
      </c>
      <c r="AB3600" s="49">
        <f t="shared" si="397"/>
        <v>0</v>
      </c>
      <c r="AC3600" s="60">
        <f t="shared" si="398"/>
        <v>0</v>
      </c>
    </row>
    <row r="3601" spans="1:29">
      <c r="A3601" s="83" t="str">
        <f t="shared" si="393"/>
        <v/>
      </c>
      <c r="B3601" s="83" t="str">
        <f t="shared" si="392"/>
        <v/>
      </c>
      <c r="U3601" s="83" t="str">
        <f t="shared" si="394"/>
        <v/>
      </c>
      <c r="V3601" s="83" t="str">
        <f t="shared" si="395"/>
        <v/>
      </c>
      <c r="AA3601" s="60">
        <f t="shared" si="396"/>
        <v>0</v>
      </c>
      <c r="AB3601" s="49">
        <f t="shared" si="397"/>
        <v>0</v>
      </c>
      <c r="AC3601" s="60">
        <f t="shared" si="398"/>
        <v>0</v>
      </c>
    </row>
    <row r="3602" spans="1:29">
      <c r="A3602" s="83" t="str">
        <f t="shared" si="393"/>
        <v/>
      </c>
      <c r="B3602" s="83" t="str">
        <f t="shared" si="392"/>
        <v/>
      </c>
      <c r="U3602" s="83" t="str">
        <f t="shared" si="394"/>
        <v/>
      </c>
      <c r="V3602" s="83" t="str">
        <f t="shared" si="395"/>
        <v/>
      </c>
      <c r="AA3602" s="60">
        <f t="shared" si="396"/>
        <v>0</v>
      </c>
      <c r="AB3602" s="49">
        <f t="shared" si="397"/>
        <v>0</v>
      </c>
      <c r="AC3602" s="60">
        <f t="shared" si="398"/>
        <v>0</v>
      </c>
    </row>
    <row r="3603" spans="1:29">
      <c r="A3603" s="83" t="str">
        <f t="shared" si="393"/>
        <v/>
      </c>
      <c r="B3603" s="83" t="str">
        <f t="shared" si="392"/>
        <v/>
      </c>
      <c r="U3603" s="83" t="str">
        <f t="shared" si="394"/>
        <v/>
      </c>
      <c r="V3603" s="83" t="str">
        <f t="shared" si="395"/>
        <v/>
      </c>
      <c r="AA3603" s="60">
        <f t="shared" si="396"/>
        <v>0</v>
      </c>
      <c r="AB3603" s="49">
        <f t="shared" si="397"/>
        <v>0</v>
      </c>
      <c r="AC3603" s="60">
        <f t="shared" si="398"/>
        <v>0</v>
      </c>
    </row>
    <row r="3604" spans="1:29">
      <c r="A3604" s="83" t="str">
        <f t="shared" si="393"/>
        <v/>
      </c>
      <c r="B3604" s="83" t="str">
        <f t="shared" si="392"/>
        <v/>
      </c>
      <c r="U3604" s="83" t="str">
        <f t="shared" si="394"/>
        <v/>
      </c>
      <c r="V3604" s="83" t="str">
        <f t="shared" si="395"/>
        <v/>
      </c>
      <c r="AA3604" s="60">
        <f t="shared" si="396"/>
        <v>0</v>
      </c>
      <c r="AB3604" s="49">
        <f t="shared" si="397"/>
        <v>0</v>
      </c>
      <c r="AC3604" s="60">
        <f t="shared" si="398"/>
        <v>0</v>
      </c>
    </row>
    <row r="3605" spans="1:29">
      <c r="A3605" s="83" t="str">
        <f t="shared" si="393"/>
        <v/>
      </c>
      <c r="B3605" s="83" t="str">
        <f t="shared" si="392"/>
        <v/>
      </c>
      <c r="U3605" s="83" t="str">
        <f t="shared" si="394"/>
        <v/>
      </c>
      <c r="V3605" s="83" t="str">
        <f t="shared" si="395"/>
        <v/>
      </c>
      <c r="AA3605" s="60">
        <f t="shared" si="396"/>
        <v>0</v>
      </c>
      <c r="AB3605" s="49">
        <f t="shared" si="397"/>
        <v>0</v>
      </c>
      <c r="AC3605" s="60">
        <f t="shared" si="398"/>
        <v>0</v>
      </c>
    </row>
    <row r="3606" spans="1:29">
      <c r="A3606" s="83" t="str">
        <f t="shared" si="393"/>
        <v/>
      </c>
      <c r="B3606" s="83" t="str">
        <f t="shared" si="392"/>
        <v/>
      </c>
      <c r="U3606" s="83" t="str">
        <f t="shared" si="394"/>
        <v/>
      </c>
      <c r="V3606" s="83" t="str">
        <f t="shared" si="395"/>
        <v/>
      </c>
      <c r="AA3606" s="60">
        <f t="shared" si="396"/>
        <v>0</v>
      </c>
      <c r="AB3606" s="49">
        <f t="shared" si="397"/>
        <v>0</v>
      </c>
      <c r="AC3606" s="60">
        <f t="shared" si="398"/>
        <v>0</v>
      </c>
    </row>
    <row r="3607" spans="1:29">
      <c r="A3607" s="83" t="str">
        <f t="shared" si="393"/>
        <v/>
      </c>
      <c r="B3607" s="83" t="str">
        <f t="shared" si="392"/>
        <v/>
      </c>
      <c r="U3607" s="83" t="str">
        <f t="shared" si="394"/>
        <v/>
      </c>
      <c r="V3607" s="83" t="str">
        <f t="shared" si="395"/>
        <v/>
      </c>
      <c r="AA3607" s="60">
        <f t="shared" si="396"/>
        <v>0</v>
      </c>
      <c r="AB3607" s="49">
        <f t="shared" si="397"/>
        <v>0</v>
      </c>
      <c r="AC3607" s="60">
        <f t="shared" si="398"/>
        <v>0</v>
      </c>
    </row>
    <row r="3608" spans="1:29">
      <c r="A3608" s="83" t="str">
        <f t="shared" si="393"/>
        <v/>
      </c>
      <c r="B3608" s="83" t="str">
        <f t="shared" si="392"/>
        <v/>
      </c>
      <c r="U3608" s="83" t="str">
        <f t="shared" si="394"/>
        <v/>
      </c>
      <c r="V3608" s="83" t="str">
        <f t="shared" si="395"/>
        <v/>
      </c>
      <c r="AA3608" s="60">
        <f t="shared" si="396"/>
        <v>0</v>
      </c>
      <c r="AB3608" s="49">
        <f t="shared" si="397"/>
        <v>0</v>
      </c>
      <c r="AC3608" s="60">
        <f t="shared" si="398"/>
        <v>0</v>
      </c>
    </row>
    <row r="3609" spans="1:29">
      <c r="A3609" s="83" t="str">
        <f t="shared" si="393"/>
        <v/>
      </c>
      <c r="B3609" s="83" t="str">
        <f t="shared" si="392"/>
        <v/>
      </c>
      <c r="U3609" s="83" t="str">
        <f t="shared" si="394"/>
        <v/>
      </c>
      <c r="V3609" s="83" t="str">
        <f t="shared" si="395"/>
        <v/>
      </c>
      <c r="AA3609" s="60">
        <f t="shared" si="396"/>
        <v>0</v>
      </c>
      <c r="AB3609" s="49">
        <f t="shared" si="397"/>
        <v>0</v>
      </c>
      <c r="AC3609" s="60">
        <f t="shared" si="398"/>
        <v>0</v>
      </c>
    </row>
    <row r="3610" spans="1:29">
      <c r="A3610" s="83" t="str">
        <f t="shared" si="393"/>
        <v/>
      </c>
      <c r="B3610" s="83" t="str">
        <f t="shared" si="392"/>
        <v/>
      </c>
      <c r="U3610" s="83" t="str">
        <f t="shared" si="394"/>
        <v/>
      </c>
      <c r="V3610" s="83" t="str">
        <f t="shared" si="395"/>
        <v/>
      </c>
      <c r="AA3610" s="60">
        <f t="shared" si="396"/>
        <v>0</v>
      </c>
      <c r="AB3610" s="49">
        <f t="shared" si="397"/>
        <v>0</v>
      </c>
      <c r="AC3610" s="60">
        <f t="shared" si="398"/>
        <v>0</v>
      </c>
    </row>
    <row r="3611" spans="1:29">
      <c r="A3611" s="83" t="str">
        <f t="shared" si="393"/>
        <v/>
      </c>
      <c r="B3611" s="83" t="str">
        <f t="shared" si="392"/>
        <v/>
      </c>
      <c r="U3611" s="83" t="str">
        <f t="shared" si="394"/>
        <v/>
      </c>
      <c r="V3611" s="83" t="str">
        <f t="shared" si="395"/>
        <v/>
      </c>
      <c r="AA3611" s="60">
        <f t="shared" si="396"/>
        <v>0</v>
      </c>
      <c r="AB3611" s="49">
        <f t="shared" si="397"/>
        <v>0</v>
      </c>
      <c r="AC3611" s="60">
        <f t="shared" si="398"/>
        <v>0</v>
      </c>
    </row>
    <row r="3612" spans="1:29">
      <c r="A3612" s="83" t="str">
        <f t="shared" si="393"/>
        <v/>
      </c>
      <c r="B3612" s="83" t="str">
        <f t="shared" si="392"/>
        <v/>
      </c>
      <c r="U3612" s="83" t="str">
        <f t="shared" si="394"/>
        <v/>
      </c>
      <c r="V3612" s="83" t="str">
        <f t="shared" si="395"/>
        <v/>
      </c>
      <c r="AA3612" s="60">
        <f t="shared" si="396"/>
        <v>0</v>
      </c>
      <c r="AB3612" s="49">
        <f t="shared" si="397"/>
        <v>0</v>
      </c>
      <c r="AC3612" s="60">
        <f t="shared" si="398"/>
        <v>0</v>
      </c>
    </row>
    <row r="3613" spans="1:29">
      <c r="A3613" s="83" t="str">
        <f t="shared" si="393"/>
        <v/>
      </c>
      <c r="B3613" s="83" t="str">
        <f t="shared" si="392"/>
        <v/>
      </c>
      <c r="U3613" s="83" t="str">
        <f t="shared" si="394"/>
        <v/>
      </c>
      <c r="V3613" s="83" t="str">
        <f t="shared" si="395"/>
        <v/>
      </c>
      <c r="AA3613" s="60">
        <f t="shared" si="396"/>
        <v>0</v>
      </c>
      <c r="AB3613" s="49">
        <f t="shared" si="397"/>
        <v>0</v>
      </c>
      <c r="AC3613" s="60">
        <f t="shared" si="398"/>
        <v>0</v>
      </c>
    </row>
    <row r="3614" spans="1:29">
      <c r="A3614" s="83" t="str">
        <f t="shared" si="393"/>
        <v/>
      </c>
      <c r="B3614" s="83" t="str">
        <f t="shared" si="392"/>
        <v/>
      </c>
      <c r="U3614" s="83" t="str">
        <f t="shared" si="394"/>
        <v/>
      </c>
      <c r="V3614" s="83" t="str">
        <f t="shared" si="395"/>
        <v/>
      </c>
      <c r="AA3614" s="60">
        <f t="shared" si="396"/>
        <v>0</v>
      </c>
      <c r="AB3614" s="49">
        <f t="shared" si="397"/>
        <v>0</v>
      </c>
      <c r="AC3614" s="60">
        <f t="shared" si="398"/>
        <v>0</v>
      </c>
    </row>
    <row r="3615" spans="1:29">
      <c r="A3615" s="83" t="str">
        <f t="shared" si="393"/>
        <v/>
      </c>
      <c r="B3615" s="83" t="str">
        <f t="shared" si="392"/>
        <v/>
      </c>
      <c r="U3615" s="83" t="str">
        <f t="shared" si="394"/>
        <v/>
      </c>
      <c r="V3615" s="83" t="str">
        <f t="shared" si="395"/>
        <v/>
      </c>
      <c r="AA3615" s="60">
        <f t="shared" si="396"/>
        <v>0</v>
      </c>
      <c r="AB3615" s="49">
        <f t="shared" si="397"/>
        <v>0</v>
      </c>
      <c r="AC3615" s="60">
        <f t="shared" si="398"/>
        <v>0</v>
      </c>
    </row>
    <row r="3616" spans="1:29">
      <c r="A3616" s="83" t="str">
        <f t="shared" si="393"/>
        <v/>
      </c>
      <c r="B3616" s="83" t="str">
        <f t="shared" si="392"/>
        <v/>
      </c>
      <c r="U3616" s="83" t="str">
        <f t="shared" si="394"/>
        <v/>
      </c>
      <c r="V3616" s="83" t="str">
        <f t="shared" si="395"/>
        <v/>
      </c>
      <c r="AA3616" s="60">
        <f t="shared" si="396"/>
        <v>0</v>
      </c>
      <c r="AB3616" s="49">
        <f t="shared" si="397"/>
        <v>0</v>
      </c>
      <c r="AC3616" s="60">
        <f t="shared" si="398"/>
        <v>0</v>
      </c>
    </row>
    <row r="3617" spans="1:29">
      <c r="A3617" s="83" t="str">
        <f t="shared" si="393"/>
        <v/>
      </c>
      <c r="B3617" s="83" t="str">
        <f t="shared" ref="B3617:B3680" si="399">IF(C3617&lt;&gt;"",LEFT(C3617,9),"")</f>
        <v/>
      </c>
      <c r="U3617" s="83" t="str">
        <f t="shared" si="394"/>
        <v/>
      </c>
      <c r="V3617" s="83" t="str">
        <f t="shared" si="395"/>
        <v/>
      </c>
      <c r="AA3617" s="60">
        <f t="shared" si="396"/>
        <v>0</v>
      </c>
      <c r="AB3617" s="49">
        <f t="shared" si="397"/>
        <v>0</v>
      </c>
      <c r="AC3617" s="60">
        <f t="shared" si="398"/>
        <v>0</v>
      </c>
    </row>
    <row r="3618" spans="1:29">
      <c r="A3618" s="83" t="str">
        <f t="shared" si="393"/>
        <v/>
      </c>
      <c r="B3618" s="83" t="str">
        <f t="shared" si="399"/>
        <v/>
      </c>
      <c r="U3618" s="83" t="str">
        <f t="shared" si="394"/>
        <v/>
      </c>
      <c r="V3618" s="83" t="str">
        <f t="shared" si="395"/>
        <v/>
      </c>
      <c r="AA3618" s="60">
        <f t="shared" si="396"/>
        <v>0</v>
      </c>
      <c r="AB3618" s="49">
        <f t="shared" si="397"/>
        <v>0</v>
      </c>
      <c r="AC3618" s="60">
        <f t="shared" si="398"/>
        <v>0</v>
      </c>
    </row>
    <row r="3619" spans="1:29">
      <c r="A3619" s="83" t="str">
        <f t="shared" si="393"/>
        <v/>
      </c>
      <c r="B3619" s="83" t="str">
        <f t="shared" si="399"/>
        <v/>
      </c>
      <c r="U3619" s="83" t="str">
        <f t="shared" si="394"/>
        <v/>
      </c>
      <c r="V3619" s="83" t="str">
        <f t="shared" si="395"/>
        <v/>
      </c>
      <c r="AA3619" s="60">
        <f t="shared" si="396"/>
        <v>0</v>
      </c>
      <c r="AB3619" s="49">
        <f t="shared" si="397"/>
        <v>0</v>
      </c>
      <c r="AC3619" s="60">
        <f t="shared" si="398"/>
        <v>0</v>
      </c>
    </row>
    <row r="3620" spans="1:29">
      <c r="A3620" s="83" t="str">
        <f t="shared" si="393"/>
        <v/>
      </c>
      <c r="B3620" s="83" t="str">
        <f t="shared" si="399"/>
        <v/>
      </c>
      <c r="U3620" s="83" t="str">
        <f t="shared" si="394"/>
        <v/>
      </c>
      <c r="V3620" s="83" t="str">
        <f t="shared" si="395"/>
        <v/>
      </c>
      <c r="AA3620" s="60">
        <f t="shared" si="396"/>
        <v>0</v>
      </c>
      <c r="AB3620" s="49">
        <f t="shared" si="397"/>
        <v>0</v>
      </c>
      <c r="AC3620" s="60">
        <f t="shared" si="398"/>
        <v>0</v>
      </c>
    </row>
    <row r="3621" spans="1:29">
      <c r="A3621" s="83" t="str">
        <f t="shared" si="393"/>
        <v/>
      </c>
      <c r="B3621" s="83" t="str">
        <f t="shared" si="399"/>
        <v/>
      </c>
      <c r="U3621" s="83" t="str">
        <f t="shared" si="394"/>
        <v/>
      </c>
      <c r="V3621" s="83" t="str">
        <f t="shared" si="395"/>
        <v/>
      </c>
      <c r="AA3621" s="60">
        <f t="shared" si="396"/>
        <v>0</v>
      </c>
      <c r="AB3621" s="49">
        <f t="shared" si="397"/>
        <v>0</v>
      </c>
      <c r="AC3621" s="60">
        <f t="shared" si="398"/>
        <v>0</v>
      </c>
    </row>
    <row r="3622" spans="1:29">
      <c r="A3622" s="83" t="str">
        <f t="shared" si="393"/>
        <v/>
      </c>
      <c r="B3622" s="83" t="str">
        <f t="shared" si="399"/>
        <v/>
      </c>
      <c r="U3622" s="83" t="str">
        <f t="shared" si="394"/>
        <v/>
      </c>
      <c r="V3622" s="83" t="str">
        <f t="shared" si="395"/>
        <v/>
      </c>
      <c r="AA3622" s="60">
        <f t="shared" si="396"/>
        <v>0</v>
      </c>
      <c r="AB3622" s="49">
        <f t="shared" si="397"/>
        <v>0</v>
      </c>
      <c r="AC3622" s="60">
        <f t="shared" si="398"/>
        <v>0</v>
      </c>
    </row>
    <row r="3623" spans="1:29">
      <c r="A3623" s="83" t="str">
        <f t="shared" si="393"/>
        <v/>
      </c>
      <c r="B3623" s="83" t="str">
        <f t="shared" si="399"/>
        <v/>
      </c>
      <c r="U3623" s="83" t="str">
        <f t="shared" si="394"/>
        <v/>
      </c>
      <c r="V3623" s="83" t="str">
        <f t="shared" si="395"/>
        <v/>
      </c>
      <c r="AA3623" s="60">
        <f t="shared" si="396"/>
        <v>0</v>
      </c>
      <c r="AB3623" s="49">
        <f t="shared" si="397"/>
        <v>0</v>
      </c>
      <c r="AC3623" s="60">
        <f t="shared" si="398"/>
        <v>0</v>
      </c>
    </row>
    <row r="3624" spans="1:29">
      <c r="A3624" s="83" t="str">
        <f t="shared" si="393"/>
        <v/>
      </c>
      <c r="B3624" s="83" t="str">
        <f t="shared" si="399"/>
        <v/>
      </c>
      <c r="U3624" s="83" t="str">
        <f t="shared" si="394"/>
        <v/>
      </c>
      <c r="V3624" s="83" t="str">
        <f t="shared" si="395"/>
        <v/>
      </c>
      <c r="AA3624" s="60">
        <f t="shared" si="396"/>
        <v>0</v>
      </c>
      <c r="AB3624" s="49">
        <f t="shared" si="397"/>
        <v>0</v>
      </c>
      <c r="AC3624" s="60">
        <f t="shared" si="398"/>
        <v>0</v>
      </c>
    </row>
    <row r="3625" spans="1:29">
      <c r="A3625" s="83" t="str">
        <f t="shared" si="393"/>
        <v/>
      </c>
      <c r="B3625" s="83" t="str">
        <f t="shared" si="399"/>
        <v/>
      </c>
      <c r="U3625" s="83" t="str">
        <f t="shared" si="394"/>
        <v/>
      </c>
      <c r="V3625" s="83" t="str">
        <f t="shared" si="395"/>
        <v/>
      </c>
      <c r="AA3625" s="60">
        <f t="shared" si="396"/>
        <v>0</v>
      </c>
      <c r="AB3625" s="49">
        <f t="shared" si="397"/>
        <v>0</v>
      </c>
      <c r="AC3625" s="60">
        <f t="shared" si="398"/>
        <v>0</v>
      </c>
    </row>
    <row r="3626" spans="1:29">
      <c r="A3626" s="83" t="str">
        <f t="shared" si="393"/>
        <v/>
      </c>
      <c r="B3626" s="83" t="str">
        <f t="shared" si="399"/>
        <v/>
      </c>
      <c r="U3626" s="83" t="str">
        <f t="shared" si="394"/>
        <v/>
      </c>
      <c r="V3626" s="83" t="str">
        <f t="shared" si="395"/>
        <v/>
      </c>
      <c r="AA3626" s="60">
        <f t="shared" si="396"/>
        <v>0</v>
      </c>
      <c r="AB3626" s="49">
        <f t="shared" si="397"/>
        <v>0</v>
      </c>
      <c r="AC3626" s="60">
        <f t="shared" si="398"/>
        <v>0</v>
      </c>
    </row>
    <row r="3627" spans="1:29">
      <c r="A3627" s="83" t="str">
        <f t="shared" si="393"/>
        <v/>
      </c>
      <c r="B3627" s="83" t="str">
        <f t="shared" si="399"/>
        <v/>
      </c>
      <c r="U3627" s="83" t="str">
        <f t="shared" si="394"/>
        <v/>
      </c>
      <c r="V3627" s="83" t="str">
        <f t="shared" si="395"/>
        <v/>
      </c>
      <c r="AA3627" s="60">
        <f t="shared" si="396"/>
        <v>0</v>
      </c>
      <c r="AB3627" s="49">
        <f t="shared" si="397"/>
        <v>0</v>
      </c>
      <c r="AC3627" s="60">
        <f t="shared" si="398"/>
        <v>0</v>
      </c>
    </row>
    <row r="3628" spans="1:29">
      <c r="A3628" s="83" t="str">
        <f t="shared" si="393"/>
        <v/>
      </c>
      <c r="B3628" s="83" t="str">
        <f t="shared" si="399"/>
        <v/>
      </c>
      <c r="U3628" s="83" t="str">
        <f t="shared" si="394"/>
        <v/>
      </c>
      <c r="V3628" s="83" t="str">
        <f t="shared" si="395"/>
        <v/>
      </c>
      <c r="AA3628" s="60">
        <f t="shared" si="396"/>
        <v>0</v>
      </c>
      <c r="AB3628" s="49">
        <f t="shared" si="397"/>
        <v>0</v>
      </c>
      <c r="AC3628" s="60">
        <f t="shared" si="398"/>
        <v>0</v>
      </c>
    </row>
    <row r="3629" spans="1:29">
      <c r="A3629" s="83" t="str">
        <f t="shared" si="393"/>
        <v/>
      </c>
      <c r="B3629" s="83" t="str">
        <f t="shared" si="399"/>
        <v/>
      </c>
      <c r="U3629" s="83" t="str">
        <f t="shared" si="394"/>
        <v/>
      </c>
      <c r="V3629" s="83" t="str">
        <f t="shared" si="395"/>
        <v/>
      </c>
      <c r="AA3629" s="60">
        <f t="shared" si="396"/>
        <v>0</v>
      </c>
      <c r="AB3629" s="49">
        <f t="shared" si="397"/>
        <v>0</v>
      </c>
      <c r="AC3629" s="60">
        <f t="shared" si="398"/>
        <v>0</v>
      </c>
    </row>
    <row r="3630" spans="1:29">
      <c r="A3630" s="83" t="str">
        <f t="shared" si="393"/>
        <v/>
      </c>
      <c r="B3630" s="83" t="str">
        <f t="shared" si="399"/>
        <v/>
      </c>
      <c r="U3630" s="83" t="str">
        <f t="shared" si="394"/>
        <v/>
      </c>
      <c r="V3630" s="83" t="str">
        <f t="shared" si="395"/>
        <v/>
      </c>
      <c r="AA3630" s="60">
        <f t="shared" si="396"/>
        <v>0</v>
      </c>
      <c r="AB3630" s="49">
        <f t="shared" si="397"/>
        <v>0</v>
      </c>
      <c r="AC3630" s="60">
        <f t="shared" si="398"/>
        <v>0</v>
      </c>
    </row>
    <row r="3631" spans="1:29">
      <c r="A3631" s="83" t="str">
        <f t="shared" si="393"/>
        <v/>
      </c>
      <c r="B3631" s="83" t="str">
        <f t="shared" si="399"/>
        <v/>
      </c>
      <c r="U3631" s="83" t="str">
        <f t="shared" si="394"/>
        <v/>
      </c>
      <c r="V3631" s="83" t="str">
        <f t="shared" si="395"/>
        <v/>
      </c>
      <c r="AA3631" s="60">
        <f t="shared" si="396"/>
        <v>0</v>
      </c>
      <c r="AB3631" s="49">
        <f t="shared" si="397"/>
        <v>0</v>
      </c>
      <c r="AC3631" s="60">
        <f t="shared" si="398"/>
        <v>0</v>
      </c>
    </row>
    <row r="3632" spans="1:29">
      <c r="A3632" s="83" t="str">
        <f t="shared" si="393"/>
        <v/>
      </c>
      <c r="B3632" s="83" t="str">
        <f t="shared" si="399"/>
        <v/>
      </c>
      <c r="U3632" s="83" t="str">
        <f t="shared" si="394"/>
        <v/>
      </c>
      <c r="V3632" s="83" t="str">
        <f t="shared" si="395"/>
        <v/>
      </c>
      <c r="AA3632" s="60">
        <f t="shared" si="396"/>
        <v>0</v>
      </c>
      <c r="AB3632" s="49">
        <f t="shared" si="397"/>
        <v>0</v>
      </c>
      <c r="AC3632" s="60">
        <f t="shared" si="398"/>
        <v>0</v>
      </c>
    </row>
    <row r="3633" spans="1:29">
      <c r="A3633" s="83" t="str">
        <f t="shared" si="393"/>
        <v/>
      </c>
      <c r="B3633" s="83" t="str">
        <f t="shared" si="399"/>
        <v/>
      </c>
      <c r="U3633" s="83" t="str">
        <f t="shared" si="394"/>
        <v/>
      </c>
      <c r="V3633" s="83" t="str">
        <f t="shared" si="395"/>
        <v/>
      </c>
      <c r="AA3633" s="60">
        <f t="shared" si="396"/>
        <v>0</v>
      </c>
      <c r="AB3633" s="49">
        <f t="shared" si="397"/>
        <v>0</v>
      </c>
      <c r="AC3633" s="60">
        <f t="shared" si="398"/>
        <v>0</v>
      </c>
    </row>
    <row r="3634" spans="1:29">
      <c r="A3634" s="83" t="str">
        <f t="shared" si="393"/>
        <v/>
      </c>
      <c r="B3634" s="83" t="str">
        <f t="shared" si="399"/>
        <v/>
      </c>
      <c r="U3634" s="83" t="str">
        <f t="shared" si="394"/>
        <v/>
      </c>
      <c r="V3634" s="83" t="str">
        <f t="shared" si="395"/>
        <v/>
      </c>
      <c r="AA3634" s="60">
        <f t="shared" si="396"/>
        <v>0</v>
      </c>
      <c r="AB3634" s="49">
        <f t="shared" si="397"/>
        <v>0</v>
      </c>
      <c r="AC3634" s="60">
        <f t="shared" si="398"/>
        <v>0</v>
      </c>
    </row>
    <row r="3635" spans="1:29">
      <c r="A3635" s="83" t="str">
        <f t="shared" si="393"/>
        <v/>
      </c>
      <c r="B3635" s="83" t="str">
        <f t="shared" si="399"/>
        <v/>
      </c>
      <c r="U3635" s="83" t="str">
        <f t="shared" si="394"/>
        <v/>
      </c>
      <c r="V3635" s="83" t="str">
        <f t="shared" si="395"/>
        <v/>
      </c>
      <c r="AA3635" s="60">
        <f t="shared" si="396"/>
        <v>0</v>
      </c>
      <c r="AB3635" s="49">
        <f t="shared" si="397"/>
        <v>0</v>
      </c>
      <c r="AC3635" s="60">
        <f t="shared" si="398"/>
        <v>0</v>
      </c>
    </row>
    <row r="3636" spans="1:29">
      <c r="A3636" s="83" t="str">
        <f t="shared" si="393"/>
        <v/>
      </c>
      <c r="B3636" s="83" t="str">
        <f t="shared" si="399"/>
        <v/>
      </c>
      <c r="U3636" s="83" t="str">
        <f t="shared" si="394"/>
        <v/>
      </c>
      <c r="V3636" s="83" t="str">
        <f t="shared" si="395"/>
        <v/>
      </c>
      <c r="AA3636" s="60">
        <f t="shared" si="396"/>
        <v>0</v>
      </c>
      <c r="AB3636" s="49">
        <f t="shared" si="397"/>
        <v>0</v>
      </c>
      <c r="AC3636" s="60">
        <f t="shared" si="398"/>
        <v>0</v>
      </c>
    </row>
    <row r="3637" spans="1:29">
      <c r="A3637" s="83" t="str">
        <f t="shared" si="393"/>
        <v/>
      </c>
      <c r="B3637" s="83" t="str">
        <f t="shared" si="399"/>
        <v/>
      </c>
      <c r="U3637" s="83" t="str">
        <f t="shared" si="394"/>
        <v/>
      </c>
      <c r="V3637" s="83" t="str">
        <f t="shared" si="395"/>
        <v/>
      </c>
      <c r="AA3637" s="60">
        <f t="shared" si="396"/>
        <v>0</v>
      </c>
      <c r="AB3637" s="49">
        <f t="shared" si="397"/>
        <v>0</v>
      </c>
      <c r="AC3637" s="60">
        <f t="shared" si="398"/>
        <v>0</v>
      </c>
    </row>
    <row r="3638" spans="1:29">
      <c r="A3638" s="83" t="str">
        <f t="shared" si="393"/>
        <v/>
      </c>
      <c r="B3638" s="83" t="str">
        <f t="shared" si="399"/>
        <v/>
      </c>
      <c r="U3638" s="83" t="str">
        <f t="shared" si="394"/>
        <v/>
      </c>
      <c r="V3638" s="83" t="str">
        <f t="shared" si="395"/>
        <v/>
      </c>
      <c r="AA3638" s="60">
        <f t="shared" si="396"/>
        <v>0</v>
      </c>
      <c r="AB3638" s="49">
        <f t="shared" si="397"/>
        <v>0</v>
      </c>
      <c r="AC3638" s="60">
        <f t="shared" si="398"/>
        <v>0</v>
      </c>
    </row>
    <row r="3639" spans="1:29">
      <c r="A3639" s="83" t="str">
        <f t="shared" si="393"/>
        <v/>
      </c>
      <c r="B3639" s="83" t="str">
        <f t="shared" si="399"/>
        <v/>
      </c>
      <c r="U3639" s="83" t="str">
        <f t="shared" si="394"/>
        <v/>
      </c>
      <c r="V3639" s="83" t="str">
        <f t="shared" si="395"/>
        <v/>
      </c>
      <c r="AA3639" s="60">
        <f t="shared" si="396"/>
        <v>0</v>
      </c>
      <c r="AB3639" s="49">
        <f t="shared" si="397"/>
        <v>0</v>
      </c>
      <c r="AC3639" s="60">
        <f t="shared" si="398"/>
        <v>0</v>
      </c>
    </row>
    <row r="3640" spans="1:29">
      <c r="A3640" s="83" t="str">
        <f t="shared" si="393"/>
        <v/>
      </c>
      <c r="B3640" s="83" t="str">
        <f t="shared" si="399"/>
        <v/>
      </c>
      <c r="U3640" s="83" t="str">
        <f t="shared" si="394"/>
        <v/>
      </c>
      <c r="V3640" s="83" t="str">
        <f t="shared" si="395"/>
        <v/>
      </c>
      <c r="AA3640" s="60">
        <f t="shared" si="396"/>
        <v>0</v>
      </c>
      <c r="AB3640" s="49">
        <f t="shared" si="397"/>
        <v>0</v>
      </c>
      <c r="AC3640" s="60">
        <f t="shared" si="398"/>
        <v>0</v>
      </c>
    </row>
    <row r="3641" spans="1:29">
      <c r="A3641" s="83" t="str">
        <f t="shared" si="393"/>
        <v/>
      </c>
      <c r="B3641" s="83" t="str">
        <f t="shared" si="399"/>
        <v/>
      </c>
      <c r="U3641" s="83" t="str">
        <f t="shared" si="394"/>
        <v/>
      </c>
      <c r="V3641" s="83" t="str">
        <f t="shared" si="395"/>
        <v/>
      </c>
      <c r="AA3641" s="60">
        <f t="shared" si="396"/>
        <v>0</v>
      </c>
      <c r="AB3641" s="49">
        <f t="shared" si="397"/>
        <v>0</v>
      </c>
      <c r="AC3641" s="60">
        <f t="shared" si="398"/>
        <v>0</v>
      </c>
    </row>
    <row r="3642" spans="1:29">
      <c r="A3642" s="83" t="str">
        <f t="shared" si="393"/>
        <v/>
      </c>
      <c r="B3642" s="83" t="str">
        <f t="shared" si="399"/>
        <v/>
      </c>
      <c r="U3642" s="83" t="str">
        <f t="shared" si="394"/>
        <v/>
      </c>
      <c r="V3642" s="83" t="str">
        <f t="shared" si="395"/>
        <v/>
      </c>
      <c r="AA3642" s="60">
        <f t="shared" si="396"/>
        <v>0</v>
      </c>
      <c r="AB3642" s="49">
        <f t="shared" si="397"/>
        <v>0</v>
      </c>
      <c r="AC3642" s="60">
        <f t="shared" si="398"/>
        <v>0</v>
      </c>
    </row>
    <row r="3643" spans="1:29">
      <c r="A3643" s="83" t="str">
        <f t="shared" si="393"/>
        <v/>
      </c>
      <c r="B3643" s="83" t="str">
        <f t="shared" si="399"/>
        <v/>
      </c>
      <c r="U3643" s="83" t="str">
        <f t="shared" si="394"/>
        <v/>
      </c>
      <c r="V3643" s="83" t="str">
        <f t="shared" si="395"/>
        <v/>
      </c>
      <c r="AA3643" s="60">
        <f t="shared" si="396"/>
        <v>0</v>
      </c>
      <c r="AB3643" s="49">
        <f t="shared" si="397"/>
        <v>0</v>
      </c>
      <c r="AC3643" s="60">
        <f t="shared" si="398"/>
        <v>0</v>
      </c>
    </row>
    <row r="3644" spans="1:29">
      <c r="A3644" s="83" t="str">
        <f t="shared" si="393"/>
        <v/>
      </c>
      <c r="B3644" s="83" t="str">
        <f t="shared" si="399"/>
        <v/>
      </c>
      <c r="U3644" s="83" t="str">
        <f t="shared" si="394"/>
        <v/>
      </c>
      <c r="V3644" s="83" t="str">
        <f t="shared" si="395"/>
        <v/>
      </c>
      <c r="AA3644" s="60">
        <f t="shared" si="396"/>
        <v>0</v>
      </c>
      <c r="AB3644" s="49">
        <f t="shared" si="397"/>
        <v>0</v>
      </c>
      <c r="AC3644" s="60">
        <f t="shared" si="398"/>
        <v>0</v>
      </c>
    </row>
    <row r="3645" spans="1:29">
      <c r="A3645" s="83" t="str">
        <f t="shared" si="393"/>
        <v/>
      </c>
      <c r="B3645" s="83" t="str">
        <f t="shared" si="399"/>
        <v/>
      </c>
      <c r="U3645" s="83" t="str">
        <f t="shared" si="394"/>
        <v/>
      </c>
      <c r="V3645" s="83" t="str">
        <f t="shared" si="395"/>
        <v/>
      </c>
      <c r="AA3645" s="60">
        <f t="shared" si="396"/>
        <v>0</v>
      </c>
      <c r="AB3645" s="49">
        <f t="shared" si="397"/>
        <v>0</v>
      </c>
      <c r="AC3645" s="60">
        <f t="shared" si="398"/>
        <v>0</v>
      </c>
    </row>
    <row r="3646" spans="1:29">
      <c r="A3646" s="83" t="str">
        <f t="shared" si="393"/>
        <v/>
      </c>
      <c r="B3646" s="83" t="str">
        <f t="shared" si="399"/>
        <v/>
      </c>
      <c r="U3646" s="83" t="str">
        <f t="shared" si="394"/>
        <v/>
      </c>
      <c r="V3646" s="83" t="str">
        <f t="shared" si="395"/>
        <v/>
      </c>
      <c r="AA3646" s="60">
        <f t="shared" si="396"/>
        <v>0</v>
      </c>
      <c r="AB3646" s="49">
        <f t="shared" si="397"/>
        <v>0</v>
      </c>
      <c r="AC3646" s="60">
        <f t="shared" si="398"/>
        <v>0</v>
      </c>
    </row>
    <row r="3647" spans="1:29">
      <c r="A3647" s="83" t="str">
        <f t="shared" si="393"/>
        <v/>
      </c>
      <c r="B3647" s="83" t="str">
        <f t="shared" si="399"/>
        <v/>
      </c>
      <c r="U3647" s="83" t="str">
        <f t="shared" si="394"/>
        <v/>
      </c>
      <c r="V3647" s="83" t="str">
        <f t="shared" si="395"/>
        <v/>
      </c>
      <c r="AA3647" s="60">
        <f t="shared" si="396"/>
        <v>0</v>
      </c>
      <c r="AB3647" s="49">
        <f t="shared" si="397"/>
        <v>0</v>
      </c>
      <c r="AC3647" s="60">
        <f t="shared" si="398"/>
        <v>0</v>
      </c>
    </row>
    <row r="3648" spans="1:29">
      <c r="A3648" s="83" t="str">
        <f t="shared" si="393"/>
        <v/>
      </c>
      <c r="B3648" s="83" t="str">
        <f t="shared" si="399"/>
        <v/>
      </c>
      <c r="U3648" s="83" t="str">
        <f t="shared" si="394"/>
        <v/>
      </c>
      <c r="V3648" s="83" t="str">
        <f t="shared" si="395"/>
        <v/>
      </c>
      <c r="AA3648" s="60">
        <f t="shared" si="396"/>
        <v>0</v>
      </c>
      <c r="AB3648" s="49">
        <f t="shared" si="397"/>
        <v>0</v>
      </c>
      <c r="AC3648" s="60">
        <f t="shared" si="398"/>
        <v>0</v>
      </c>
    </row>
    <row r="3649" spans="1:29">
      <c r="A3649" s="83" t="str">
        <f t="shared" si="393"/>
        <v/>
      </c>
      <c r="B3649" s="83" t="str">
        <f t="shared" si="399"/>
        <v/>
      </c>
      <c r="U3649" s="83" t="str">
        <f t="shared" si="394"/>
        <v/>
      </c>
      <c r="V3649" s="83" t="str">
        <f t="shared" si="395"/>
        <v/>
      </c>
      <c r="AA3649" s="60">
        <f t="shared" si="396"/>
        <v>0</v>
      </c>
      <c r="AB3649" s="49">
        <f t="shared" si="397"/>
        <v>0</v>
      </c>
      <c r="AC3649" s="60">
        <f t="shared" si="398"/>
        <v>0</v>
      </c>
    </row>
    <row r="3650" spans="1:29">
      <c r="A3650" s="83" t="str">
        <f t="shared" si="393"/>
        <v/>
      </c>
      <c r="B3650" s="83" t="str">
        <f t="shared" si="399"/>
        <v/>
      </c>
      <c r="U3650" s="83" t="str">
        <f t="shared" si="394"/>
        <v/>
      </c>
      <c r="V3650" s="83" t="str">
        <f t="shared" si="395"/>
        <v/>
      </c>
      <c r="AA3650" s="60">
        <f t="shared" si="396"/>
        <v>0</v>
      </c>
      <c r="AB3650" s="49">
        <f t="shared" si="397"/>
        <v>0</v>
      </c>
      <c r="AC3650" s="60">
        <f t="shared" si="398"/>
        <v>0</v>
      </c>
    </row>
    <row r="3651" spans="1:29">
      <c r="A3651" s="83" t="str">
        <f t="shared" ref="A3651:A3714" si="400">IF(G3651&amp;Q3651&lt;&gt;"",U3651&amp;Q3651,"")</f>
        <v/>
      </c>
      <c r="B3651" s="83" t="str">
        <f t="shared" si="399"/>
        <v/>
      </c>
      <c r="U3651" s="83" t="str">
        <f t="shared" ref="U3651:U3714" si="401">IF(G3651&lt;&gt;"",IF(StyleSpaceSplit,IFERROR(IF(FIND(" ",G3651)&gt;=1,MID(G3651,1,FIND(" ",G3651)-1),G3651),G3651),G3651),"")</f>
        <v/>
      </c>
      <c r="V3651" s="83" t="str">
        <f t="shared" ref="V3651:V3714" si="402">IF(A3651&lt;&gt;"",IFERROR(IF(FIND(" ",G3651)&gt;=1,MID(G3651,FIND(" ",G3651)+1,LEN(G3651)),""),G3651),"")</f>
        <v/>
      </c>
      <c r="AA3651" s="60">
        <f t="shared" ref="AA3651:AA3714" si="403">IFERROR(VALUE(MID($C3651,1,2)),0)</f>
        <v>0</v>
      </c>
      <c r="AB3651" s="49">
        <f t="shared" ref="AB3651:AB3714" si="404">IFERROR(VALUE(MID($C3651,4,3)),0)</f>
        <v>0</v>
      </c>
      <c r="AC3651" s="60">
        <f t="shared" ref="AC3651:AC3714" si="405">VALUE(RIGHT("00"&amp;AA3651,2)&amp;RIGHT("000"&amp;AB3651,3))</f>
        <v>0</v>
      </c>
    </row>
    <row r="3652" spans="1:29">
      <c r="A3652" s="83" t="str">
        <f t="shared" si="400"/>
        <v/>
      </c>
      <c r="B3652" s="83" t="str">
        <f t="shared" si="399"/>
        <v/>
      </c>
      <c r="U3652" s="83" t="str">
        <f t="shared" si="401"/>
        <v/>
      </c>
      <c r="V3652" s="83" t="str">
        <f t="shared" si="402"/>
        <v/>
      </c>
      <c r="AA3652" s="60">
        <f t="shared" si="403"/>
        <v>0</v>
      </c>
      <c r="AB3652" s="49">
        <f t="shared" si="404"/>
        <v>0</v>
      </c>
      <c r="AC3652" s="60">
        <f t="shared" si="405"/>
        <v>0</v>
      </c>
    </row>
    <row r="3653" spans="1:29">
      <c r="A3653" s="83" t="str">
        <f t="shared" si="400"/>
        <v/>
      </c>
      <c r="B3653" s="83" t="str">
        <f t="shared" si="399"/>
        <v/>
      </c>
      <c r="U3653" s="83" t="str">
        <f t="shared" si="401"/>
        <v/>
      </c>
      <c r="V3653" s="83" t="str">
        <f t="shared" si="402"/>
        <v/>
      </c>
      <c r="AA3653" s="60">
        <f t="shared" si="403"/>
        <v>0</v>
      </c>
      <c r="AB3653" s="49">
        <f t="shared" si="404"/>
        <v>0</v>
      </c>
      <c r="AC3653" s="60">
        <f t="shared" si="405"/>
        <v>0</v>
      </c>
    </row>
    <row r="3654" spans="1:29">
      <c r="A3654" s="83" t="str">
        <f t="shared" si="400"/>
        <v/>
      </c>
      <c r="B3654" s="83" t="str">
        <f t="shared" si="399"/>
        <v/>
      </c>
      <c r="U3654" s="83" t="str">
        <f t="shared" si="401"/>
        <v/>
      </c>
      <c r="V3654" s="83" t="str">
        <f t="shared" si="402"/>
        <v/>
      </c>
      <c r="AA3654" s="60">
        <f t="shared" si="403"/>
        <v>0</v>
      </c>
      <c r="AB3654" s="49">
        <f t="shared" si="404"/>
        <v>0</v>
      </c>
      <c r="AC3654" s="60">
        <f t="shared" si="405"/>
        <v>0</v>
      </c>
    </row>
    <row r="3655" spans="1:29">
      <c r="A3655" s="83" t="str">
        <f t="shared" si="400"/>
        <v/>
      </c>
      <c r="B3655" s="83" t="str">
        <f t="shared" si="399"/>
        <v/>
      </c>
      <c r="U3655" s="83" t="str">
        <f t="shared" si="401"/>
        <v/>
      </c>
      <c r="V3655" s="83" t="str">
        <f t="shared" si="402"/>
        <v/>
      </c>
      <c r="AA3655" s="60">
        <f t="shared" si="403"/>
        <v>0</v>
      </c>
      <c r="AB3655" s="49">
        <f t="shared" si="404"/>
        <v>0</v>
      </c>
      <c r="AC3655" s="60">
        <f t="shared" si="405"/>
        <v>0</v>
      </c>
    </row>
    <row r="3656" spans="1:29">
      <c r="A3656" s="83" t="str">
        <f t="shared" si="400"/>
        <v/>
      </c>
      <c r="B3656" s="83" t="str">
        <f t="shared" si="399"/>
        <v/>
      </c>
      <c r="U3656" s="83" t="str">
        <f t="shared" si="401"/>
        <v/>
      </c>
      <c r="V3656" s="83" t="str">
        <f t="shared" si="402"/>
        <v/>
      </c>
      <c r="AA3656" s="60">
        <f t="shared" si="403"/>
        <v>0</v>
      </c>
      <c r="AB3656" s="49">
        <f t="shared" si="404"/>
        <v>0</v>
      </c>
      <c r="AC3656" s="60">
        <f t="shared" si="405"/>
        <v>0</v>
      </c>
    </row>
    <row r="3657" spans="1:29">
      <c r="A3657" s="83" t="str">
        <f t="shared" si="400"/>
        <v/>
      </c>
      <c r="B3657" s="83" t="str">
        <f t="shared" si="399"/>
        <v/>
      </c>
      <c r="U3657" s="83" t="str">
        <f t="shared" si="401"/>
        <v/>
      </c>
      <c r="V3657" s="83" t="str">
        <f t="shared" si="402"/>
        <v/>
      </c>
      <c r="AA3657" s="60">
        <f t="shared" si="403"/>
        <v>0</v>
      </c>
      <c r="AB3657" s="49">
        <f t="shared" si="404"/>
        <v>0</v>
      </c>
      <c r="AC3657" s="60">
        <f t="shared" si="405"/>
        <v>0</v>
      </c>
    </row>
    <row r="3658" spans="1:29">
      <c r="A3658" s="83" t="str">
        <f t="shared" si="400"/>
        <v/>
      </c>
      <c r="B3658" s="83" t="str">
        <f t="shared" si="399"/>
        <v/>
      </c>
      <c r="U3658" s="83" t="str">
        <f t="shared" si="401"/>
        <v/>
      </c>
      <c r="V3658" s="83" t="str">
        <f t="shared" si="402"/>
        <v/>
      </c>
      <c r="AA3658" s="60">
        <f t="shared" si="403"/>
        <v>0</v>
      </c>
      <c r="AB3658" s="49">
        <f t="shared" si="404"/>
        <v>0</v>
      </c>
      <c r="AC3658" s="60">
        <f t="shared" si="405"/>
        <v>0</v>
      </c>
    </row>
    <row r="3659" spans="1:29">
      <c r="A3659" s="83" t="str">
        <f t="shared" si="400"/>
        <v/>
      </c>
      <c r="B3659" s="83" t="str">
        <f t="shared" si="399"/>
        <v/>
      </c>
      <c r="U3659" s="83" t="str">
        <f t="shared" si="401"/>
        <v/>
      </c>
      <c r="V3659" s="83" t="str">
        <f t="shared" si="402"/>
        <v/>
      </c>
      <c r="AA3659" s="60">
        <f t="shared" si="403"/>
        <v>0</v>
      </c>
      <c r="AB3659" s="49">
        <f t="shared" si="404"/>
        <v>0</v>
      </c>
      <c r="AC3659" s="60">
        <f t="shared" si="405"/>
        <v>0</v>
      </c>
    </row>
    <row r="3660" spans="1:29">
      <c r="A3660" s="83" t="str">
        <f t="shared" si="400"/>
        <v/>
      </c>
      <c r="B3660" s="83" t="str">
        <f t="shared" si="399"/>
        <v/>
      </c>
      <c r="U3660" s="83" t="str">
        <f t="shared" si="401"/>
        <v/>
      </c>
      <c r="V3660" s="83" t="str">
        <f t="shared" si="402"/>
        <v/>
      </c>
      <c r="AA3660" s="60">
        <f t="shared" si="403"/>
        <v>0</v>
      </c>
      <c r="AB3660" s="49">
        <f t="shared" si="404"/>
        <v>0</v>
      </c>
      <c r="AC3660" s="60">
        <f t="shared" si="405"/>
        <v>0</v>
      </c>
    </row>
    <row r="3661" spans="1:29">
      <c r="A3661" s="83" t="str">
        <f t="shared" si="400"/>
        <v/>
      </c>
      <c r="B3661" s="83" t="str">
        <f t="shared" si="399"/>
        <v/>
      </c>
      <c r="U3661" s="83" t="str">
        <f t="shared" si="401"/>
        <v/>
      </c>
      <c r="V3661" s="83" t="str">
        <f t="shared" si="402"/>
        <v/>
      </c>
      <c r="AA3661" s="60">
        <f t="shared" si="403"/>
        <v>0</v>
      </c>
      <c r="AB3661" s="49">
        <f t="shared" si="404"/>
        <v>0</v>
      </c>
      <c r="AC3661" s="60">
        <f t="shared" si="405"/>
        <v>0</v>
      </c>
    </row>
    <row r="3662" spans="1:29">
      <c r="A3662" s="83" t="str">
        <f t="shared" si="400"/>
        <v/>
      </c>
      <c r="B3662" s="83" t="str">
        <f t="shared" si="399"/>
        <v/>
      </c>
      <c r="U3662" s="83" t="str">
        <f t="shared" si="401"/>
        <v/>
      </c>
      <c r="V3662" s="83" t="str">
        <f t="shared" si="402"/>
        <v/>
      </c>
      <c r="AA3662" s="60">
        <f t="shared" si="403"/>
        <v>0</v>
      </c>
      <c r="AB3662" s="49">
        <f t="shared" si="404"/>
        <v>0</v>
      </c>
      <c r="AC3662" s="60">
        <f t="shared" si="405"/>
        <v>0</v>
      </c>
    </row>
    <row r="3663" spans="1:29">
      <c r="A3663" s="83" t="str">
        <f t="shared" si="400"/>
        <v/>
      </c>
      <c r="B3663" s="83" t="str">
        <f t="shared" si="399"/>
        <v/>
      </c>
      <c r="U3663" s="83" t="str">
        <f t="shared" si="401"/>
        <v/>
      </c>
      <c r="V3663" s="83" t="str">
        <f t="shared" si="402"/>
        <v/>
      </c>
      <c r="AA3663" s="60">
        <f t="shared" si="403"/>
        <v>0</v>
      </c>
      <c r="AB3663" s="49">
        <f t="shared" si="404"/>
        <v>0</v>
      </c>
      <c r="AC3663" s="60">
        <f t="shared" si="405"/>
        <v>0</v>
      </c>
    </row>
    <row r="3664" spans="1:29">
      <c r="A3664" s="83" t="str">
        <f t="shared" si="400"/>
        <v/>
      </c>
      <c r="B3664" s="83" t="str">
        <f t="shared" si="399"/>
        <v/>
      </c>
      <c r="U3664" s="83" t="str">
        <f t="shared" si="401"/>
        <v/>
      </c>
      <c r="V3664" s="83" t="str">
        <f t="shared" si="402"/>
        <v/>
      </c>
      <c r="AA3664" s="60">
        <f t="shared" si="403"/>
        <v>0</v>
      </c>
      <c r="AB3664" s="49">
        <f t="shared" si="404"/>
        <v>0</v>
      </c>
      <c r="AC3664" s="60">
        <f t="shared" si="405"/>
        <v>0</v>
      </c>
    </row>
    <row r="3665" spans="1:29">
      <c r="A3665" s="83" t="str">
        <f t="shared" si="400"/>
        <v/>
      </c>
      <c r="B3665" s="83" t="str">
        <f t="shared" si="399"/>
        <v/>
      </c>
      <c r="U3665" s="83" t="str">
        <f t="shared" si="401"/>
        <v/>
      </c>
      <c r="V3665" s="83" t="str">
        <f t="shared" si="402"/>
        <v/>
      </c>
      <c r="AA3665" s="60">
        <f t="shared" si="403"/>
        <v>0</v>
      </c>
      <c r="AB3665" s="49">
        <f t="shared" si="404"/>
        <v>0</v>
      </c>
      <c r="AC3665" s="60">
        <f t="shared" si="405"/>
        <v>0</v>
      </c>
    </row>
    <row r="3666" spans="1:29">
      <c r="A3666" s="83" t="str">
        <f t="shared" si="400"/>
        <v/>
      </c>
      <c r="B3666" s="83" t="str">
        <f t="shared" si="399"/>
        <v/>
      </c>
      <c r="U3666" s="83" t="str">
        <f t="shared" si="401"/>
        <v/>
      </c>
      <c r="V3666" s="83" t="str">
        <f t="shared" si="402"/>
        <v/>
      </c>
      <c r="AA3666" s="60">
        <f t="shared" si="403"/>
        <v>0</v>
      </c>
      <c r="AB3666" s="49">
        <f t="shared" si="404"/>
        <v>0</v>
      </c>
      <c r="AC3666" s="60">
        <f t="shared" si="405"/>
        <v>0</v>
      </c>
    </row>
    <row r="3667" spans="1:29">
      <c r="A3667" s="83" t="str">
        <f t="shared" si="400"/>
        <v/>
      </c>
      <c r="B3667" s="83" t="str">
        <f t="shared" si="399"/>
        <v/>
      </c>
      <c r="U3667" s="83" t="str">
        <f t="shared" si="401"/>
        <v/>
      </c>
      <c r="V3667" s="83" t="str">
        <f t="shared" si="402"/>
        <v/>
      </c>
      <c r="AA3667" s="60">
        <f t="shared" si="403"/>
        <v>0</v>
      </c>
      <c r="AB3667" s="49">
        <f t="shared" si="404"/>
        <v>0</v>
      </c>
      <c r="AC3667" s="60">
        <f t="shared" si="405"/>
        <v>0</v>
      </c>
    </row>
    <row r="3668" spans="1:29">
      <c r="A3668" s="83" t="str">
        <f t="shared" si="400"/>
        <v/>
      </c>
      <c r="B3668" s="83" t="str">
        <f t="shared" si="399"/>
        <v/>
      </c>
      <c r="U3668" s="83" t="str">
        <f t="shared" si="401"/>
        <v/>
      </c>
      <c r="V3668" s="83" t="str">
        <f t="shared" si="402"/>
        <v/>
      </c>
      <c r="AA3668" s="60">
        <f t="shared" si="403"/>
        <v>0</v>
      </c>
      <c r="AB3668" s="49">
        <f t="shared" si="404"/>
        <v>0</v>
      </c>
      <c r="AC3668" s="60">
        <f t="shared" si="405"/>
        <v>0</v>
      </c>
    </row>
    <row r="3669" spans="1:29">
      <c r="A3669" s="83" t="str">
        <f t="shared" si="400"/>
        <v/>
      </c>
      <c r="B3669" s="83" t="str">
        <f t="shared" si="399"/>
        <v/>
      </c>
      <c r="U3669" s="83" t="str">
        <f t="shared" si="401"/>
        <v/>
      </c>
      <c r="V3669" s="83" t="str">
        <f t="shared" si="402"/>
        <v/>
      </c>
      <c r="AA3669" s="60">
        <f t="shared" si="403"/>
        <v>0</v>
      </c>
      <c r="AB3669" s="49">
        <f t="shared" si="404"/>
        <v>0</v>
      </c>
      <c r="AC3669" s="60">
        <f t="shared" si="405"/>
        <v>0</v>
      </c>
    </row>
    <row r="3670" spans="1:29">
      <c r="A3670" s="83" t="str">
        <f t="shared" si="400"/>
        <v/>
      </c>
      <c r="B3670" s="83" t="str">
        <f t="shared" si="399"/>
        <v/>
      </c>
      <c r="U3670" s="83" t="str">
        <f t="shared" si="401"/>
        <v/>
      </c>
      <c r="V3670" s="83" t="str">
        <f t="shared" si="402"/>
        <v/>
      </c>
      <c r="AA3670" s="60">
        <f t="shared" si="403"/>
        <v>0</v>
      </c>
      <c r="AB3670" s="49">
        <f t="shared" si="404"/>
        <v>0</v>
      </c>
      <c r="AC3670" s="60">
        <f t="shared" si="405"/>
        <v>0</v>
      </c>
    </row>
    <row r="3671" spans="1:29">
      <c r="A3671" s="83" t="str">
        <f t="shared" si="400"/>
        <v/>
      </c>
      <c r="B3671" s="83" t="str">
        <f t="shared" si="399"/>
        <v/>
      </c>
      <c r="U3671" s="83" t="str">
        <f t="shared" si="401"/>
        <v/>
      </c>
      <c r="V3671" s="83" t="str">
        <f t="shared" si="402"/>
        <v/>
      </c>
      <c r="AA3671" s="60">
        <f t="shared" si="403"/>
        <v>0</v>
      </c>
      <c r="AB3671" s="49">
        <f t="shared" si="404"/>
        <v>0</v>
      </c>
      <c r="AC3671" s="60">
        <f t="shared" si="405"/>
        <v>0</v>
      </c>
    </row>
    <row r="3672" spans="1:29">
      <c r="A3672" s="83" t="str">
        <f t="shared" si="400"/>
        <v/>
      </c>
      <c r="B3672" s="83" t="str">
        <f t="shared" si="399"/>
        <v/>
      </c>
      <c r="U3672" s="83" t="str">
        <f t="shared" si="401"/>
        <v/>
      </c>
      <c r="V3672" s="83" t="str">
        <f t="shared" si="402"/>
        <v/>
      </c>
      <c r="AA3672" s="60">
        <f t="shared" si="403"/>
        <v>0</v>
      </c>
      <c r="AB3672" s="49">
        <f t="shared" si="404"/>
        <v>0</v>
      </c>
      <c r="AC3672" s="60">
        <f t="shared" si="405"/>
        <v>0</v>
      </c>
    </row>
    <row r="3673" spans="1:29">
      <c r="A3673" s="83" t="str">
        <f t="shared" si="400"/>
        <v/>
      </c>
      <c r="B3673" s="83" t="str">
        <f t="shared" si="399"/>
        <v/>
      </c>
      <c r="U3673" s="83" t="str">
        <f t="shared" si="401"/>
        <v/>
      </c>
      <c r="V3673" s="83" t="str">
        <f t="shared" si="402"/>
        <v/>
      </c>
      <c r="AA3673" s="60">
        <f t="shared" si="403"/>
        <v>0</v>
      </c>
      <c r="AB3673" s="49">
        <f t="shared" si="404"/>
        <v>0</v>
      </c>
      <c r="AC3673" s="60">
        <f t="shared" si="405"/>
        <v>0</v>
      </c>
    </row>
    <row r="3674" spans="1:29">
      <c r="A3674" s="83" t="str">
        <f t="shared" si="400"/>
        <v/>
      </c>
      <c r="B3674" s="83" t="str">
        <f t="shared" si="399"/>
        <v/>
      </c>
      <c r="U3674" s="83" t="str">
        <f t="shared" si="401"/>
        <v/>
      </c>
      <c r="V3674" s="83" t="str">
        <f t="shared" si="402"/>
        <v/>
      </c>
      <c r="AA3674" s="60">
        <f t="shared" si="403"/>
        <v>0</v>
      </c>
      <c r="AB3674" s="49">
        <f t="shared" si="404"/>
        <v>0</v>
      </c>
      <c r="AC3674" s="60">
        <f t="shared" si="405"/>
        <v>0</v>
      </c>
    </row>
    <row r="3675" spans="1:29">
      <c r="A3675" s="83" t="str">
        <f t="shared" si="400"/>
        <v/>
      </c>
      <c r="B3675" s="83" t="str">
        <f t="shared" si="399"/>
        <v/>
      </c>
      <c r="U3675" s="83" t="str">
        <f t="shared" si="401"/>
        <v/>
      </c>
      <c r="V3675" s="83" t="str">
        <f t="shared" si="402"/>
        <v/>
      </c>
      <c r="AA3675" s="60">
        <f t="shared" si="403"/>
        <v>0</v>
      </c>
      <c r="AB3675" s="49">
        <f t="shared" si="404"/>
        <v>0</v>
      </c>
      <c r="AC3675" s="60">
        <f t="shared" si="405"/>
        <v>0</v>
      </c>
    </row>
    <row r="3676" spans="1:29">
      <c r="A3676" s="83" t="str">
        <f t="shared" si="400"/>
        <v/>
      </c>
      <c r="B3676" s="83" t="str">
        <f t="shared" si="399"/>
        <v/>
      </c>
      <c r="U3676" s="83" t="str">
        <f t="shared" si="401"/>
        <v/>
      </c>
      <c r="V3676" s="83" t="str">
        <f t="shared" si="402"/>
        <v/>
      </c>
      <c r="AA3676" s="60">
        <f t="shared" si="403"/>
        <v>0</v>
      </c>
      <c r="AB3676" s="49">
        <f t="shared" si="404"/>
        <v>0</v>
      </c>
      <c r="AC3676" s="60">
        <f t="shared" si="405"/>
        <v>0</v>
      </c>
    </row>
    <row r="3677" spans="1:29">
      <c r="A3677" s="83" t="str">
        <f t="shared" si="400"/>
        <v/>
      </c>
      <c r="B3677" s="83" t="str">
        <f t="shared" si="399"/>
        <v/>
      </c>
      <c r="U3677" s="83" t="str">
        <f t="shared" si="401"/>
        <v/>
      </c>
      <c r="V3677" s="83" t="str">
        <f t="shared" si="402"/>
        <v/>
      </c>
      <c r="AA3677" s="60">
        <f t="shared" si="403"/>
        <v>0</v>
      </c>
      <c r="AB3677" s="49">
        <f t="shared" si="404"/>
        <v>0</v>
      </c>
      <c r="AC3677" s="60">
        <f t="shared" si="405"/>
        <v>0</v>
      </c>
    </row>
    <row r="3678" spans="1:29">
      <c r="A3678" s="83" t="str">
        <f t="shared" si="400"/>
        <v/>
      </c>
      <c r="B3678" s="83" t="str">
        <f t="shared" si="399"/>
        <v/>
      </c>
      <c r="U3678" s="83" t="str">
        <f t="shared" si="401"/>
        <v/>
      </c>
      <c r="V3678" s="83" t="str">
        <f t="shared" si="402"/>
        <v/>
      </c>
      <c r="AA3678" s="60">
        <f t="shared" si="403"/>
        <v>0</v>
      </c>
      <c r="AB3678" s="49">
        <f t="shared" si="404"/>
        <v>0</v>
      </c>
      <c r="AC3678" s="60">
        <f t="shared" si="405"/>
        <v>0</v>
      </c>
    </row>
    <row r="3679" spans="1:29">
      <c r="A3679" s="83" t="str">
        <f t="shared" si="400"/>
        <v/>
      </c>
      <c r="B3679" s="83" t="str">
        <f t="shared" si="399"/>
        <v/>
      </c>
      <c r="U3679" s="83" t="str">
        <f t="shared" si="401"/>
        <v/>
      </c>
      <c r="V3679" s="83" t="str">
        <f t="shared" si="402"/>
        <v/>
      </c>
      <c r="AA3679" s="60">
        <f t="shared" si="403"/>
        <v>0</v>
      </c>
      <c r="AB3679" s="49">
        <f t="shared" si="404"/>
        <v>0</v>
      </c>
      <c r="AC3679" s="60">
        <f t="shared" si="405"/>
        <v>0</v>
      </c>
    </row>
    <row r="3680" spans="1:29">
      <c r="A3680" s="83" t="str">
        <f t="shared" si="400"/>
        <v/>
      </c>
      <c r="B3680" s="83" t="str">
        <f t="shared" si="399"/>
        <v/>
      </c>
      <c r="U3680" s="83" t="str">
        <f t="shared" si="401"/>
        <v/>
      </c>
      <c r="V3680" s="83" t="str">
        <f t="shared" si="402"/>
        <v/>
      </c>
      <c r="AA3680" s="60">
        <f t="shared" si="403"/>
        <v>0</v>
      </c>
      <c r="AB3680" s="49">
        <f t="shared" si="404"/>
        <v>0</v>
      </c>
      <c r="AC3680" s="60">
        <f t="shared" si="405"/>
        <v>0</v>
      </c>
    </row>
    <row r="3681" spans="1:29">
      <c r="A3681" s="83" t="str">
        <f t="shared" si="400"/>
        <v/>
      </c>
      <c r="B3681" s="83" t="str">
        <f t="shared" ref="B3681:B3744" si="406">IF(C3681&lt;&gt;"",LEFT(C3681,9),"")</f>
        <v/>
      </c>
      <c r="U3681" s="83" t="str">
        <f t="shared" si="401"/>
        <v/>
      </c>
      <c r="V3681" s="83" t="str">
        <f t="shared" si="402"/>
        <v/>
      </c>
      <c r="AA3681" s="60">
        <f t="shared" si="403"/>
        <v>0</v>
      </c>
      <c r="AB3681" s="49">
        <f t="shared" si="404"/>
        <v>0</v>
      </c>
      <c r="AC3681" s="60">
        <f t="shared" si="405"/>
        <v>0</v>
      </c>
    </row>
    <row r="3682" spans="1:29">
      <c r="A3682" s="83" t="str">
        <f t="shared" si="400"/>
        <v/>
      </c>
      <c r="B3682" s="83" t="str">
        <f t="shared" si="406"/>
        <v/>
      </c>
      <c r="U3682" s="83" t="str">
        <f t="shared" si="401"/>
        <v/>
      </c>
      <c r="V3682" s="83" t="str">
        <f t="shared" si="402"/>
        <v/>
      </c>
      <c r="AA3682" s="60">
        <f t="shared" si="403"/>
        <v>0</v>
      </c>
      <c r="AB3682" s="49">
        <f t="shared" si="404"/>
        <v>0</v>
      </c>
      <c r="AC3682" s="60">
        <f t="shared" si="405"/>
        <v>0</v>
      </c>
    </row>
    <row r="3683" spans="1:29">
      <c r="A3683" s="83" t="str">
        <f t="shared" si="400"/>
        <v/>
      </c>
      <c r="B3683" s="83" t="str">
        <f t="shared" si="406"/>
        <v/>
      </c>
      <c r="U3683" s="83" t="str">
        <f t="shared" si="401"/>
        <v/>
      </c>
      <c r="V3683" s="83" t="str">
        <f t="shared" si="402"/>
        <v/>
      </c>
      <c r="AA3683" s="60">
        <f t="shared" si="403"/>
        <v>0</v>
      </c>
      <c r="AB3683" s="49">
        <f t="shared" si="404"/>
        <v>0</v>
      </c>
      <c r="AC3683" s="60">
        <f t="shared" si="405"/>
        <v>0</v>
      </c>
    </row>
    <row r="3684" spans="1:29">
      <c r="A3684" s="83" t="str">
        <f t="shared" si="400"/>
        <v/>
      </c>
      <c r="B3684" s="83" t="str">
        <f t="shared" si="406"/>
        <v/>
      </c>
      <c r="U3684" s="83" t="str">
        <f t="shared" si="401"/>
        <v/>
      </c>
      <c r="V3684" s="83" t="str">
        <f t="shared" si="402"/>
        <v/>
      </c>
      <c r="AA3684" s="60">
        <f t="shared" si="403"/>
        <v>0</v>
      </c>
      <c r="AB3684" s="49">
        <f t="shared" si="404"/>
        <v>0</v>
      </c>
      <c r="AC3684" s="60">
        <f t="shared" si="405"/>
        <v>0</v>
      </c>
    </row>
    <row r="3685" spans="1:29">
      <c r="A3685" s="83" t="str">
        <f t="shared" si="400"/>
        <v/>
      </c>
      <c r="B3685" s="83" t="str">
        <f t="shared" si="406"/>
        <v/>
      </c>
      <c r="U3685" s="83" t="str">
        <f t="shared" si="401"/>
        <v/>
      </c>
      <c r="V3685" s="83" t="str">
        <f t="shared" si="402"/>
        <v/>
      </c>
      <c r="AA3685" s="60">
        <f t="shared" si="403"/>
        <v>0</v>
      </c>
      <c r="AB3685" s="49">
        <f t="shared" si="404"/>
        <v>0</v>
      </c>
      <c r="AC3685" s="60">
        <f t="shared" si="405"/>
        <v>0</v>
      </c>
    </row>
    <row r="3686" spans="1:29">
      <c r="A3686" s="83" t="str">
        <f t="shared" si="400"/>
        <v/>
      </c>
      <c r="B3686" s="83" t="str">
        <f t="shared" si="406"/>
        <v/>
      </c>
      <c r="U3686" s="83" t="str">
        <f t="shared" si="401"/>
        <v/>
      </c>
      <c r="V3686" s="83" t="str">
        <f t="shared" si="402"/>
        <v/>
      </c>
      <c r="AA3686" s="60">
        <f t="shared" si="403"/>
        <v>0</v>
      </c>
      <c r="AB3686" s="49">
        <f t="shared" si="404"/>
        <v>0</v>
      </c>
      <c r="AC3686" s="60">
        <f t="shared" si="405"/>
        <v>0</v>
      </c>
    </row>
    <row r="3687" spans="1:29">
      <c r="A3687" s="83" t="str">
        <f t="shared" si="400"/>
        <v/>
      </c>
      <c r="B3687" s="83" t="str">
        <f t="shared" si="406"/>
        <v/>
      </c>
      <c r="U3687" s="83" t="str">
        <f t="shared" si="401"/>
        <v/>
      </c>
      <c r="V3687" s="83" t="str">
        <f t="shared" si="402"/>
        <v/>
      </c>
      <c r="AA3687" s="60">
        <f t="shared" si="403"/>
        <v>0</v>
      </c>
      <c r="AB3687" s="49">
        <f t="shared" si="404"/>
        <v>0</v>
      </c>
      <c r="AC3687" s="60">
        <f t="shared" si="405"/>
        <v>0</v>
      </c>
    </row>
    <row r="3688" spans="1:29">
      <c r="A3688" s="83" t="str">
        <f t="shared" si="400"/>
        <v/>
      </c>
      <c r="B3688" s="83" t="str">
        <f t="shared" si="406"/>
        <v/>
      </c>
      <c r="U3688" s="83" t="str">
        <f t="shared" si="401"/>
        <v/>
      </c>
      <c r="V3688" s="83" t="str">
        <f t="shared" si="402"/>
        <v/>
      </c>
      <c r="AA3688" s="60">
        <f t="shared" si="403"/>
        <v>0</v>
      </c>
      <c r="AB3688" s="49">
        <f t="shared" si="404"/>
        <v>0</v>
      </c>
      <c r="AC3688" s="60">
        <f t="shared" si="405"/>
        <v>0</v>
      </c>
    </row>
    <row r="3689" spans="1:29">
      <c r="A3689" s="83" t="str">
        <f t="shared" si="400"/>
        <v/>
      </c>
      <c r="B3689" s="83" t="str">
        <f t="shared" si="406"/>
        <v/>
      </c>
      <c r="U3689" s="83" t="str">
        <f t="shared" si="401"/>
        <v/>
      </c>
      <c r="V3689" s="83" t="str">
        <f t="shared" si="402"/>
        <v/>
      </c>
      <c r="AA3689" s="60">
        <f t="shared" si="403"/>
        <v>0</v>
      </c>
      <c r="AB3689" s="49">
        <f t="shared" si="404"/>
        <v>0</v>
      </c>
      <c r="AC3689" s="60">
        <f t="shared" si="405"/>
        <v>0</v>
      </c>
    </row>
    <row r="3690" spans="1:29">
      <c r="A3690" s="83" t="str">
        <f t="shared" si="400"/>
        <v/>
      </c>
      <c r="B3690" s="83" t="str">
        <f t="shared" si="406"/>
        <v/>
      </c>
      <c r="U3690" s="83" t="str">
        <f t="shared" si="401"/>
        <v/>
      </c>
      <c r="V3690" s="83" t="str">
        <f t="shared" si="402"/>
        <v/>
      </c>
      <c r="AA3690" s="60">
        <f t="shared" si="403"/>
        <v>0</v>
      </c>
      <c r="AB3690" s="49">
        <f t="shared" si="404"/>
        <v>0</v>
      </c>
      <c r="AC3690" s="60">
        <f t="shared" si="405"/>
        <v>0</v>
      </c>
    </row>
    <row r="3691" spans="1:29">
      <c r="A3691" s="83" t="str">
        <f t="shared" si="400"/>
        <v/>
      </c>
      <c r="B3691" s="83" t="str">
        <f t="shared" si="406"/>
        <v/>
      </c>
      <c r="U3691" s="83" t="str">
        <f t="shared" si="401"/>
        <v/>
      </c>
      <c r="V3691" s="83" t="str">
        <f t="shared" si="402"/>
        <v/>
      </c>
      <c r="AA3691" s="60">
        <f t="shared" si="403"/>
        <v>0</v>
      </c>
      <c r="AB3691" s="49">
        <f t="shared" si="404"/>
        <v>0</v>
      </c>
      <c r="AC3691" s="60">
        <f t="shared" si="405"/>
        <v>0</v>
      </c>
    </row>
    <row r="3692" spans="1:29">
      <c r="A3692" s="83" t="str">
        <f t="shared" si="400"/>
        <v/>
      </c>
      <c r="B3692" s="83" t="str">
        <f t="shared" si="406"/>
        <v/>
      </c>
      <c r="U3692" s="83" t="str">
        <f t="shared" si="401"/>
        <v/>
      </c>
      <c r="V3692" s="83" t="str">
        <f t="shared" si="402"/>
        <v/>
      </c>
      <c r="AA3692" s="60">
        <f t="shared" si="403"/>
        <v>0</v>
      </c>
      <c r="AB3692" s="49">
        <f t="shared" si="404"/>
        <v>0</v>
      </c>
      <c r="AC3692" s="60">
        <f t="shared" si="405"/>
        <v>0</v>
      </c>
    </row>
    <row r="3693" spans="1:29">
      <c r="A3693" s="83" t="str">
        <f t="shared" si="400"/>
        <v/>
      </c>
      <c r="B3693" s="83" t="str">
        <f t="shared" si="406"/>
        <v/>
      </c>
      <c r="U3693" s="83" t="str">
        <f t="shared" si="401"/>
        <v/>
      </c>
      <c r="V3693" s="83" t="str">
        <f t="shared" si="402"/>
        <v/>
      </c>
      <c r="AA3693" s="60">
        <f t="shared" si="403"/>
        <v>0</v>
      </c>
      <c r="AB3693" s="49">
        <f t="shared" si="404"/>
        <v>0</v>
      </c>
      <c r="AC3693" s="60">
        <f t="shared" si="405"/>
        <v>0</v>
      </c>
    </row>
    <row r="3694" spans="1:29">
      <c r="A3694" s="83" t="str">
        <f t="shared" si="400"/>
        <v/>
      </c>
      <c r="B3694" s="83" t="str">
        <f t="shared" si="406"/>
        <v/>
      </c>
      <c r="U3694" s="83" t="str">
        <f t="shared" si="401"/>
        <v/>
      </c>
      <c r="V3694" s="83" t="str">
        <f t="shared" si="402"/>
        <v/>
      </c>
      <c r="AA3694" s="60">
        <f t="shared" si="403"/>
        <v>0</v>
      </c>
      <c r="AB3694" s="49">
        <f t="shared" si="404"/>
        <v>0</v>
      </c>
      <c r="AC3694" s="60">
        <f t="shared" si="405"/>
        <v>0</v>
      </c>
    </row>
    <row r="3695" spans="1:29">
      <c r="A3695" s="83" t="str">
        <f t="shared" si="400"/>
        <v/>
      </c>
      <c r="B3695" s="83" t="str">
        <f t="shared" si="406"/>
        <v/>
      </c>
      <c r="U3695" s="83" t="str">
        <f t="shared" si="401"/>
        <v/>
      </c>
      <c r="V3695" s="83" t="str">
        <f t="shared" si="402"/>
        <v/>
      </c>
      <c r="AA3695" s="60">
        <f t="shared" si="403"/>
        <v>0</v>
      </c>
      <c r="AB3695" s="49">
        <f t="shared" si="404"/>
        <v>0</v>
      </c>
      <c r="AC3695" s="60">
        <f t="shared" si="405"/>
        <v>0</v>
      </c>
    </row>
    <row r="3696" spans="1:29">
      <c r="A3696" s="83" t="str">
        <f t="shared" si="400"/>
        <v/>
      </c>
      <c r="B3696" s="83" t="str">
        <f t="shared" si="406"/>
        <v/>
      </c>
      <c r="U3696" s="83" t="str">
        <f t="shared" si="401"/>
        <v/>
      </c>
      <c r="V3696" s="83" t="str">
        <f t="shared" si="402"/>
        <v/>
      </c>
      <c r="AA3696" s="60">
        <f t="shared" si="403"/>
        <v>0</v>
      </c>
      <c r="AB3696" s="49">
        <f t="shared" si="404"/>
        <v>0</v>
      </c>
      <c r="AC3696" s="60">
        <f t="shared" si="405"/>
        <v>0</v>
      </c>
    </row>
    <row r="3697" spans="1:29">
      <c r="A3697" s="83" t="str">
        <f t="shared" si="400"/>
        <v/>
      </c>
      <c r="B3697" s="83" t="str">
        <f t="shared" si="406"/>
        <v/>
      </c>
      <c r="U3697" s="83" t="str">
        <f t="shared" si="401"/>
        <v/>
      </c>
      <c r="V3697" s="83" t="str">
        <f t="shared" si="402"/>
        <v/>
      </c>
      <c r="AA3697" s="60">
        <f t="shared" si="403"/>
        <v>0</v>
      </c>
      <c r="AB3697" s="49">
        <f t="shared" si="404"/>
        <v>0</v>
      </c>
      <c r="AC3697" s="60">
        <f t="shared" si="405"/>
        <v>0</v>
      </c>
    </row>
    <row r="3698" spans="1:29">
      <c r="A3698" s="83" t="str">
        <f t="shared" si="400"/>
        <v/>
      </c>
      <c r="B3698" s="83" t="str">
        <f t="shared" si="406"/>
        <v/>
      </c>
      <c r="U3698" s="83" t="str">
        <f t="shared" si="401"/>
        <v/>
      </c>
      <c r="V3698" s="83" t="str">
        <f t="shared" si="402"/>
        <v/>
      </c>
      <c r="AA3698" s="60">
        <f t="shared" si="403"/>
        <v>0</v>
      </c>
      <c r="AB3698" s="49">
        <f t="shared" si="404"/>
        <v>0</v>
      </c>
      <c r="AC3698" s="60">
        <f t="shared" si="405"/>
        <v>0</v>
      </c>
    </row>
    <row r="3699" spans="1:29">
      <c r="A3699" s="83" t="str">
        <f t="shared" si="400"/>
        <v/>
      </c>
      <c r="B3699" s="83" t="str">
        <f t="shared" si="406"/>
        <v/>
      </c>
      <c r="U3699" s="83" t="str">
        <f t="shared" si="401"/>
        <v/>
      </c>
      <c r="V3699" s="83" t="str">
        <f t="shared" si="402"/>
        <v/>
      </c>
      <c r="AA3699" s="60">
        <f t="shared" si="403"/>
        <v>0</v>
      </c>
      <c r="AB3699" s="49">
        <f t="shared" si="404"/>
        <v>0</v>
      </c>
      <c r="AC3699" s="60">
        <f t="shared" si="405"/>
        <v>0</v>
      </c>
    </row>
    <row r="3700" spans="1:29">
      <c r="A3700" s="83" t="str">
        <f t="shared" si="400"/>
        <v/>
      </c>
      <c r="B3700" s="83" t="str">
        <f t="shared" si="406"/>
        <v/>
      </c>
      <c r="U3700" s="83" t="str">
        <f t="shared" si="401"/>
        <v/>
      </c>
      <c r="V3700" s="83" t="str">
        <f t="shared" si="402"/>
        <v/>
      </c>
      <c r="AA3700" s="60">
        <f t="shared" si="403"/>
        <v>0</v>
      </c>
      <c r="AB3700" s="49">
        <f t="shared" si="404"/>
        <v>0</v>
      </c>
      <c r="AC3700" s="60">
        <f t="shared" si="405"/>
        <v>0</v>
      </c>
    </row>
    <row r="3701" spans="1:29">
      <c r="A3701" s="83" t="str">
        <f t="shared" si="400"/>
        <v/>
      </c>
      <c r="B3701" s="83" t="str">
        <f t="shared" si="406"/>
        <v/>
      </c>
      <c r="U3701" s="83" t="str">
        <f t="shared" si="401"/>
        <v/>
      </c>
      <c r="V3701" s="83" t="str">
        <f t="shared" si="402"/>
        <v/>
      </c>
      <c r="AA3701" s="60">
        <f t="shared" si="403"/>
        <v>0</v>
      </c>
      <c r="AB3701" s="49">
        <f t="shared" si="404"/>
        <v>0</v>
      </c>
      <c r="AC3701" s="60">
        <f t="shared" si="405"/>
        <v>0</v>
      </c>
    </row>
    <row r="3702" spans="1:29">
      <c r="A3702" s="83" t="str">
        <f t="shared" si="400"/>
        <v/>
      </c>
      <c r="B3702" s="83" t="str">
        <f t="shared" si="406"/>
        <v/>
      </c>
      <c r="U3702" s="83" t="str">
        <f t="shared" si="401"/>
        <v/>
      </c>
      <c r="V3702" s="83" t="str">
        <f t="shared" si="402"/>
        <v/>
      </c>
      <c r="AA3702" s="60">
        <f t="shared" si="403"/>
        <v>0</v>
      </c>
      <c r="AB3702" s="49">
        <f t="shared" si="404"/>
        <v>0</v>
      </c>
      <c r="AC3702" s="60">
        <f t="shared" si="405"/>
        <v>0</v>
      </c>
    </row>
    <row r="3703" spans="1:29">
      <c r="A3703" s="83" t="str">
        <f t="shared" si="400"/>
        <v/>
      </c>
      <c r="B3703" s="83" t="str">
        <f t="shared" si="406"/>
        <v/>
      </c>
      <c r="U3703" s="83" t="str">
        <f t="shared" si="401"/>
        <v/>
      </c>
      <c r="V3703" s="83" t="str">
        <f t="shared" si="402"/>
        <v/>
      </c>
      <c r="AA3703" s="60">
        <f t="shared" si="403"/>
        <v>0</v>
      </c>
      <c r="AB3703" s="49">
        <f t="shared" si="404"/>
        <v>0</v>
      </c>
      <c r="AC3703" s="60">
        <f t="shared" si="405"/>
        <v>0</v>
      </c>
    </row>
    <row r="3704" spans="1:29">
      <c r="A3704" s="83" t="str">
        <f t="shared" si="400"/>
        <v/>
      </c>
      <c r="B3704" s="83" t="str">
        <f t="shared" si="406"/>
        <v/>
      </c>
      <c r="U3704" s="83" t="str">
        <f t="shared" si="401"/>
        <v/>
      </c>
      <c r="V3704" s="83" t="str">
        <f t="shared" si="402"/>
        <v/>
      </c>
      <c r="AA3704" s="60">
        <f t="shared" si="403"/>
        <v>0</v>
      </c>
      <c r="AB3704" s="49">
        <f t="shared" si="404"/>
        <v>0</v>
      </c>
      <c r="AC3704" s="60">
        <f t="shared" si="405"/>
        <v>0</v>
      </c>
    </row>
    <row r="3705" spans="1:29">
      <c r="A3705" s="83" t="str">
        <f t="shared" si="400"/>
        <v/>
      </c>
      <c r="B3705" s="83" t="str">
        <f t="shared" si="406"/>
        <v/>
      </c>
      <c r="U3705" s="83" t="str">
        <f t="shared" si="401"/>
        <v/>
      </c>
      <c r="V3705" s="83" t="str">
        <f t="shared" si="402"/>
        <v/>
      </c>
      <c r="AA3705" s="60">
        <f t="shared" si="403"/>
        <v>0</v>
      </c>
      <c r="AB3705" s="49">
        <f t="shared" si="404"/>
        <v>0</v>
      </c>
      <c r="AC3705" s="60">
        <f t="shared" si="405"/>
        <v>0</v>
      </c>
    </row>
    <row r="3706" spans="1:29">
      <c r="A3706" s="83" t="str">
        <f t="shared" si="400"/>
        <v/>
      </c>
      <c r="B3706" s="83" t="str">
        <f t="shared" si="406"/>
        <v/>
      </c>
      <c r="U3706" s="83" t="str">
        <f t="shared" si="401"/>
        <v/>
      </c>
      <c r="V3706" s="83" t="str">
        <f t="shared" si="402"/>
        <v/>
      </c>
      <c r="AA3706" s="60">
        <f t="shared" si="403"/>
        <v>0</v>
      </c>
      <c r="AB3706" s="49">
        <f t="shared" si="404"/>
        <v>0</v>
      </c>
      <c r="AC3706" s="60">
        <f t="shared" si="405"/>
        <v>0</v>
      </c>
    </row>
    <row r="3707" spans="1:29">
      <c r="A3707" s="83" t="str">
        <f t="shared" si="400"/>
        <v/>
      </c>
      <c r="B3707" s="83" t="str">
        <f t="shared" si="406"/>
        <v/>
      </c>
      <c r="U3707" s="83" t="str">
        <f t="shared" si="401"/>
        <v/>
      </c>
      <c r="V3707" s="83" t="str">
        <f t="shared" si="402"/>
        <v/>
      </c>
      <c r="AA3707" s="60">
        <f t="shared" si="403"/>
        <v>0</v>
      </c>
      <c r="AB3707" s="49">
        <f t="shared" si="404"/>
        <v>0</v>
      </c>
      <c r="AC3707" s="60">
        <f t="shared" si="405"/>
        <v>0</v>
      </c>
    </row>
    <row r="3708" spans="1:29">
      <c r="A3708" s="83" t="str">
        <f t="shared" si="400"/>
        <v/>
      </c>
      <c r="B3708" s="83" t="str">
        <f t="shared" si="406"/>
        <v/>
      </c>
      <c r="U3708" s="83" t="str">
        <f t="shared" si="401"/>
        <v/>
      </c>
      <c r="V3708" s="83" t="str">
        <f t="shared" si="402"/>
        <v/>
      </c>
      <c r="AA3708" s="60">
        <f t="shared" si="403"/>
        <v>0</v>
      </c>
      <c r="AB3708" s="49">
        <f t="shared" si="404"/>
        <v>0</v>
      </c>
      <c r="AC3708" s="60">
        <f t="shared" si="405"/>
        <v>0</v>
      </c>
    </row>
    <row r="3709" spans="1:29">
      <c r="A3709" s="83" t="str">
        <f t="shared" si="400"/>
        <v/>
      </c>
      <c r="B3709" s="83" t="str">
        <f t="shared" si="406"/>
        <v/>
      </c>
      <c r="U3709" s="83" t="str">
        <f t="shared" si="401"/>
        <v/>
      </c>
      <c r="V3709" s="83" t="str">
        <f t="shared" si="402"/>
        <v/>
      </c>
      <c r="AA3709" s="60">
        <f t="shared" si="403"/>
        <v>0</v>
      </c>
      <c r="AB3709" s="49">
        <f t="shared" si="404"/>
        <v>0</v>
      </c>
      <c r="AC3709" s="60">
        <f t="shared" si="405"/>
        <v>0</v>
      </c>
    </row>
    <row r="3710" spans="1:29">
      <c r="A3710" s="83" t="str">
        <f t="shared" si="400"/>
        <v/>
      </c>
      <c r="B3710" s="83" t="str">
        <f t="shared" si="406"/>
        <v/>
      </c>
      <c r="U3710" s="83" t="str">
        <f t="shared" si="401"/>
        <v/>
      </c>
      <c r="V3710" s="83" t="str">
        <f t="shared" si="402"/>
        <v/>
      </c>
      <c r="AA3710" s="60">
        <f t="shared" si="403"/>
        <v>0</v>
      </c>
      <c r="AB3710" s="49">
        <f t="shared" si="404"/>
        <v>0</v>
      </c>
      <c r="AC3710" s="60">
        <f t="shared" si="405"/>
        <v>0</v>
      </c>
    </row>
    <row r="3711" spans="1:29">
      <c r="A3711" s="83" t="str">
        <f t="shared" si="400"/>
        <v/>
      </c>
      <c r="B3711" s="83" t="str">
        <f t="shared" si="406"/>
        <v/>
      </c>
      <c r="U3711" s="83" t="str">
        <f t="shared" si="401"/>
        <v/>
      </c>
      <c r="V3711" s="83" t="str">
        <f t="shared" si="402"/>
        <v/>
      </c>
      <c r="AA3711" s="60">
        <f t="shared" si="403"/>
        <v>0</v>
      </c>
      <c r="AB3711" s="49">
        <f t="shared" si="404"/>
        <v>0</v>
      </c>
      <c r="AC3711" s="60">
        <f t="shared" si="405"/>
        <v>0</v>
      </c>
    </row>
    <row r="3712" spans="1:29">
      <c r="A3712" s="83" t="str">
        <f t="shared" si="400"/>
        <v/>
      </c>
      <c r="B3712" s="83" t="str">
        <f t="shared" si="406"/>
        <v/>
      </c>
      <c r="U3712" s="83" t="str">
        <f t="shared" si="401"/>
        <v/>
      </c>
      <c r="V3712" s="83" t="str">
        <f t="shared" si="402"/>
        <v/>
      </c>
      <c r="AA3712" s="60">
        <f t="shared" si="403"/>
        <v>0</v>
      </c>
      <c r="AB3712" s="49">
        <f t="shared" si="404"/>
        <v>0</v>
      </c>
      <c r="AC3712" s="60">
        <f t="shared" si="405"/>
        <v>0</v>
      </c>
    </row>
    <row r="3713" spans="1:29">
      <c r="A3713" s="83" t="str">
        <f t="shared" si="400"/>
        <v/>
      </c>
      <c r="B3713" s="83" t="str">
        <f t="shared" si="406"/>
        <v/>
      </c>
      <c r="U3713" s="83" t="str">
        <f t="shared" si="401"/>
        <v/>
      </c>
      <c r="V3713" s="83" t="str">
        <f t="shared" si="402"/>
        <v/>
      </c>
      <c r="AA3713" s="60">
        <f t="shared" si="403"/>
        <v>0</v>
      </c>
      <c r="AB3713" s="49">
        <f t="shared" si="404"/>
        <v>0</v>
      </c>
      <c r="AC3713" s="60">
        <f t="shared" si="405"/>
        <v>0</v>
      </c>
    </row>
    <row r="3714" spans="1:29">
      <c r="A3714" s="83" t="str">
        <f t="shared" si="400"/>
        <v/>
      </c>
      <c r="B3714" s="83" t="str">
        <f t="shared" si="406"/>
        <v/>
      </c>
      <c r="U3714" s="83" t="str">
        <f t="shared" si="401"/>
        <v/>
      </c>
      <c r="V3714" s="83" t="str">
        <f t="shared" si="402"/>
        <v/>
      </c>
      <c r="AA3714" s="60">
        <f t="shared" si="403"/>
        <v>0</v>
      </c>
      <c r="AB3714" s="49">
        <f t="shared" si="404"/>
        <v>0</v>
      </c>
      <c r="AC3714" s="60">
        <f t="shared" si="405"/>
        <v>0</v>
      </c>
    </row>
    <row r="3715" spans="1:29">
      <c r="A3715" s="83" t="str">
        <f t="shared" ref="A3715:A3778" si="407">IF(G3715&amp;Q3715&lt;&gt;"",U3715&amp;Q3715,"")</f>
        <v/>
      </c>
      <c r="B3715" s="83" t="str">
        <f t="shared" si="406"/>
        <v/>
      </c>
      <c r="U3715" s="83" t="str">
        <f t="shared" ref="U3715:U3778" si="408">IF(G3715&lt;&gt;"",IF(StyleSpaceSplit,IFERROR(IF(FIND(" ",G3715)&gt;=1,MID(G3715,1,FIND(" ",G3715)-1),G3715),G3715),G3715),"")</f>
        <v/>
      </c>
      <c r="V3715" s="83" t="str">
        <f t="shared" ref="V3715:V3778" si="409">IF(A3715&lt;&gt;"",IFERROR(IF(FIND(" ",G3715)&gt;=1,MID(G3715,FIND(" ",G3715)+1,LEN(G3715)),""),G3715),"")</f>
        <v/>
      </c>
      <c r="AA3715" s="60">
        <f t="shared" ref="AA3715:AA3778" si="410">IFERROR(VALUE(MID($C3715,1,2)),0)</f>
        <v>0</v>
      </c>
      <c r="AB3715" s="49">
        <f t="shared" ref="AB3715:AB3778" si="411">IFERROR(VALUE(MID($C3715,4,3)),0)</f>
        <v>0</v>
      </c>
      <c r="AC3715" s="60">
        <f t="shared" ref="AC3715:AC3778" si="412">VALUE(RIGHT("00"&amp;AA3715,2)&amp;RIGHT("000"&amp;AB3715,3))</f>
        <v>0</v>
      </c>
    </row>
    <row r="3716" spans="1:29">
      <c r="A3716" s="83" t="str">
        <f t="shared" si="407"/>
        <v/>
      </c>
      <c r="B3716" s="83" t="str">
        <f t="shared" si="406"/>
        <v/>
      </c>
      <c r="U3716" s="83" t="str">
        <f t="shared" si="408"/>
        <v/>
      </c>
      <c r="V3716" s="83" t="str">
        <f t="shared" si="409"/>
        <v/>
      </c>
      <c r="AA3716" s="60">
        <f t="shared" si="410"/>
        <v>0</v>
      </c>
      <c r="AB3716" s="49">
        <f t="shared" si="411"/>
        <v>0</v>
      </c>
      <c r="AC3716" s="60">
        <f t="shared" si="412"/>
        <v>0</v>
      </c>
    </row>
    <row r="3717" spans="1:29">
      <c r="A3717" s="83" t="str">
        <f t="shared" si="407"/>
        <v/>
      </c>
      <c r="B3717" s="83" t="str">
        <f t="shared" si="406"/>
        <v/>
      </c>
      <c r="U3717" s="83" t="str">
        <f t="shared" si="408"/>
        <v/>
      </c>
      <c r="V3717" s="83" t="str">
        <f t="shared" si="409"/>
        <v/>
      </c>
      <c r="AA3717" s="60">
        <f t="shared" si="410"/>
        <v>0</v>
      </c>
      <c r="AB3717" s="49">
        <f t="shared" si="411"/>
        <v>0</v>
      </c>
      <c r="AC3717" s="60">
        <f t="shared" si="412"/>
        <v>0</v>
      </c>
    </row>
    <row r="3718" spans="1:29">
      <c r="A3718" s="83" t="str">
        <f t="shared" si="407"/>
        <v/>
      </c>
      <c r="B3718" s="83" t="str">
        <f t="shared" si="406"/>
        <v/>
      </c>
      <c r="U3718" s="83" t="str">
        <f t="shared" si="408"/>
        <v/>
      </c>
      <c r="V3718" s="83" t="str">
        <f t="shared" si="409"/>
        <v/>
      </c>
      <c r="AA3718" s="60">
        <f t="shared" si="410"/>
        <v>0</v>
      </c>
      <c r="AB3718" s="49">
        <f t="shared" si="411"/>
        <v>0</v>
      </c>
      <c r="AC3718" s="60">
        <f t="shared" si="412"/>
        <v>0</v>
      </c>
    </row>
    <row r="3719" spans="1:29">
      <c r="A3719" s="83" t="str">
        <f t="shared" si="407"/>
        <v/>
      </c>
      <c r="B3719" s="83" t="str">
        <f t="shared" si="406"/>
        <v/>
      </c>
      <c r="U3719" s="83" t="str">
        <f t="shared" si="408"/>
        <v/>
      </c>
      <c r="V3719" s="83" t="str">
        <f t="shared" si="409"/>
        <v/>
      </c>
      <c r="AA3719" s="60">
        <f t="shared" si="410"/>
        <v>0</v>
      </c>
      <c r="AB3719" s="49">
        <f t="shared" si="411"/>
        <v>0</v>
      </c>
      <c r="AC3719" s="60">
        <f t="shared" si="412"/>
        <v>0</v>
      </c>
    </row>
    <row r="3720" spans="1:29">
      <c r="A3720" s="83" t="str">
        <f t="shared" si="407"/>
        <v/>
      </c>
      <c r="B3720" s="83" t="str">
        <f t="shared" si="406"/>
        <v/>
      </c>
      <c r="U3720" s="83" t="str">
        <f t="shared" si="408"/>
        <v/>
      </c>
      <c r="V3720" s="83" t="str">
        <f t="shared" si="409"/>
        <v/>
      </c>
      <c r="AA3720" s="60">
        <f t="shared" si="410"/>
        <v>0</v>
      </c>
      <c r="AB3720" s="49">
        <f t="shared" si="411"/>
        <v>0</v>
      </c>
      <c r="AC3720" s="60">
        <f t="shared" si="412"/>
        <v>0</v>
      </c>
    </row>
    <row r="3721" spans="1:29">
      <c r="A3721" s="83" t="str">
        <f t="shared" si="407"/>
        <v/>
      </c>
      <c r="B3721" s="83" t="str">
        <f t="shared" si="406"/>
        <v/>
      </c>
      <c r="U3721" s="83" t="str">
        <f t="shared" si="408"/>
        <v/>
      </c>
      <c r="V3721" s="83" t="str">
        <f t="shared" si="409"/>
        <v/>
      </c>
      <c r="AA3721" s="60">
        <f t="shared" si="410"/>
        <v>0</v>
      </c>
      <c r="AB3721" s="49">
        <f t="shared" si="411"/>
        <v>0</v>
      </c>
      <c r="AC3721" s="60">
        <f t="shared" si="412"/>
        <v>0</v>
      </c>
    </row>
    <row r="3722" spans="1:29">
      <c r="A3722" s="83" t="str">
        <f t="shared" si="407"/>
        <v/>
      </c>
      <c r="B3722" s="83" t="str">
        <f t="shared" si="406"/>
        <v/>
      </c>
      <c r="U3722" s="83" t="str">
        <f t="shared" si="408"/>
        <v/>
      </c>
      <c r="V3722" s="83" t="str">
        <f t="shared" si="409"/>
        <v/>
      </c>
      <c r="AA3722" s="60">
        <f t="shared" si="410"/>
        <v>0</v>
      </c>
      <c r="AB3722" s="49">
        <f t="shared" si="411"/>
        <v>0</v>
      </c>
      <c r="AC3722" s="60">
        <f t="shared" si="412"/>
        <v>0</v>
      </c>
    </row>
    <row r="3723" spans="1:29">
      <c r="A3723" s="83" t="str">
        <f t="shared" si="407"/>
        <v/>
      </c>
      <c r="B3723" s="83" t="str">
        <f t="shared" si="406"/>
        <v/>
      </c>
      <c r="U3723" s="83" t="str">
        <f t="shared" si="408"/>
        <v/>
      </c>
      <c r="V3723" s="83" t="str">
        <f t="shared" si="409"/>
        <v/>
      </c>
      <c r="AA3723" s="60">
        <f t="shared" si="410"/>
        <v>0</v>
      </c>
      <c r="AB3723" s="49">
        <f t="shared" si="411"/>
        <v>0</v>
      </c>
      <c r="AC3723" s="60">
        <f t="shared" si="412"/>
        <v>0</v>
      </c>
    </row>
    <row r="3724" spans="1:29">
      <c r="A3724" s="83" t="str">
        <f t="shared" si="407"/>
        <v/>
      </c>
      <c r="B3724" s="83" t="str">
        <f t="shared" si="406"/>
        <v/>
      </c>
      <c r="U3724" s="83" t="str">
        <f t="shared" si="408"/>
        <v/>
      </c>
      <c r="V3724" s="83" t="str">
        <f t="shared" si="409"/>
        <v/>
      </c>
      <c r="AA3724" s="60">
        <f t="shared" si="410"/>
        <v>0</v>
      </c>
      <c r="AB3724" s="49">
        <f t="shared" si="411"/>
        <v>0</v>
      </c>
      <c r="AC3724" s="60">
        <f t="shared" si="412"/>
        <v>0</v>
      </c>
    </row>
    <row r="3725" spans="1:29">
      <c r="A3725" s="83" t="str">
        <f t="shared" si="407"/>
        <v/>
      </c>
      <c r="B3725" s="83" t="str">
        <f t="shared" si="406"/>
        <v/>
      </c>
      <c r="U3725" s="83" t="str">
        <f t="shared" si="408"/>
        <v/>
      </c>
      <c r="V3725" s="83" t="str">
        <f t="shared" si="409"/>
        <v/>
      </c>
      <c r="AA3725" s="60">
        <f t="shared" si="410"/>
        <v>0</v>
      </c>
      <c r="AB3725" s="49">
        <f t="shared" si="411"/>
        <v>0</v>
      </c>
      <c r="AC3725" s="60">
        <f t="shared" si="412"/>
        <v>0</v>
      </c>
    </row>
    <row r="3726" spans="1:29">
      <c r="A3726" s="83" t="str">
        <f t="shared" si="407"/>
        <v/>
      </c>
      <c r="B3726" s="83" t="str">
        <f t="shared" si="406"/>
        <v/>
      </c>
      <c r="U3726" s="83" t="str">
        <f t="shared" si="408"/>
        <v/>
      </c>
      <c r="V3726" s="83" t="str">
        <f t="shared" si="409"/>
        <v/>
      </c>
      <c r="AA3726" s="60">
        <f t="shared" si="410"/>
        <v>0</v>
      </c>
      <c r="AB3726" s="49">
        <f t="shared" si="411"/>
        <v>0</v>
      </c>
      <c r="AC3726" s="60">
        <f t="shared" si="412"/>
        <v>0</v>
      </c>
    </row>
    <row r="3727" spans="1:29">
      <c r="A3727" s="83" t="str">
        <f t="shared" si="407"/>
        <v/>
      </c>
      <c r="B3727" s="83" t="str">
        <f t="shared" si="406"/>
        <v/>
      </c>
      <c r="U3727" s="83" t="str">
        <f t="shared" si="408"/>
        <v/>
      </c>
      <c r="V3727" s="83" t="str">
        <f t="shared" si="409"/>
        <v/>
      </c>
      <c r="AA3727" s="60">
        <f t="shared" si="410"/>
        <v>0</v>
      </c>
      <c r="AB3727" s="49">
        <f t="shared" si="411"/>
        <v>0</v>
      </c>
      <c r="AC3727" s="60">
        <f t="shared" si="412"/>
        <v>0</v>
      </c>
    </row>
    <row r="3728" spans="1:29">
      <c r="A3728" s="83" t="str">
        <f t="shared" si="407"/>
        <v/>
      </c>
      <c r="B3728" s="83" t="str">
        <f t="shared" si="406"/>
        <v/>
      </c>
      <c r="U3728" s="83" t="str">
        <f t="shared" si="408"/>
        <v/>
      </c>
      <c r="V3728" s="83" t="str">
        <f t="shared" si="409"/>
        <v/>
      </c>
      <c r="AA3728" s="60">
        <f t="shared" si="410"/>
        <v>0</v>
      </c>
      <c r="AB3728" s="49">
        <f t="shared" si="411"/>
        <v>0</v>
      </c>
      <c r="AC3728" s="60">
        <f t="shared" si="412"/>
        <v>0</v>
      </c>
    </row>
    <row r="3729" spans="1:29">
      <c r="A3729" s="83" t="str">
        <f t="shared" si="407"/>
        <v/>
      </c>
      <c r="B3729" s="83" t="str">
        <f t="shared" si="406"/>
        <v/>
      </c>
      <c r="U3729" s="83" t="str">
        <f t="shared" si="408"/>
        <v/>
      </c>
      <c r="V3729" s="83" t="str">
        <f t="shared" si="409"/>
        <v/>
      </c>
      <c r="AA3729" s="60">
        <f t="shared" si="410"/>
        <v>0</v>
      </c>
      <c r="AB3729" s="49">
        <f t="shared" si="411"/>
        <v>0</v>
      </c>
      <c r="AC3729" s="60">
        <f t="shared" si="412"/>
        <v>0</v>
      </c>
    </row>
    <row r="3730" spans="1:29">
      <c r="A3730" s="83" t="str">
        <f t="shared" si="407"/>
        <v/>
      </c>
      <c r="B3730" s="83" t="str">
        <f t="shared" si="406"/>
        <v/>
      </c>
      <c r="U3730" s="83" t="str">
        <f t="shared" si="408"/>
        <v/>
      </c>
      <c r="V3730" s="83" t="str">
        <f t="shared" si="409"/>
        <v/>
      </c>
      <c r="AA3730" s="60">
        <f t="shared" si="410"/>
        <v>0</v>
      </c>
      <c r="AB3730" s="49">
        <f t="shared" si="411"/>
        <v>0</v>
      </c>
      <c r="AC3730" s="60">
        <f t="shared" si="412"/>
        <v>0</v>
      </c>
    </row>
    <row r="3731" spans="1:29">
      <c r="A3731" s="83" t="str">
        <f t="shared" si="407"/>
        <v/>
      </c>
      <c r="B3731" s="83" t="str">
        <f t="shared" si="406"/>
        <v/>
      </c>
      <c r="U3731" s="83" t="str">
        <f t="shared" si="408"/>
        <v/>
      </c>
      <c r="V3731" s="83" t="str">
        <f t="shared" si="409"/>
        <v/>
      </c>
      <c r="AA3731" s="60">
        <f t="shared" si="410"/>
        <v>0</v>
      </c>
      <c r="AB3731" s="49">
        <f t="shared" si="411"/>
        <v>0</v>
      </c>
      <c r="AC3731" s="60">
        <f t="shared" si="412"/>
        <v>0</v>
      </c>
    </row>
    <row r="3732" spans="1:29">
      <c r="A3732" s="83" t="str">
        <f t="shared" si="407"/>
        <v/>
      </c>
      <c r="B3732" s="83" t="str">
        <f t="shared" si="406"/>
        <v/>
      </c>
      <c r="U3732" s="83" t="str">
        <f t="shared" si="408"/>
        <v/>
      </c>
      <c r="V3732" s="83" t="str">
        <f t="shared" si="409"/>
        <v/>
      </c>
      <c r="AA3732" s="60">
        <f t="shared" si="410"/>
        <v>0</v>
      </c>
      <c r="AB3732" s="49">
        <f t="shared" si="411"/>
        <v>0</v>
      </c>
      <c r="AC3732" s="60">
        <f t="shared" si="412"/>
        <v>0</v>
      </c>
    </row>
    <row r="3733" spans="1:29">
      <c r="A3733" s="83" t="str">
        <f t="shared" si="407"/>
        <v/>
      </c>
      <c r="B3733" s="83" t="str">
        <f t="shared" si="406"/>
        <v/>
      </c>
      <c r="U3733" s="83" t="str">
        <f t="shared" si="408"/>
        <v/>
      </c>
      <c r="V3733" s="83" t="str">
        <f t="shared" si="409"/>
        <v/>
      </c>
      <c r="AA3733" s="60">
        <f t="shared" si="410"/>
        <v>0</v>
      </c>
      <c r="AB3733" s="49">
        <f t="shared" si="411"/>
        <v>0</v>
      </c>
      <c r="AC3733" s="60">
        <f t="shared" si="412"/>
        <v>0</v>
      </c>
    </row>
    <row r="3734" spans="1:29">
      <c r="A3734" s="83" t="str">
        <f t="shared" si="407"/>
        <v/>
      </c>
      <c r="B3734" s="83" t="str">
        <f t="shared" si="406"/>
        <v/>
      </c>
      <c r="U3734" s="83" t="str">
        <f t="shared" si="408"/>
        <v/>
      </c>
      <c r="V3734" s="83" t="str">
        <f t="shared" si="409"/>
        <v/>
      </c>
      <c r="AA3734" s="60">
        <f t="shared" si="410"/>
        <v>0</v>
      </c>
      <c r="AB3734" s="49">
        <f t="shared" si="411"/>
        <v>0</v>
      </c>
      <c r="AC3734" s="60">
        <f t="shared" si="412"/>
        <v>0</v>
      </c>
    </row>
    <row r="3735" spans="1:29">
      <c r="A3735" s="83" t="str">
        <f t="shared" si="407"/>
        <v/>
      </c>
      <c r="B3735" s="83" t="str">
        <f t="shared" si="406"/>
        <v/>
      </c>
      <c r="U3735" s="83" t="str">
        <f t="shared" si="408"/>
        <v/>
      </c>
      <c r="V3735" s="83" t="str">
        <f t="shared" si="409"/>
        <v/>
      </c>
      <c r="AA3735" s="60">
        <f t="shared" si="410"/>
        <v>0</v>
      </c>
      <c r="AB3735" s="49">
        <f t="shared" si="411"/>
        <v>0</v>
      </c>
      <c r="AC3735" s="60">
        <f t="shared" si="412"/>
        <v>0</v>
      </c>
    </row>
    <row r="3736" spans="1:29">
      <c r="A3736" s="83" t="str">
        <f t="shared" si="407"/>
        <v/>
      </c>
      <c r="B3736" s="83" t="str">
        <f t="shared" si="406"/>
        <v/>
      </c>
      <c r="U3736" s="83" t="str">
        <f t="shared" si="408"/>
        <v/>
      </c>
      <c r="V3736" s="83" t="str">
        <f t="shared" si="409"/>
        <v/>
      </c>
      <c r="AA3736" s="60">
        <f t="shared" si="410"/>
        <v>0</v>
      </c>
      <c r="AB3736" s="49">
        <f t="shared" si="411"/>
        <v>0</v>
      </c>
      <c r="AC3736" s="60">
        <f t="shared" si="412"/>
        <v>0</v>
      </c>
    </row>
    <row r="3737" spans="1:29">
      <c r="A3737" s="83" t="str">
        <f t="shared" si="407"/>
        <v/>
      </c>
      <c r="B3737" s="83" t="str">
        <f t="shared" si="406"/>
        <v/>
      </c>
      <c r="U3737" s="83" t="str">
        <f t="shared" si="408"/>
        <v/>
      </c>
      <c r="V3737" s="83" t="str">
        <f t="shared" si="409"/>
        <v/>
      </c>
      <c r="AA3737" s="60">
        <f t="shared" si="410"/>
        <v>0</v>
      </c>
      <c r="AB3737" s="49">
        <f t="shared" si="411"/>
        <v>0</v>
      </c>
      <c r="AC3737" s="60">
        <f t="shared" si="412"/>
        <v>0</v>
      </c>
    </row>
    <row r="3738" spans="1:29">
      <c r="A3738" s="83" t="str">
        <f t="shared" si="407"/>
        <v/>
      </c>
      <c r="B3738" s="83" t="str">
        <f t="shared" si="406"/>
        <v/>
      </c>
      <c r="U3738" s="83" t="str">
        <f t="shared" si="408"/>
        <v/>
      </c>
      <c r="V3738" s="83" t="str">
        <f t="shared" si="409"/>
        <v/>
      </c>
      <c r="AA3738" s="60">
        <f t="shared" si="410"/>
        <v>0</v>
      </c>
      <c r="AB3738" s="49">
        <f t="shared" si="411"/>
        <v>0</v>
      </c>
      <c r="AC3738" s="60">
        <f t="shared" si="412"/>
        <v>0</v>
      </c>
    </row>
    <row r="3739" spans="1:29">
      <c r="A3739" s="83" t="str">
        <f t="shared" si="407"/>
        <v/>
      </c>
      <c r="B3739" s="83" t="str">
        <f t="shared" si="406"/>
        <v/>
      </c>
      <c r="U3739" s="83" t="str">
        <f t="shared" si="408"/>
        <v/>
      </c>
      <c r="V3739" s="83" t="str">
        <f t="shared" si="409"/>
        <v/>
      </c>
      <c r="AA3739" s="60">
        <f t="shared" si="410"/>
        <v>0</v>
      </c>
      <c r="AB3739" s="49">
        <f t="shared" si="411"/>
        <v>0</v>
      </c>
      <c r="AC3739" s="60">
        <f t="shared" si="412"/>
        <v>0</v>
      </c>
    </row>
    <row r="3740" spans="1:29">
      <c r="A3740" s="83" t="str">
        <f t="shared" si="407"/>
        <v/>
      </c>
      <c r="B3740" s="83" t="str">
        <f t="shared" si="406"/>
        <v/>
      </c>
      <c r="U3740" s="83" t="str">
        <f t="shared" si="408"/>
        <v/>
      </c>
      <c r="V3740" s="83" t="str">
        <f t="shared" si="409"/>
        <v/>
      </c>
      <c r="AA3740" s="60">
        <f t="shared" si="410"/>
        <v>0</v>
      </c>
      <c r="AB3740" s="49">
        <f t="shared" si="411"/>
        <v>0</v>
      </c>
      <c r="AC3740" s="60">
        <f t="shared" si="412"/>
        <v>0</v>
      </c>
    </row>
    <row r="3741" spans="1:29">
      <c r="A3741" s="83" t="str">
        <f t="shared" si="407"/>
        <v/>
      </c>
      <c r="B3741" s="83" t="str">
        <f t="shared" si="406"/>
        <v/>
      </c>
      <c r="U3741" s="83" t="str">
        <f t="shared" si="408"/>
        <v/>
      </c>
      <c r="V3741" s="83" t="str">
        <f t="shared" si="409"/>
        <v/>
      </c>
      <c r="AA3741" s="60">
        <f t="shared" si="410"/>
        <v>0</v>
      </c>
      <c r="AB3741" s="49">
        <f t="shared" si="411"/>
        <v>0</v>
      </c>
      <c r="AC3741" s="60">
        <f t="shared" si="412"/>
        <v>0</v>
      </c>
    </row>
    <row r="3742" spans="1:29">
      <c r="A3742" s="83" t="str">
        <f t="shared" si="407"/>
        <v/>
      </c>
      <c r="B3742" s="83" t="str">
        <f t="shared" si="406"/>
        <v/>
      </c>
      <c r="U3742" s="83" t="str">
        <f t="shared" si="408"/>
        <v/>
      </c>
      <c r="V3742" s="83" t="str">
        <f t="shared" si="409"/>
        <v/>
      </c>
      <c r="AA3742" s="60">
        <f t="shared" si="410"/>
        <v>0</v>
      </c>
      <c r="AB3742" s="49">
        <f t="shared" si="411"/>
        <v>0</v>
      </c>
      <c r="AC3742" s="60">
        <f t="shared" si="412"/>
        <v>0</v>
      </c>
    </row>
    <row r="3743" spans="1:29">
      <c r="A3743" s="83" t="str">
        <f t="shared" si="407"/>
        <v/>
      </c>
      <c r="B3743" s="83" t="str">
        <f t="shared" si="406"/>
        <v/>
      </c>
      <c r="U3743" s="83" t="str">
        <f t="shared" si="408"/>
        <v/>
      </c>
      <c r="V3743" s="83" t="str">
        <f t="shared" si="409"/>
        <v/>
      </c>
      <c r="AA3743" s="60">
        <f t="shared" si="410"/>
        <v>0</v>
      </c>
      <c r="AB3743" s="49">
        <f t="shared" si="411"/>
        <v>0</v>
      </c>
      <c r="AC3743" s="60">
        <f t="shared" si="412"/>
        <v>0</v>
      </c>
    </row>
    <row r="3744" spans="1:29">
      <c r="A3744" s="83" t="str">
        <f t="shared" si="407"/>
        <v/>
      </c>
      <c r="B3744" s="83" t="str">
        <f t="shared" si="406"/>
        <v/>
      </c>
      <c r="U3744" s="83" t="str">
        <f t="shared" si="408"/>
        <v/>
      </c>
      <c r="V3744" s="83" t="str">
        <f t="shared" si="409"/>
        <v/>
      </c>
      <c r="AA3744" s="60">
        <f t="shared" si="410"/>
        <v>0</v>
      </c>
      <c r="AB3744" s="49">
        <f t="shared" si="411"/>
        <v>0</v>
      </c>
      <c r="AC3744" s="60">
        <f t="shared" si="412"/>
        <v>0</v>
      </c>
    </row>
    <row r="3745" spans="1:29">
      <c r="A3745" s="83" t="str">
        <f t="shared" si="407"/>
        <v/>
      </c>
      <c r="B3745" s="83" t="str">
        <f t="shared" ref="B3745:B3808" si="413">IF(C3745&lt;&gt;"",LEFT(C3745,9),"")</f>
        <v/>
      </c>
      <c r="U3745" s="83" t="str">
        <f t="shared" si="408"/>
        <v/>
      </c>
      <c r="V3745" s="83" t="str">
        <f t="shared" si="409"/>
        <v/>
      </c>
      <c r="AA3745" s="60">
        <f t="shared" si="410"/>
        <v>0</v>
      </c>
      <c r="AB3745" s="49">
        <f t="shared" si="411"/>
        <v>0</v>
      </c>
      <c r="AC3745" s="60">
        <f t="shared" si="412"/>
        <v>0</v>
      </c>
    </row>
    <row r="3746" spans="1:29">
      <c r="A3746" s="83" t="str">
        <f t="shared" si="407"/>
        <v/>
      </c>
      <c r="B3746" s="83" t="str">
        <f t="shared" si="413"/>
        <v/>
      </c>
      <c r="U3746" s="83" t="str">
        <f t="shared" si="408"/>
        <v/>
      </c>
      <c r="V3746" s="83" t="str">
        <f t="shared" si="409"/>
        <v/>
      </c>
      <c r="AA3746" s="60">
        <f t="shared" si="410"/>
        <v>0</v>
      </c>
      <c r="AB3746" s="49">
        <f t="shared" si="411"/>
        <v>0</v>
      </c>
      <c r="AC3746" s="60">
        <f t="shared" si="412"/>
        <v>0</v>
      </c>
    </row>
    <row r="3747" spans="1:29">
      <c r="A3747" s="83" t="str">
        <f t="shared" si="407"/>
        <v/>
      </c>
      <c r="B3747" s="83" t="str">
        <f t="shared" si="413"/>
        <v/>
      </c>
      <c r="U3747" s="83" t="str">
        <f t="shared" si="408"/>
        <v/>
      </c>
      <c r="V3747" s="83" t="str">
        <f t="shared" si="409"/>
        <v/>
      </c>
      <c r="AA3747" s="60">
        <f t="shared" si="410"/>
        <v>0</v>
      </c>
      <c r="AB3747" s="49">
        <f t="shared" si="411"/>
        <v>0</v>
      </c>
      <c r="AC3747" s="60">
        <f t="shared" si="412"/>
        <v>0</v>
      </c>
    </row>
    <row r="3748" spans="1:29">
      <c r="A3748" s="83" t="str">
        <f t="shared" si="407"/>
        <v/>
      </c>
      <c r="B3748" s="83" t="str">
        <f t="shared" si="413"/>
        <v/>
      </c>
      <c r="U3748" s="83" t="str">
        <f t="shared" si="408"/>
        <v/>
      </c>
      <c r="V3748" s="83" t="str">
        <f t="shared" si="409"/>
        <v/>
      </c>
      <c r="AA3748" s="60">
        <f t="shared" si="410"/>
        <v>0</v>
      </c>
      <c r="AB3748" s="49">
        <f t="shared" si="411"/>
        <v>0</v>
      </c>
      <c r="AC3748" s="60">
        <f t="shared" si="412"/>
        <v>0</v>
      </c>
    </row>
    <row r="3749" spans="1:29">
      <c r="A3749" s="83" t="str">
        <f t="shared" si="407"/>
        <v/>
      </c>
      <c r="B3749" s="83" t="str">
        <f t="shared" si="413"/>
        <v/>
      </c>
      <c r="U3749" s="83" t="str">
        <f t="shared" si="408"/>
        <v/>
      </c>
      <c r="V3749" s="83" t="str">
        <f t="shared" si="409"/>
        <v/>
      </c>
      <c r="AA3749" s="60">
        <f t="shared" si="410"/>
        <v>0</v>
      </c>
      <c r="AB3749" s="49">
        <f t="shared" si="411"/>
        <v>0</v>
      </c>
      <c r="AC3749" s="60">
        <f t="shared" si="412"/>
        <v>0</v>
      </c>
    </row>
    <row r="3750" spans="1:29">
      <c r="A3750" s="83" t="str">
        <f t="shared" si="407"/>
        <v/>
      </c>
      <c r="B3750" s="83" t="str">
        <f t="shared" si="413"/>
        <v/>
      </c>
      <c r="U3750" s="83" t="str">
        <f t="shared" si="408"/>
        <v/>
      </c>
      <c r="V3750" s="83" t="str">
        <f t="shared" si="409"/>
        <v/>
      </c>
      <c r="AA3750" s="60">
        <f t="shared" si="410"/>
        <v>0</v>
      </c>
      <c r="AB3750" s="49">
        <f t="shared" si="411"/>
        <v>0</v>
      </c>
      <c r="AC3750" s="60">
        <f t="shared" si="412"/>
        <v>0</v>
      </c>
    </row>
    <row r="3751" spans="1:29">
      <c r="A3751" s="83" t="str">
        <f t="shared" si="407"/>
        <v/>
      </c>
      <c r="B3751" s="83" t="str">
        <f t="shared" si="413"/>
        <v/>
      </c>
      <c r="U3751" s="83" t="str">
        <f t="shared" si="408"/>
        <v/>
      </c>
      <c r="V3751" s="83" t="str">
        <f t="shared" si="409"/>
        <v/>
      </c>
      <c r="AA3751" s="60">
        <f t="shared" si="410"/>
        <v>0</v>
      </c>
      <c r="AB3751" s="49">
        <f t="shared" si="411"/>
        <v>0</v>
      </c>
      <c r="AC3751" s="60">
        <f t="shared" si="412"/>
        <v>0</v>
      </c>
    </row>
    <row r="3752" spans="1:29">
      <c r="A3752" s="83" t="str">
        <f t="shared" si="407"/>
        <v/>
      </c>
      <c r="B3752" s="83" t="str">
        <f t="shared" si="413"/>
        <v/>
      </c>
      <c r="U3752" s="83" t="str">
        <f t="shared" si="408"/>
        <v/>
      </c>
      <c r="V3752" s="83" t="str">
        <f t="shared" si="409"/>
        <v/>
      </c>
      <c r="AA3752" s="60">
        <f t="shared" si="410"/>
        <v>0</v>
      </c>
      <c r="AB3752" s="49">
        <f t="shared" si="411"/>
        <v>0</v>
      </c>
      <c r="AC3752" s="60">
        <f t="shared" si="412"/>
        <v>0</v>
      </c>
    </row>
    <row r="3753" spans="1:29">
      <c r="A3753" s="83" t="str">
        <f t="shared" si="407"/>
        <v/>
      </c>
      <c r="B3753" s="83" t="str">
        <f t="shared" si="413"/>
        <v/>
      </c>
      <c r="U3753" s="83" t="str">
        <f t="shared" si="408"/>
        <v/>
      </c>
      <c r="V3753" s="83" t="str">
        <f t="shared" si="409"/>
        <v/>
      </c>
      <c r="AA3753" s="60">
        <f t="shared" si="410"/>
        <v>0</v>
      </c>
      <c r="AB3753" s="49">
        <f t="shared" si="411"/>
        <v>0</v>
      </c>
      <c r="AC3753" s="60">
        <f t="shared" si="412"/>
        <v>0</v>
      </c>
    </row>
    <row r="3754" spans="1:29">
      <c r="A3754" s="83" t="str">
        <f t="shared" si="407"/>
        <v/>
      </c>
      <c r="B3754" s="83" t="str">
        <f t="shared" si="413"/>
        <v/>
      </c>
      <c r="U3754" s="83" t="str">
        <f t="shared" si="408"/>
        <v/>
      </c>
      <c r="V3754" s="83" t="str">
        <f t="shared" si="409"/>
        <v/>
      </c>
      <c r="AA3754" s="60">
        <f t="shared" si="410"/>
        <v>0</v>
      </c>
      <c r="AB3754" s="49">
        <f t="shared" si="411"/>
        <v>0</v>
      </c>
      <c r="AC3754" s="60">
        <f t="shared" si="412"/>
        <v>0</v>
      </c>
    </row>
    <row r="3755" spans="1:29">
      <c r="A3755" s="83" t="str">
        <f t="shared" si="407"/>
        <v/>
      </c>
      <c r="B3755" s="83" t="str">
        <f t="shared" si="413"/>
        <v/>
      </c>
      <c r="U3755" s="83" t="str">
        <f t="shared" si="408"/>
        <v/>
      </c>
      <c r="V3755" s="83" t="str">
        <f t="shared" si="409"/>
        <v/>
      </c>
      <c r="AA3755" s="60">
        <f t="shared" si="410"/>
        <v>0</v>
      </c>
      <c r="AB3755" s="49">
        <f t="shared" si="411"/>
        <v>0</v>
      </c>
      <c r="AC3755" s="60">
        <f t="shared" si="412"/>
        <v>0</v>
      </c>
    </row>
    <row r="3756" spans="1:29">
      <c r="A3756" s="83" t="str">
        <f t="shared" si="407"/>
        <v/>
      </c>
      <c r="B3756" s="83" t="str">
        <f t="shared" si="413"/>
        <v/>
      </c>
      <c r="U3756" s="83" t="str">
        <f t="shared" si="408"/>
        <v/>
      </c>
      <c r="V3756" s="83" t="str">
        <f t="shared" si="409"/>
        <v/>
      </c>
      <c r="AA3756" s="60">
        <f t="shared" si="410"/>
        <v>0</v>
      </c>
      <c r="AB3756" s="49">
        <f t="shared" si="411"/>
        <v>0</v>
      </c>
      <c r="AC3756" s="60">
        <f t="shared" si="412"/>
        <v>0</v>
      </c>
    </row>
    <row r="3757" spans="1:29">
      <c r="A3757" s="83" t="str">
        <f t="shared" si="407"/>
        <v/>
      </c>
      <c r="B3757" s="83" t="str">
        <f t="shared" si="413"/>
        <v/>
      </c>
      <c r="U3757" s="83" t="str">
        <f t="shared" si="408"/>
        <v/>
      </c>
      <c r="V3757" s="83" t="str">
        <f t="shared" si="409"/>
        <v/>
      </c>
      <c r="AA3757" s="60">
        <f t="shared" si="410"/>
        <v>0</v>
      </c>
      <c r="AB3757" s="49">
        <f t="shared" si="411"/>
        <v>0</v>
      </c>
      <c r="AC3757" s="60">
        <f t="shared" si="412"/>
        <v>0</v>
      </c>
    </row>
    <row r="3758" spans="1:29">
      <c r="A3758" s="83" t="str">
        <f t="shared" si="407"/>
        <v/>
      </c>
      <c r="B3758" s="83" t="str">
        <f t="shared" si="413"/>
        <v/>
      </c>
      <c r="U3758" s="83" t="str">
        <f t="shared" si="408"/>
        <v/>
      </c>
      <c r="V3758" s="83" t="str">
        <f t="shared" si="409"/>
        <v/>
      </c>
      <c r="AA3758" s="60">
        <f t="shared" si="410"/>
        <v>0</v>
      </c>
      <c r="AB3758" s="49">
        <f t="shared" si="411"/>
        <v>0</v>
      </c>
      <c r="AC3758" s="60">
        <f t="shared" si="412"/>
        <v>0</v>
      </c>
    </row>
    <row r="3759" spans="1:29">
      <c r="A3759" s="83" t="str">
        <f t="shared" si="407"/>
        <v/>
      </c>
      <c r="B3759" s="83" t="str">
        <f t="shared" si="413"/>
        <v/>
      </c>
      <c r="U3759" s="83" t="str">
        <f t="shared" si="408"/>
        <v/>
      </c>
      <c r="V3759" s="83" t="str">
        <f t="shared" si="409"/>
        <v/>
      </c>
      <c r="AA3759" s="60">
        <f t="shared" si="410"/>
        <v>0</v>
      </c>
      <c r="AB3759" s="49">
        <f t="shared" si="411"/>
        <v>0</v>
      </c>
      <c r="AC3759" s="60">
        <f t="shared" si="412"/>
        <v>0</v>
      </c>
    </row>
    <row r="3760" spans="1:29">
      <c r="A3760" s="83" t="str">
        <f t="shared" si="407"/>
        <v/>
      </c>
      <c r="B3760" s="83" t="str">
        <f t="shared" si="413"/>
        <v/>
      </c>
      <c r="U3760" s="83" t="str">
        <f t="shared" si="408"/>
        <v/>
      </c>
      <c r="V3760" s="83" t="str">
        <f t="shared" si="409"/>
        <v/>
      </c>
      <c r="AA3760" s="60">
        <f t="shared" si="410"/>
        <v>0</v>
      </c>
      <c r="AB3760" s="49">
        <f t="shared" si="411"/>
        <v>0</v>
      </c>
      <c r="AC3760" s="60">
        <f t="shared" si="412"/>
        <v>0</v>
      </c>
    </row>
    <row r="3761" spans="1:29">
      <c r="A3761" s="83" t="str">
        <f t="shared" si="407"/>
        <v/>
      </c>
      <c r="B3761" s="83" t="str">
        <f t="shared" si="413"/>
        <v/>
      </c>
      <c r="U3761" s="83" t="str">
        <f t="shared" si="408"/>
        <v/>
      </c>
      <c r="V3761" s="83" t="str">
        <f t="shared" si="409"/>
        <v/>
      </c>
      <c r="AA3761" s="60">
        <f t="shared" si="410"/>
        <v>0</v>
      </c>
      <c r="AB3761" s="49">
        <f t="shared" si="411"/>
        <v>0</v>
      </c>
      <c r="AC3761" s="60">
        <f t="shared" si="412"/>
        <v>0</v>
      </c>
    </row>
    <row r="3762" spans="1:29">
      <c r="A3762" s="83" t="str">
        <f t="shared" si="407"/>
        <v/>
      </c>
      <c r="B3762" s="83" t="str">
        <f t="shared" si="413"/>
        <v/>
      </c>
      <c r="U3762" s="83" t="str">
        <f t="shared" si="408"/>
        <v/>
      </c>
      <c r="V3762" s="83" t="str">
        <f t="shared" si="409"/>
        <v/>
      </c>
      <c r="AA3762" s="60">
        <f t="shared" si="410"/>
        <v>0</v>
      </c>
      <c r="AB3762" s="49">
        <f t="shared" si="411"/>
        <v>0</v>
      </c>
      <c r="AC3762" s="60">
        <f t="shared" si="412"/>
        <v>0</v>
      </c>
    </row>
    <row r="3763" spans="1:29">
      <c r="A3763" s="83" t="str">
        <f t="shared" si="407"/>
        <v/>
      </c>
      <c r="B3763" s="83" t="str">
        <f t="shared" si="413"/>
        <v/>
      </c>
      <c r="U3763" s="83" t="str">
        <f t="shared" si="408"/>
        <v/>
      </c>
      <c r="V3763" s="83" t="str">
        <f t="shared" si="409"/>
        <v/>
      </c>
      <c r="AA3763" s="60">
        <f t="shared" si="410"/>
        <v>0</v>
      </c>
      <c r="AB3763" s="49">
        <f t="shared" si="411"/>
        <v>0</v>
      </c>
      <c r="AC3763" s="60">
        <f t="shared" si="412"/>
        <v>0</v>
      </c>
    </row>
    <row r="3764" spans="1:29">
      <c r="A3764" s="83" t="str">
        <f t="shared" si="407"/>
        <v/>
      </c>
      <c r="B3764" s="83" t="str">
        <f t="shared" si="413"/>
        <v/>
      </c>
      <c r="U3764" s="83" t="str">
        <f t="shared" si="408"/>
        <v/>
      </c>
      <c r="V3764" s="83" t="str">
        <f t="shared" si="409"/>
        <v/>
      </c>
      <c r="AA3764" s="60">
        <f t="shared" si="410"/>
        <v>0</v>
      </c>
      <c r="AB3764" s="49">
        <f t="shared" si="411"/>
        <v>0</v>
      </c>
      <c r="AC3764" s="60">
        <f t="shared" si="412"/>
        <v>0</v>
      </c>
    </row>
    <row r="3765" spans="1:29">
      <c r="A3765" s="83" t="str">
        <f t="shared" si="407"/>
        <v/>
      </c>
      <c r="B3765" s="83" t="str">
        <f t="shared" si="413"/>
        <v/>
      </c>
      <c r="U3765" s="83" t="str">
        <f t="shared" si="408"/>
        <v/>
      </c>
      <c r="V3765" s="83" t="str">
        <f t="shared" si="409"/>
        <v/>
      </c>
      <c r="AA3765" s="60">
        <f t="shared" si="410"/>
        <v>0</v>
      </c>
      <c r="AB3765" s="49">
        <f t="shared" si="411"/>
        <v>0</v>
      </c>
      <c r="AC3765" s="60">
        <f t="shared" si="412"/>
        <v>0</v>
      </c>
    </row>
    <row r="3766" spans="1:29">
      <c r="A3766" s="83" t="str">
        <f t="shared" si="407"/>
        <v/>
      </c>
      <c r="B3766" s="83" t="str">
        <f t="shared" si="413"/>
        <v/>
      </c>
      <c r="U3766" s="83" t="str">
        <f t="shared" si="408"/>
        <v/>
      </c>
      <c r="V3766" s="83" t="str">
        <f t="shared" si="409"/>
        <v/>
      </c>
      <c r="AA3766" s="60">
        <f t="shared" si="410"/>
        <v>0</v>
      </c>
      <c r="AB3766" s="49">
        <f t="shared" si="411"/>
        <v>0</v>
      </c>
      <c r="AC3766" s="60">
        <f t="shared" si="412"/>
        <v>0</v>
      </c>
    </row>
    <row r="3767" spans="1:29">
      <c r="A3767" s="83" t="str">
        <f t="shared" si="407"/>
        <v/>
      </c>
      <c r="B3767" s="83" t="str">
        <f t="shared" si="413"/>
        <v/>
      </c>
      <c r="U3767" s="83" t="str">
        <f t="shared" si="408"/>
        <v/>
      </c>
      <c r="V3767" s="83" t="str">
        <f t="shared" si="409"/>
        <v/>
      </c>
      <c r="AA3767" s="60">
        <f t="shared" si="410"/>
        <v>0</v>
      </c>
      <c r="AB3767" s="49">
        <f t="shared" si="411"/>
        <v>0</v>
      </c>
      <c r="AC3767" s="60">
        <f t="shared" si="412"/>
        <v>0</v>
      </c>
    </row>
    <row r="3768" spans="1:29">
      <c r="A3768" s="83" t="str">
        <f t="shared" si="407"/>
        <v/>
      </c>
      <c r="B3768" s="83" t="str">
        <f t="shared" si="413"/>
        <v/>
      </c>
      <c r="U3768" s="83" t="str">
        <f t="shared" si="408"/>
        <v/>
      </c>
      <c r="V3768" s="83" t="str">
        <f t="shared" si="409"/>
        <v/>
      </c>
      <c r="AA3768" s="60">
        <f t="shared" si="410"/>
        <v>0</v>
      </c>
      <c r="AB3768" s="49">
        <f t="shared" si="411"/>
        <v>0</v>
      </c>
      <c r="AC3768" s="60">
        <f t="shared" si="412"/>
        <v>0</v>
      </c>
    </row>
    <row r="3769" spans="1:29">
      <c r="A3769" s="83" t="str">
        <f t="shared" si="407"/>
        <v/>
      </c>
      <c r="B3769" s="83" t="str">
        <f t="shared" si="413"/>
        <v/>
      </c>
      <c r="U3769" s="83" t="str">
        <f t="shared" si="408"/>
        <v/>
      </c>
      <c r="V3769" s="83" t="str">
        <f t="shared" si="409"/>
        <v/>
      </c>
      <c r="AA3769" s="60">
        <f t="shared" si="410"/>
        <v>0</v>
      </c>
      <c r="AB3769" s="49">
        <f t="shared" si="411"/>
        <v>0</v>
      </c>
      <c r="AC3769" s="60">
        <f t="shared" si="412"/>
        <v>0</v>
      </c>
    </row>
    <row r="3770" spans="1:29">
      <c r="A3770" s="83" t="str">
        <f t="shared" si="407"/>
        <v/>
      </c>
      <c r="B3770" s="83" t="str">
        <f t="shared" si="413"/>
        <v/>
      </c>
      <c r="U3770" s="83" t="str">
        <f t="shared" si="408"/>
        <v/>
      </c>
      <c r="V3770" s="83" t="str">
        <f t="shared" si="409"/>
        <v/>
      </c>
      <c r="AA3770" s="60">
        <f t="shared" si="410"/>
        <v>0</v>
      </c>
      <c r="AB3770" s="49">
        <f t="shared" si="411"/>
        <v>0</v>
      </c>
      <c r="AC3770" s="60">
        <f t="shared" si="412"/>
        <v>0</v>
      </c>
    </row>
    <row r="3771" spans="1:29">
      <c r="A3771" s="83" t="str">
        <f t="shared" si="407"/>
        <v/>
      </c>
      <c r="B3771" s="83" t="str">
        <f t="shared" si="413"/>
        <v/>
      </c>
      <c r="U3771" s="83" t="str">
        <f t="shared" si="408"/>
        <v/>
      </c>
      <c r="V3771" s="83" t="str">
        <f t="shared" si="409"/>
        <v/>
      </c>
      <c r="AA3771" s="60">
        <f t="shared" si="410"/>
        <v>0</v>
      </c>
      <c r="AB3771" s="49">
        <f t="shared" si="411"/>
        <v>0</v>
      </c>
      <c r="AC3771" s="60">
        <f t="shared" si="412"/>
        <v>0</v>
      </c>
    </row>
    <row r="3772" spans="1:29">
      <c r="A3772" s="83" t="str">
        <f t="shared" si="407"/>
        <v/>
      </c>
      <c r="B3772" s="83" t="str">
        <f t="shared" si="413"/>
        <v/>
      </c>
      <c r="U3772" s="83" t="str">
        <f t="shared" si="408"/>
        <v/>
      </c>
      <c r="V3772" s="83" t="str">
        <f t="shared" si="409"/>
        <v/>
      </c>
      <c r="AA3772" s="60">
        <f t="shared" si="410"/>
        <v>0</v>
      </c>
      <c r="AB3772" s="49">
        <f t="shared" si="411"/>
        <v>0</v>
      </c>
      <c r="AC3772" s="60">
        <f t="shared" si="412"/>
        <v>0</v>
      </c>
    </row>
    <row r="3773" spans="1:29">
      <c r="A3773" s="83" t="str">
        <f t="shared" si="407"/>
        <v/>
      </c>
      <c r="B3773" s="83" t="str">
        <f t="shared" si="413"/>
        <v/>
      </c>
      <c r="U3773" s="83" t="str">
        <f t="shared" si="408"/>
        <v/>
      </c>
      <c r="V3773" s="83" t="str">
        <f t="shared" si="409"/>
        <v/>
      </c>
      <c r="AA3773" s="60">
        <f t="shared" si="410"/>
        <v>0</v>
      </c>
      <c r="AB3773" s="49">
        <f t="shared" si="411"/>
        <v>0</v>
      </c>
      <c r="AC3773" s="60">
        <f t="shared" si="412"/>
        <v>0</v>
      </c>
    </row>
    <row r="3774" spans="1:29">
      <c r="A3774" s="83" t="str">
        <f t="shared" si="407"/>
        <v/>
      </c>
      <c r="B3774" s="83" t="str">
        <f t="shared" si="413"/>
        <v/>
      </c>
      <c r="U3774" s="83" t="str">
        <f t="shared" si="408"/>
        <v/>
      </c>
      <c r="V3774" s="83" t="str">
        <f t="shared" si="409"/>
        <v/>
      </c>
      <c r="AA3774" s="60">
        <f t="shared" si="410"/>
        <v>0</v>
      </c>
      <c r="AB3774" s="49">
        <f t="shared" si="411"/>
        <v>0</v>
      </c>
      <c r="AC3774" s="60">
        <f t="shared" si="412"/>
        <v>0</v>
      </c>
    </row>
    <row r="3775" spans="1:29">
      <c r="A3775" s="83" t="str">
        <f t="shared" si="407"/>
        <v/>
      </c>
      <c r="B3775" s="83" t="str">
        <f t="shared" si="413"/>
        <v/>
      </c>
      <c r="U3775" s="83" t="str">
        <f t="shared" si="408"/>
        <v/>
      </c>
      <c r="V3775" s="83" t="str">
        <f t="shared" si="409"/>
        <v/>
      </c>
      <c r="AA3775" s="60">
        <f t="shared" si="410"/>
        <v>0</v>
      </c>
      <c r="AB3775" s="49">
        <f t="shared" si="411"/>
        <v>0</v>
      </c>
      <c r="AC3775" s="60">
        <f t="shared" si="412"/>
        <v>0</v>
      </c>
    </row>
    <row r="3776" spans="1:29">
      <c r="A3776" s="83" t="str">
        <f t="shared" si="407"/>
        <v/>
      </c>
      <c r="B3776" s="83" t="str">
        <f t="shared" si="413"/>
        <v/>
      </c>
      <c r="U3776" s="83" t="str">
        <f t="shared" si="408"/>
        <v/>
      </c>
      <c r="V3776" s="83" t="str">
        <f t="shared" si="409"/>
        <v/>
      </c>
      <c r="AA3776" s="60">
        <f t="shared" si="410"/>
        <v>0</v>
      </c>
      <c r="AB3776" s="49">
        <f t="shared" si="411"/>
        <v>0</v>
      </c>
      <c r="AC3776" s="60">
        <f t="shared" si="412"/>
        <v>0</v>
      </c>
    </row>
    <row r="3777" spans="1:29">
      <c r="A3777" s="83" t="str">
        <f t="shared" si="407"/>
        <v/>
      </c>
      <c r="B3777" s="83" t="str">
        <f t="shared" si="413"/>
        <v/>
      </c>
      <c r="U3777" s="83" t="str">
        <f t="shared" si="408"/>
        <v/>
      </c>
      <c r="V3777" s="83" t="str">
        <f t="shared" si="409"/>
        <v/>
      </c>
      <c r="AA3777" s="60">
        <f t="shared" si="410"/>
        <v>0</v>
      </c>
      <c r="AB3777" s="49">
        <f t="shared" si="411"/>
        <v>0</v>
      </c>
      <c r="AC3777" s="60">
        <f t="shared" si="412"/>
        <v>0</v>
      </c>
    </row>
    <row r="3778" spans="1:29">
      <c r="A3778" s="83" t="str">
        <f t="shared" si="407"/>
        <v/>
      </c>
      <c r="B3778" s="83" t="str">
        <f t="shared" si="413"/>
        <v/>
      </c>
      <c r="U3778" s="83" t="str">
        <f t="shared" si="408"/>
        <v/>
      </c>
      <c r="V3778" s="83" t="str">
        <f t="shared" si="409"/>
        <v/>
      </c>
      <c r="AA3778" s="60">
        <f t="shared" si="410"/>
        <v>0</v>
      </c>
      <c r="AB3778" s="49">
        <f t="shared" si="411"/>
        <v>0</v>
      </c>
      <c r="AC3778" s="60">
        <f t="shared" si="412"/>
        <v>0</v>
      </c>
    </row>
    <row r="3779" spans="1:29">
      <c r="A3779" s="83" t="str">
        <f t="shared" ref="A3779:A3842" si="414">IF(G3779&amp;Q3779&lt;&gt;"",U3779&amp;Q3779,"")</f>
        <v/>
      </c>
      <c r="B3779" s="83" t="str">
        <f t="shared" si="413"/>
        <v/>
      </c>
      <c r="U3779" s="83" t="str">
        <f t="shared" ref="U3779:U3842" si="415">IF(G3779&lt;&gt;"",IF(StyleSpaceSplit,IFERROR(IF(FIND(" ",G3779)&gt;=1,MID(G3779,1,FIND(" ",G3779)-1),G3779),G3779),G3779),"")</f>
        <v/>
      </c>
      <c r="V3779" s="83" t="str">
        <f t="shared" ref="V3779:V3842" si="416">IF(A3779&lt;&gt;"",IFERROR(IF(FIND(" ",G3779)&gt;=1,MID(G3779,FIND(" ",G3779)+1,LEN(G3779)),""),G3779),"")</f>
        <v/>
      </c>
      <c r="AA3779" s="60">
        <f t="shared" ref="AA3779:AA3842" si="417">IFERROR(VALUE(MID($C3779,1,2)),0)</f>
        <v>0</v>
      </c>
      <c r="AB3779" s="49">
        <f t="shared" ref="AB3779:AB3842" si="418">IFERROR(VALUE(MID($C3779,4,3)),0)</f>
        <v>0</v>
      </c>
      <c r="AC3779" s="60">
        <f t="shared" ref="AC3779:AC3842" si="419">VALUE(RIGHT("00"&amp;AA3779,2)&amp;RIGHT("000"&amp;AB3779,3))</f>
        <v>0</v>
      </c>
    </row>
    <row r="3780" spans="1:29">
      <c r="A3780" s="83" t="str">
        <f t="shared" si="414"/>
        <v/>
      </c>
      <c r="B3780" s="83" t="str">
        <f t="shared" si="413"/>
        <v/>
      </c>
      <c r="U3780" s="83" t="str">
        <f t="shared" si="415"/>
        <v/>
      </c>
      <c r="V3780" s="83" t="str">
        <f t="shared" si="416"/>
        <v/>
      </c>
      <c r="AA3780" s="60">
        <f t="shared" si="417"/>
        <v>0</v>
      </c>
      <c r="AB3780" s="49">
        <f t="shared" si="418"/>
        <v>0</v>
      </c>
      <c r="AC3780" s="60">
        <f t="shared" si="419"/>
        <v>0</v>
      </c>
    </row>
    <row r="3781" spans="1:29">
      <c r="A3781" s="83" t="str">
        <f t="shared" si="414"/>
        <v/>
      </c>
      <c r="B3781" s="83" t="str">
        <f t="shared" si="413"/>
        <v/>
      </c>
      <c r="U3781" s="83" t="str">
        <f t="shared" si="415"/>
        <v/>
      </c>
      <c r="V3781" s="83" t="str">
        <f t="shared" si="416"/>
        <v/>
      </c>
      <c r="AA3781" s="60">
        <f t="shared" si="417"/>
        <v>0</v>
      </c>
      <c r="AB3781" s="49">
        <f t="shared" si="418"/>
        <v>0</v>
      </c>
      <c r="AC3781" s="60">
        <f t="shared" si="419"/>
        <v>0</v>
      </c>
    </row>
    <row r="3782" spans="1:29">
      <c r="A3782" s="83" t="str">
        <f t="shared" si="414"/>
        <v/>
      </c>
      <c r="B3782" s="83" t="str">
        <f t="shared" si="413"/>
        <v/>
      </c>
      <c r="U3782" s="83" t="str">
        <f t="shared" si="415"/>
        <v/>
      </c>
      <c r="V3782" s="83" t="str">
        <f t="shared" si="416"/>
        <v/>
      </c>
      <c r="AA3782" s="60">
        <f t="shared" si="417"/>
        <v>0</v>
      </c>
      <c r="AB3782" s="49">
        <f t="shared" si="418"/>
        <v>0</v>
      </c>
      <c r="AC3782" s="60">
        <f t="shared" si="419"/>
        <v>0</v>
      </c>
    </row>
    <row r="3783" spans="1:29">
      <c r="A3783" s="83" t="str">
        <f t="shared" si="414"/>
        <v/>
      </c>
      <c r="B3783" s="83" t="str">
        <f t="shared" si="413"/>
        <v/>
      </c>
      <c r="U3783" s="83" t="str">
        <f t="shared" si="415"/>
        <v/>
      </c>
      <c r="V3783" s="83" t="str">
        <f t="shared" si="416"/>
        <v/>
      </c>
      <c r="AA3783" s="60">
        <f t="shared" si="417"/>
        <v>0</v>
      </c>
      <c r="AB3783" s="49">
        <f t="shared" si="418"/>
        <v>0</v>
      </c>
      <c r="AC3783" s="60">
        <f t="shared" si="419"/>
        <v>0</v>
      </c>
    </row>
    <row r="3784" spans="1:29">
      <c r="A3784" s="83" t="str">
        <f t="shared" si="414"/>
        <v/>
      </c>
      <c r="B3784" s="83" t="str">
        <f t="shared" si="413"/>
        <v/>
      </c>
      <c r="U3784" s="83" t="str">
        <f t="shared" si="415"/>
        <v/>
      </c>
      <c r="V3784" s="83" t="str">
        <f t="shared" si="416"/>
        <v/>
      </c>
      <c r="AA3784" s="60">
        <f t="shared" si="417"/>
        <v>0</v>
      </c>
      <c r="AB3784" s="49">
        <f t="shared" si="418"/>
        <v>0</v>
      </c>
      <c r="AC3784" s="60">
        <f t="shared" si="419"/>
        <v>0</v>
      </c>
    </row>
    <row r="3785" spans="1:29">
      <c r="A3785" s="83" t="str">
        <f t="shared" si="414"/>
        <v/>
      </c>
      <c r="B3785" s="83" t="str">
        <f t="shared" si="413"/>
        <v/>
      </c>
      <c r="U3785" s="83" t="str">
        <f t="shared" si="415"/>
        <v/>
      </c>
      <c r="V3785" s="83" t="str">
        <f t="shared" si="416"/>
        <v/>
      </c>
      <c r="AA3785" s="60">
        <f t="shared" si="417"/>
        <v>0</v>
      </c>
      <c r="AB3785" s="49">
        <f t="shared" si="418"/>
        <v>0</v>
      </c>
      <c r="AC3785" s="60">
        <f t="shared" si="419"/>
        <v>0</v>
      </c>
    </row>
    <row r="3786" spans="1:29">
      <c r="A3786" s="83" t="str">
        <f t="shared" si="414"/>
        <v/>
      </c>
      <c r="B3786" s="83" t="str">
        <f t="shared" si="413"/>
        <v/>
      </c>
      <c r="U3786" s="83" t="str">
        <f t="shared" si="415"/>
        <v/>
      </c>
      <c r="V3786" s="83" t="str">
        <f t="shared" si="416"/>
        <v/>
      </c>
      <c r="AA3786" s="60">
        <f t="shared" si="417"/>
        <v>0</v>
      </c>
      <c r="AB3786" s="49">
        <f t="shared" si="418"/>
        <v>0</v>
      </c>
      <c r="AC3786" s="60">
        <f t="shared" si="419"/>
        <v>0</v>
      </c>
    </row>
    <row r="3787" spans="1:29">
      <c r="A3787" s="83" t="str">
        <f t="shared" si="414"/>
        <v/>
      </c>
      <c r="B3787" s="83" t="str">
        <f t="shared" si="413"/>
        <v/>
      </c>
      <c r="U3787" s="83" t="str">
        <f t="shared" si="415"/>
        <v/>
      </c>
      <c r="V3787" s="83" t="str">
        <f t="shared" si="416"/>
        <v/>
      </c>
      <c r="AA3787" s="60">
        <f t="shared" si="417"/>
        <v>0</v>
      </c>
      <c r="AB3787" s="49">
        <f t="shared" si="418"/>
        <v>0</v>
      </c>
      <c r="AC3787" s="60">
        <f t="shared" si="419"/>
        <v>0</v>
      </c>
    </row>
    <row r="3788" spans="1:29">
      <c r="A3788" s="83" t="str">
        <f t="shared" si="414"/>
        <v/>
      </c>
      <c r="B3788" s="83" t="str">
        <f t="shared" si="413"/>
        <v/>
      </c>
      <c r="U3788" s="83" t="str">
        <f t="shared" si="415"/>
        <v/>
      </c>
      <c r="V3788" s="83" t="str">
        <f t="shared" si="416"/>
        <v/>
      </c>
      <c r="AA3788" s="60">
        <f t="shared" si="417"/>
        <v>0</v>
      </c>
      <c r="AB3788" s="49">
        <f t="shared" si="418"/>
        <v>0</v>
      </c>
      <c r="AC3788" s="60">
        <f t="shared" si="419"/>
        <v>0</v>
      </c>
    </row>
    <row r="3789" spans="1:29">
      <c r="A3789" s="83" t="str">
        <f t="shared" si="414"/>
        <v/>
      </c>
      <c r="B3789" s="83" t="str">
        <f t="shared" si="413"/>
        <v/>
      </c>
      <c r="U3789" s="83" t="str">
        <f t="shared" si="415"/>
        <v/>
      </c>
      <c r="V3789" s="83" t="str">
        <f t="shared" si="416"/>
        <v/>
      </c>
      <c r="AA3789" s="60">
        <f t="shared" si="417"/>
        <v>0</v>
      </c>
      <c r="AB3789" s="49">
        <f t="shared" si="418"/>
        <v>0</v>
      </c>
      <c r="AC3789" s="60">
        <f t="shared" si="419"/>
        <v>0</v>
      </c>
    </row>
    <row r="3790" spans="1:29">
      <c r="A3790" s="83" t="str">
        <f t="shared" si="414"/>
        <v/>
      </c>
      <c r="B3790" s="83" t="str">
        <f t="shared" si="413"/>
        <v/>
      </c>
      <c r="U3790" s="83" t="str">
        <f t="shared" si="415"/>
        <v/>
      </c>
      <c r="V3790" s="83" t="str">
        <f t="shared" si="416"/>
        <v/>
      </c>
      <c r="AA3790" s="60">
        <f t="shared" si="417"/>
        <v>0</v>
      </c>
      <c r="AB3790" s="49">
        <f t="shared" si="418"/>
        <v>0</v>
      </c>
      <c r="AC3790" s="60">
        <f t="shared" si="419"/>
        <v>0</v>
      </c>
    </row>
    <row r="3791" spans="1:29">
      <c r="A3791" s="83" t="str">
        <f t="shared" si="414"/>
        <v/>
      </c>
      <c r="B3791" s="83" t="str">
        <f t="shared" si="413"/>
        <v/>
      </c>
      <c r="U3791" s="83" t="str">
        <f t="shared" si="415"/>
        <v/>
      </c>
      <c r="V3791" s="83" t="str">
        <f t="shared" si="416"/>
        <v/>
      </c>
      <c r="AA3791" s="60">
        <f t="shared" si="417"/>
        <v>0</v>
      </c>
      <c r="AB3791" s="49">
        <f t="shared" si="418"/>
        <v>0</v>
      </c>
      <c r="AC3791" s="60">
        <f t="shared" si="419"/>
        <v>0</v>
      </c>
    </row>
    <row r="3792" spans="1:29">
      <c r="A3792" s="83" t="str">
        <f t="shared" si="414"/>
        <v/>
      </c>
      <c r="B3792" s="83" t="str">
        <f t="shared" si="413"/>
        <v/>
      </c>
      <c r="U3792" s="83" t="str">
        <f t="shared" si="415"/>
        <v/>
      </c>
      <c r="V3792" s="83" t="str">
        <f t="shared" si="416"/>
        <v/>
      </c>
      <c r="AA3792" s="60">
        <f t="shared" si="417"/>
        <v>0</v>
      </c>
      <c r="AB3792" s="49">
        <f t="shared" si="418"/>
        <v>0</v>
      </c>
      <c r="AC3792" s="60">
        <f t="shared" si="419"/>
        <v>0</v>
      </c>
    </row>
    <row r="3793" spans="1:29">
      <c r="A3793" s="83" t="str">
        <f t="shared" si="414"/>
        <v/>
      </c>
      <c r="B3793" s="83" t="str">
        <f t="shared" si="413"/>
        <v/>
      </c>
      <c r="U3793" s="83" t="str">
        <f t="shared" si="415"/>
        <v/>
      </c>
      <c r="V3793" s="83" t="str">
        <f t="shared" si="416"/>
        <v/>
      </c>
      <c r="AA3793" s="60">
        <f t="shared" si="417"/>
        <v>0</v>
      </c>
      <c r="AB3793" s="49">
        <f t="shared" si="418"/>
        <v>0</v>
      </c>
      <c r="AC3793" s="60">
        <f t="shared" si="419"/>
        <v>0</v>
      </c>
    </row>
    <row r="3794" spans="1:29">
      <c r="A3794" s="83" t="str">
        <f t="shared" si="414"/>
        <v/>
      </c>
      <c r="B3794" s="83" t="str">
        <f t="shared" si="413"/>
        <v/>
      </c>
      <c r="U3794" s="83" t="str">
        <f t="shared" si="415"/>
        <v/>
      </c>
      <c r="V3794" s="83" t="str">
        <f t="shared" si="416"/>
        <v/>
      </c>
      <c r="AA3794" s="60">
        <f t="shared" si="417"/>
        <v>0</v>
      </c>
      <c r="AB3794" s="49">
        <f t="shared" si="418"/>
        <v>0</v>
      </c>
      <c r="AC3794" s="60">
        <f t="shared" si="419"/>
        <v>0</v>
      </c>
    </row>
    <row r="3795" spans="1:29">
      <c r="A3795" s="83" t="str">
        <f t="shared" si="414"/>
        <v/>
      </c>
      <c r="B3795" s="83" t="str">
        <f t="shared" si="413"/>
        <v/>
      </c>
      <c r="U3795" s="83" t="str">
        <f t="shared" si="415"/>
        <v/>
      </c>
      <c r="V3795" s="83" t="str">
        <f t="shared" si="416"/>
        <v/>
      </c>
      <c r="AA3795" s="60">
        <f t="shared" si="417"/>
        <v>0</v>
      </c>
      <c r="AB3795" s="49">
        <f t="shared" si="418"/>
        <v>0</v>
      </c>
      <c r="AC3795" s="60">
        <f t="shared" si="419"/>
        <v>0</v>
      </c>
    </row>
    <row r="3796" spans="1:29">
      <c r="A3796" s="83" t="str">
        <f t="shared" si="414"/>
        <v/>
      </c>
      <c r="B3796" s="83" t="str">
        <f t="shared" si="413"/>
        <v/>
      </c>
      <c r="U3796" s="83" t="str">
        <f t="shared" si="415"/>
        <v/>
      </c>
      <c r="V3796" s="83" t="str">
        <f t="shared" si="416"/>
        <v/>
      </c>
      <c r="AA3796" s="60">
        <f t="shared" si="417"/>
        <v>0</v>
      </c>
      <c r="AB3796" s="49">
        <f t="shared" si="418"/>
        <v>0</v>
      </c>
      <c r="AC3796" s="60">
        <f t="shared" si="419"/>
        <v>0</v>
      </c>
    </row>
    <row r="3797" spans="1:29">
      <c r="A3797" s="83" t="str">
        <f t="shared" si="414"/>
        <v/>
      </c>
      <c r="B3797" s="83" t="str">
        <f t="shared" si="413"/>
        <v/>
      </c>
      <c r="U3797" s="83" t="str">
        <f t="shared" si="415"/>
        <v/>
      </c>
      <c r="V3797" s="83" t="str">
        <f t="shared" si="416"/>
        <v/>
      </c>
      <c r="AA3797" s="60">
        <f t="shared" si="417"/>
        <v>0</v>
      </c>
      <c r="AB3797" s="49">
        <f t="shared" si="418"/>
        <v>0</v>
      </c>
      <c r="AC3797" s="60">
        <f t="shared" si="419"/>
        <v>0</v>
      </c>
    </row>
    <row r="3798" spans="1:29">
      <c r="A3798" s="83" t="str">
        <f t="shared" si="414"/>
        <v/>
      </c>
      <c r="B3798" s="83" t="str">
        <f t="shared" si="413"/>
        <v/>
      </c>
      <c r="U3798" s="83" t="str">
        <f t="shared" si="415"/>
        <v/>
      </c>
      <c r="V3798" s="83" t="str">
        <f t="shared" si="416"/>
        <v/>
      </c>
      <c r="AA3798" s="60">
        <f t="shared" si="417"/>
        <v>0</v>
      </c>
      <c r="AB3798" s="49">
        <f t="shared" si="418"/>
        <v>0</v>
      </c>
      <c r="AC3798" s="60">
        <f t="shared" si="419"/>
        <v>0</v>
      </c>
    </row>
    <row r="3799" spans="1:29">
      <c r="A3799" s="83" t="str">
        <f t="shared" si="414"/>
        <v/>
      </c>
      <c r="B3799" s="83" t="str">
        <f t="shared" si="413"/>
        <v/>
      </c>
      <c r="U3799" s="83" t="str">
        <f t="shared" si="415"/>
        <v/>
      </c>
      <c r="V3799" s="83" t="str">
        <f t="shared" si="416"/>
        <v/>
      </c>
      <c r="AA3799" s="60">
        <f t="shared" si="417"/>
        <v>0</v>
      </c>
      <c r="AB3799" s="49">
        <f t="shared" si="418"/>
        <v>0</v>
      </c>
      <c r="AC3799" s="60">
        <f t="shared" si="419"/>
        <v>0</v>
      </c>
    </row>
    <row r="3800" spans="1:29">
      <c r="A3800" s="83" t="str">
        <f t="shared" si="414"/>
        <v/>
      </c>
      <c r="B3800" s="83" t="str">
        <f t="shared" si="413"/>
        <v/>
      </c>
      <c r="U3800" s="83" t="str">
        <f t="shared" si="415"/>
        <v/>
      </c>
      <c r="V3800" s="83" t="str">
        <f t="shared" si="416"/>
        <v/>
      </c>
      <c r="AA3800" s="60">
        <f t="shared" si="417"/>
        <v>0</v>
      </c>
      <c r="AB3800" s="49">
        <f t="shared" si="418"/>
        <v>0</v>
      </c>
      <c r="AC3800" s="60">
        <f t="shared" si="419"/>
        <v>0</v>
      </c>
    </row>
    <row r="3801" spans="1:29">
      <c r="A3801" s="83" t="str">
        <f t="shared" si="414"/>
        <v/>
      </c>
      <c r="B3801" s="83" t="str">
        <f t="shared" si="413"/>
        <v/>
      </c>
      <c r="U3801" s="83" t="str">
        <f t="shared" si="415"/>
        <v/>
      </c>
      <c r="V3801" s="83" t="str">
        <f t="shared" si="416"/>
        <v/>
      </c>
      <c r="AA3801" s="60">
        <f t="shared" si="417"/>
        <v>0</v>
      </c>
      <c r="AB3801" s="49">
        <f t="shared" si="418"/>
        <v>0</v>
      </c>
      <c r="AC3801" s="60">
        <f t="shared" si="419"/>
        <v>0</v>
      </c>
    </row>
    <row r="3802" spans="1:29">
      <c r="A3802" s="83" t="str">
        <f t="shared" si="414"/>
        <v/>
      </c>
      <c r="B3802" s="83" t="str">
        <f t="shared" si="413"/>
        <v/>
      </c>
      <c r="U3802" s="83" t="str">
        <f t="shared" si="415"/>
        <v/>
      </c>
      <c r="V3802" s="83" t="str">
        <f t="shared" si="416"/>
        <v/>
      </c>
      <c r="AA3802" s="60">
        <f t="shared" si="417"/>
        <v>0</v>
      </c>
      <c r="AB3802" s="49">
        <f t="shared" si="418"/>
        <v>0</v>
      </c>
      <c r="AC3802" s="60">
        <f t="shared" si="419"/>
        <v>0</v>
      </c>
    </row>
    <row r="3803" spans="1:29">
      <c r="A3803" s="83" t="str">
        <f t="shared" si="414"/>
        <v/>
      </c>
      <c r="B3803" s="83" t="str">
        <f t="shared" si="413"/>
        <v/>
      </c>
      <c r="U3803" s="83" t="str">
        <f t="shared" si="415"/>
        <v/>
      </c>
      <c r="V3803" s="83" t="str">
        <f t="shared" si="416"/>
        <v/>
      </c>
      <c r="AA3803" s="60">
        <f t="shared" si="417"/>
        <v>0</v>
      </c>
      <c r="AB3803" s="49">
        <f t="shared" si="418"/>
        <v>0</v>
      </c>
      <c r="AC3803" s="60">
        <f t="shared" si="419"/>
        <v>0</v>
      </c>
    </row>
    <row r="3804" spans="1:29">
      <c r="A3804" s="83" t="str">
        <f t="shared" si="414"/>
        <v/>
      </c>
      <c r="B3804" s="83" t="str">
        <f t="shared" si="413"/>
        <v/>
      </c>
      <c r="U3804" s="83" t="str">
        <f t="shared" si="415"/>
        <v/>
      </c>
      <c r="V3804" s="83" t="str">
        <f t="shared" si="416"/>
        <v/>
      </c>
      <c r="AA3804" s="60">
        <f t="shared" si="417"/>
        <v>0</v>
      </c>
      <c r="AB3804" s="49">
        <f t="shared" si="418"/>
        <v>0</v>
      </c>
      <c r="AC3804" s="60">
        <f t="shared" si="419"/>
        <v>0</v>
      </c>
    </row>
    <row r="3805" spans="1:29">
      <c r="A3805" s="83" t="str">
        <f t="shared" si="414"/>
        <v/>
      </c>
      <c r="B3805" s="83" t="str">
        <f t="shared" si="413"/>
        <v/>
      </c>
      <c r="U3805" s="83" t="str">
        <f t="shared" si="415"/>
        <v/>
      </c>
      <c r="V3805" s="83" t="str">
        <f t="shared" si="416"/>
        <v/>
      </c>
      <c r="AA3805" s="60">
        <f t="shared" si="417"/>
        <v>0</v>
      </c>
      <c r="AB3805" s="49">
        <f t="shared" si="418"/>
        <v>0</v>
      </c>
      <c r="AC3805" s="60">
        <f t="shared" si="419"/>
        <v>0</v>
      </c>
    </row>
    <row r="3806" spans="1:29">
      <c r="A3806" s="83" t="str">
        <f t="shared" si="414"/>
        <v/>
      </c>
      <c r="B3806" s="83" t="str">
        <f t="shared" si="413"/>
        <v/>
      </c>
      <c r="U3806" s="83" t="str">
        <f t="shared" si="415"/>
        <v/>
      </c>
      <c r="V3806" s="83" t="str">
        <f t="shared" si="416"/>
        <v/>
      </c>
      <c r="AA3806" s="60">
        <f t="shared" si="417"/>
        <v>0</v>
      </c>
      <c r="AB3806" s="49">
        <f t="shared" si="418"/>
        <v>0</v>
      </c>
      <c r="AC3806" s="60">
        <f t="shared" si="419"/>
        <v>0</v>
      </c>
    </row>
    <row r="3807" spans="1:29">
      <c r="A3807" s="83" t="str">
        <f t="shared" si="414"/>
        <v/>
      </c>
      <c r="B3807" s="83" t="str">
        <f t="shared" si="413"/>
        <v/>
      </c>
      <c r="U3807" s="83" t="str">
        <f t="shared" si="415"/>
        <v/>
      </c>
      <c r="V3807" s="83" t="str">
        <f t="shared" si="416"/>
        <v/>
      </c>
      <c r="AA3807" s="60">
        <f t="shared" si="417"/>
        <v>0</v>
      </c>
      <c r="AB3807" s="49">
        <f t="shared" si="418"/>
        <v>0</v>
      </c>
      <c r="AC3807" s="60">
        <f t="shared" si="419"/>
        <v>0</v>
      </c>
    </row>
    <row r="3808" spans="1:29">
      <c r="A3808" s="83" t="str">
        <f t="shared" si="414"/>
        <v/>
      </c>
      <c r="B3808" s="83" t="str">
        <f t="shared" si="413"/>
        <v/>
      </c>
      <c r="U3808" s="83" t="str">
        <f t="shared" si="415"/>
        <v/>
      </c>
      <c r="V3808" s="83" t="str">
        <f t="shared" si="416"/>
        <v/>
      </c>
      <c r="AA3808" s="60">
        <f t="shared" si="417"/>
        <v>0</v>
      </c>
      <c r="AB3808" s="49">
        <f t="shared" si="418"/>
        <v>0</v>
      </c>
      <c r="AC3808" s="60">
        <f t="shared" si="419"/>
        <v>0</v>
      </c>
    </row>
    <row r="3809" spans="1:29">
      <c r="A3809" s="83" t="str">
        <f t="shared" si="414"/>
        <v/>
      </c>
      <c r="B3809" s="83" t="str">
        <f t="shared" ref="B3809:B3872" si="420">IF(C3809&lt;&gt;"",LEFT(C3809,9),"")</f>
        <v/>
      </c>
      <c r="U3809" s="83" t="str">
        <f t="shared" si="415"/>
        <v/>
      </c>
      <c r="V3809" s="83" t="str">
        <f t="shared" si="416"/>
        <v/>
      </c>
      <c r="AA3809" s="60">
        <f t="shared" si="417"/>
        <v>0</v>
      </c>
      <c r="AB3809" s="49">
        <f t="shared" si="418"/>
        <v>0</v>
      </c>
      <c r="AC3809" s="60">
        <f t="shared" si="419"/>
        <v>0</v>
      </c>
    </row>
    <row r="3810" spans="1:29">
      <c r="A3810" s="83" t="str">
        <f t="shared" si="414"/>
        <v/>
      </c>
      <c r="B3810" s="83" t="str">
        <f t="shared" si="420"/>
        <v/>
      </c>
      <c r="U3810" s="83" t="str">
        <f t="shared" si="415"/>
        <v/>
      </c>
      <c r="V3810" s="83" t="str">
        <f t="shared" si="416"/>
        <v/>
      </c>
      <c r="AA3810" s="60">
        <f t="shared" si="417"/>
        <v>0</v>
      </c>
      <c r="AB3810" s="49">
        <f t="shared" si="418"/>
        <v>0</v>
      </c>
      <c r="AC3810" s="60">
        <f t="shared" si="419"/>
        <v>0</v>
      </c>
    </row>
    <row r="3811" spans="1:29">
      <c r="A3811" s="83" t="str">
        <f t="shared" si="414"/>
        <v/>
      </c>
      <c r="B3811" s="83" t="str">
        <f t="shared" si="420"/>
        <v/>
      </c>
      <c r="U3811" s="83" t="str">
        <f t="shared" si="415"/>
        <v/>
      </c>
      <c r="V3811" s="83" t="str">
        <f t="shared" si="416"/>
        <v/>
      </c>
      <c r="AA3811" s="60">
        <f t="shared" si="417"/>
        <v>0</v>
      </c>
      <c r="AB3811" s="49">
        <f t="shared" si="418"/>
        <v>0</v>
      </c>
      <c r="AC3811" s="60">
        <f t="shared" si="419"/>
        <v>0</v>
      </c>
    </row>
    <row r="3812" spans="1:29">
      <c r="A3812" s="83" t="str">
        <f t="shared" si="414"/>
        <v/>
      </c>
      <c r="B3812" s="83" t="str">
        <f t="shared" si="420"/>
        <v/>
      </c>
      <c r="U3812" s="83" t="str">
        <f t="shared" si="415"/>
        <v/>
      </c>
      <c r="V3812" s="83" t="str">
        <f t="shared" si="416"/>
        <v/>
      </c>
      <c r="AA3812" s="60">
        <f t="shared" si="417"/>
        <v>0</v>
      </c>
      <c r="AB3812" s="49">
        <f t="shared" si="418"/>
        <v>0</v>
      </c>
      <c r="AC3812" s="60">
        <f t="shared" si="419"/>
        <v>0</v>
      </c>
    </row>
    <row r="3813" spans="1:29">
      <c r="A3813" s="83" t="str">
        <f t="shared" si="414"/>
        <v/>
      </c>
      <c r="B3813" s="83" t="str">
        <f t="shared" si="420"/>
        <v/>
      </c>
      <c r="U3813" s="83" t="str">
        <f t="shared" si="415"/>
        <v/>
      </c>
      <c r="V3813" s="83" t="str">
        <f t="shared" si="416"/>
        <v/>
      </c>
      <c r="AA3813" s="60">
        <f t="shared" si="417"/>
        <v>0</v>
      </c>
      <c r="AB3813" s="49">
        <f t="shared" si="418"/>
        <v>0</v>
      </c>
      <c r="AC3813" s="60">
        <f t="shared" si="419"/>
        <v>0</v>
      </c>
    </row>
    <row r="3814" spans="1:29">
      <c r="A3814" s="83" t="str">
        <f t="shared" si="414"/>
        <v/>
      </c>
      <c r="B3814" s="83" t="str">
        <f t="shared" si="420"/>
        <v/>
      </c>
      <c r="U3814" s="83" t="str">
        <f t="shared" si="415"/>
        <v/>
      </c>
      <c r="V3814" s="83" t="str">
        <f t="shared" si="416"/>
        <v/>
      </c>
      <c r="AA3814" s="60">
        <f t="shared" si="417"/>
        <v>0</v>
      </c>
      <c r="AB3814" s="49">
        <f t="shared" si="418"/>
        <v>0</v>
      </c>
      <c r="AC3814" s="60">
        <f t="shared" si="419"/>
        <v>0</v>
      </c>
    </row>
    <row r="3815" spans="1:29">
      <c r="A3815" s="83" t="str">
        <f t="shared" si="414"/>
        <v/>
      </c>
      <c r="B3815" s="83" t="str">
        <f t="shared" si="420"/>
        <v/>
      </c>
      <c r="U3815" s="83" t="str">
        <f t="shared" si="415"/>
        <v/>
      </c>
      <c r="V3815" s="83" t="str">
        <f t="shared" si="416"/>
        <v/>
      </c>
      <c r="AA3815" s="60">
        <f t="shared" si="417"/>
        <v>0</v>
      </c>
      <c r="AB3815" s="49">
        <f t="shared" si="418"/>
        <v>0</v>
      </c>
      <c r="AC3815" s="60">
        <f t="shared" si="419"/>
        <v>0</v>
      </c>
    </row>
    <row r="3816" spans="1:29">
      <c r="A3816" s="83" t="str">
        <f t="shared" si="414"/>
        <v/>
      </c>
      <c r="B3816" s="83" t="str">
        <f t="shared" si="420"/>
        <v/>
      </c>
      <c r="U3816" s="83" t="str">
        <f t="shared" si="415"/>
        <v/>
      </c>
      <c r="V3816" s="83" t="str">
        <f t="shared" si="416"/>
        <v/>
      </c>
      <c r="AA3816" s="60">
        <f t="shared" si="417"/>
        <v>0</v>
      </c>
      <c r="AB3816" s="49">
        <f t="shared" si="418"/>
        <v>0</v>
      </c>
      <c r="AC3816" s="60">
        <f t="shared" si="419"/>
        <v>0</v>
      </c>
    </row>
    <row r="3817" spans="1:29">
      <c r="A3817" s="83" t="str">
        <f t="shared" si="414"/>
        <v/>
      </c>
      <c r="B3817" s="83" t="str">
        <f t="shared" si="420"/>
        <v/>
      </c>
      <c r="U3817" s="83" t="str">
        <f t="shared" si="415"/>
        <v/>
      </c>
      <c r="V3817" s="83" t="str">
        <f t="shared" si="416"/>
        <v/>
      </c>
      <c r="AA3817" s="60">
        <f t="shared" si="417"/>
        <v>0</v>
      </c>
      <c r="AB3817" s="49">
        <f t="shared" si="418"/>
        <v>0</v>
      </c>
      <c r="AC3817" s="60">
        <f t="shared" si="419"/>
        <v>0</v>
      </c>
    </row>
    <row r="3818" spans="1:29">
      <c r="A3818" s="83" t="str">
        <f t="shared" si="414"/>
        <v/>
      </c>
      <c r="B3818" s="83" t="str">
        <f t="shared" si="420"/>
        <v/>
      </c>
      <c r="U3818" s="83" t="str">
        <f t="shared" si="415"/>
        <v/>
      </c>
      <c r="V3818" s="83" t="str">
        <f t="shared" si="416"/>
        <v/>
      </c>
      <c r="AA3818" s="60">
        <f t="shared" si="417"/>
        <v>0</v>
      </c>
      <c r="AB3818" s="49">
        <f t="shared" si="418"/>
        <v>0</v>
      </c>
      <c r="AC3818" s="60">
        <f t="shared" si="419"/>
        <v>0</v>
      </c>
    </row>
    <row r="3819" spans="1:29">
      <c r="A3819" s="83" t="str">
        <f t="shared" si="414"/>
        <v/>
      </c>
      <c r="B3819" s="83" t="str">
        <f t="shared" si="420"/>
        <v/>
      </c>
      <c r="U3819" s="83" t="str">
        <f t="shared" si="415"/>
        <v/>
      </c>
      <c r="V3819" s="83" t="str">
        <f t="shared" si="416"/>
        <v/>
      </c>
      <c r="AA3819" s="60">
        <f t="shared" si="417"/>
        <v>0</v>
      </c>
      <c r="AB3819" s="49">
        <f t="shared" si="418"/>
        <v>0</v>
      </c>
      <c r="AC3819" s="60">
        <f t="shared" si="419"/>
        <v>0</v>
      </c>
    </row>
    <row r="3820" spans="1:29">
      <c r="A3820" s="83" t="str">
        <f t="shared" si="414"/>
        <v/>
      </c>
      <c r="B3820" s="83" t="str">
        <f t="shared" si="420"/>
        <v/>
      </c>
      <c r="U3820" s="83" t="str">
        <f t="shared" si="415"/>
        <v/>
      </c>
      <c r="V3820" s="83" t="str">
        <f t="shared" si="416"/>
        <v/>
      </c>
      <c r="AA3820" s="60">
        <f t="shared" si="417"/>
        <v>0</v>
      </c>
      <c r="AB3820" s="49">
        <f t="shared" si="418"/>
        <v>0</v>
      </c>
      <c r="AC3820" s="60">
        <f t="shared" si="419"/>
        <v>0</v>
      </c>
    </row>
    <row r="3821" spans="1:29">
      <c r="A3821" s="83" t="str">
        <f t="shared" si="414"/>
        <v/>
      </c>
      <c r="B3821" s="83" t="str">
        <f t="shared" si="420"/>
        <v/>
      </c>
      <c r="U3821" s="83" t="str">
        <f t="shared" si="415"/>
        <v/>
      </c>
      <c r="V3821" s="83" t="str">
        <f t="shared" si="416"/>
        <v/>
      </c>
      <c r="AA3821" s="60">
        <f t="shared" si="417"/>
        <v>0</v>
      </c>
      <c r="AB3821" s="49">
        <f t="shared" si="418"/>
        <v>0</v>
      </c>
      <c r="AC3821" s="60">
        <f t="shared" si="419"/>
        <v>0</v>
      </c>
    </row>
    <row r="3822" spans="1:29">
      <c r="A3822" s="83" t="str">
        <f t="shared" si="414"/>
        <v/>
      </c>
      <c r="B3822" s="83" t="str">
        <f t="shared" si="420"/>
        <v/>
      </c>
      <c r="U3822" s="83" t="str">
        <f t="shared" si="415"/>
        <v/>
      </c>
      <c r="V3822" s="83" t="str">
        <f t="shared" si="416"/>
        <v/>
      </c>
      <c r="AA3822" s="60">
        <f t="shared" si="417"/>
        <v>0</v>
      </c>
      <c r="AB3822" s="49">
        <f t="shared" si="418"/>
        <v>0</v>
      </c>
      <c r="AC3822" s="60">
        <f t="shared" si="419"/>
        <v>0</v>
      </c>
    </row>
    <row r="3823" spans="1:29">
      <c r="A3823" s="83" t="str">
        <f t="shared" si="414"/>
        <v/>
      </c>
      <c r="B3823" s="83" t="str">
        <f t="shared" si="420"/>
        <v/>
      </c>
      <c r="U3823" s="83" t="str">
        <f t="shared" si="415"/>
        <v/>
      </c>
      <c r="V3823" s="83" t="str">
        <f t="shared" si="416"/>
        <v/>
      </c>
      <c r="AA3823" s="60">
        <f t="shared" si="417"/>
        <v>0</v>
      </c>
      <c r="AB3823" s="49">
        <f t="shared" si="418"/>
        <v>0</v>
      </c>
      <c r="AC3823" s="60">
        <f t="shared" si="419"/>
        <v>0</v>
      </c>
    </row>
    <row r="3824" spans="1:29">
      <c r="A3824" s="83" t="str">
        <f t="shared" si="414"/>
        <v/>
      </c>
      <c r="B3824" s="83" t="str">
        <f t="shared" si="420"/>
        <v/>
      </c>
      <c r="U3824" s="83" t="str">
        <f t="shared" si="415"/>
        <v/>
      </c>
      <c r="V3824" s="83" t="str">
        <f t="shared" si="416"/>
        <v/>
      </c>
      <c r="AA3824" s="60">
        <f t="shared" si="417"/>
        <v>0</v>
      </c>
      <c r="AB3824" s="49">
        <f t="shared" si="418"/>
        <v>0</v>
      </c>
      <c r="AC3824" s="60">
        <f t="shared" si="419"/>
        <v>0</v>
      </c>
    </row>
    <row r="3825" spans="1:29">
      <c r="A3825" s="83" t="str">
        <f t="shared" si="414"/>
        <v/>
      </c>
      <c r="B3825" s="83" t="str">
        <f t="shared" si="420"/>
        <v/>
      </c>
      <c r="U3825" s="83" t="str">
        <f t="shared" si="415"/>
        <v/>
      </c>
      <c r="V3825" s="83" t="str">
        <f t="shared" si="416"/>
        <v/>
      </c>
      <c r="AA3825" s="60">
        <f t="shared" si="417"/>
        <v>0</v>
      </c>
      <c r="AB3825" s="49">
        <f t="shared" si="418"/>
        <v>0</v>
      </c>
      <c r="AC3825" s="60">
        <f t="shared" si="419"/>
        <v>0</v>
      </c>
    </row>
    <row r="3826" spans="1:29">
      <c r="A3826" s="83" t="str">
        <f t="shared" si="414"/>
        <v/>
      </c>
      <c r="B3826" s="83" t="str">
        <f t="shared" si="420"/>
        <v/>
      </c>
      <c r="U3826" s="83" t="str">
        <f t="shared" si="415"/>
        <v/>
      </c>
      <c r="V3826" s="83" t="str">
        <f t="shared" si="416"/>
        <v/>
      </c>
      <c r="AA3826" s="60">
        <f t="shared" si="417"/>
        <v>0</v>
      </c>
      <c r="AB3826" s="49">
        <f t="shared" si="418"/>
        <v>0</v>
      </c>
      <c r="AC3826" s="60">
        <f t="shared" si="419"/>
        <v>0</v>
      </c>
    </row>
    <row r="3827" spans="1:29">
      <c r="A3827" s="83" t="str">
        <f t="shared" si="414"/>
        <v/>
      </c>
      <c r="B3827" s="83" t="str">
        <f t="shared" si="420"/>
        <v/>
      </c>
      <c r="U3827" s="83" t="str">
        <f t="shared" si="415"/>
        <v/>
      </c>
      <c r="V3827" s="83" t="str">
        <f t="shared" si="416"/>
        <v/>
      </c>
      <c r="AA3827" s="60">
        <f t="shared" si="417"/>
        <v>0</v>
      </c>
      <c r="AB3827" s="49">
        <f t="shared" si="418"/>
        <v>0</v>
      </c>
      <c r="AC3827" s="60">
        <f t="shared" si="419"/>
        <v>0</v>
      </c>
    </row>
    <row r="3828" spans="1:29">
      <c r="A3828" s="83" t="str">
        <f t="shared" si="414"/>
        <v/>
      </c>
      <c r="B3828" s="83" t="str">
        <f t="shared" si="420"/>
        <v/>
      </c>
      <c r="U3828" s="83" t="str">
        <f t="shared" si="415"/>
        <v/>
      </c>
      <c r="V3828" s="83" t="str">
        <f t="shared" si="416"/>
        <v/>
      </c>
      <c r="AA3828" s="60">
        <f t="shared" si="417"/>
        <v>0</v>
      </c>
      <c r="AB3828" s="49">
        <f t="shared" si="418"/>
        <v>0</v>
      </c>
      <c r="AC3828" s="60">
        <f t="shared" si="419"/>
        <v>0</v>
      </c>
    </row>
    <row r="3829" spans="1:29">
      <c r="A3829" s="83" t="str">
        <f t="shared" si="414"/>
        <v/>
      </c>
      <c r="B3829" s="83" t="str">
        <f t="shared" si="420"/>
        <v/>
      </c>
      <c r="U3829" s="83" t="str">
        <f t="shared" si="415"/>
        <v/>
      </c>
      <c r="V3829" s="83" t="str">
        <f t="shared" si="416"/>
        <v/>
      </c>
      <c r="AA3829" s="60">
        <f t="shared" si="417"/>
        <v>0</v>
      </c>
      <c r="AB3829" s="49">
        <f t="shared" si="418"/>
        <v>0</v>
      </c>
      <c r="AC3829" s="60">
        <f t="shared" si="419"/>
        <v>0</v>
      </c>
    </row>
    <row r="3830" spans="1:29">
      <c r="A3830" s="83" t="str">
        <f t="shared" si="414"/>
        <v/>
      </c>
      <c r="B3830" s="83" t="str">
        <f t="shared" si="420"/>
        <v/>
      </c>
      <c r="U3830" s="83" t="str">
        <f t="shared" si="415"/>
        <v/>
      </c>
      <c r="V3830" s="83" t="str">
        <f t="shared" si="416"/>
        <v/>
      </c>
      <c r="AA3830" s="60">
        <f t="shared" si="417"/>
        <v>0</v>
      </c>
      <c r="AB3830" s="49">
        <f t="shared" si="418"/>
        <v>0</v>
      </c>
      <c r="AC3830" s="60">
        <f t="shared" si="419"/>
        <v>0</v>
      </c>
    </row>
    <row r="3831" spans="1:29">
      <c r="A3831" s="83" t="str">
        <f t="shared" si="414"/>
        <v/>
      </c>
      <c r="B3831" s="83" t="str">
        <f t="shared" si="420"/>
        <v/>
      </c>
      <c r="U3831" s="83" t="str">
        <f t="shared" si="415"/>
        <v/>
      </c>
      <c r="V3831" s="83" t="str">
        <f t="shared" si="416"/>
        <v/>
      </c>
      <c r="AA3831" s="60">
        <f t="shared" si="417"/>
        <v>0</v>
      </c>
      <c r="AB3831" s="49">
        <f t="shared" si="418"/>
        <v>0</v>
      </c>
      <c r="AC3831" s="60">
        <f t="shared" si="419"/>
        <v>0</v>
      </c>
    </row>
    <row r="3832" spans="1:29">
      <c r="A3832" s="83" t="str">
        <f t="shared" si="414"/>
        <v/>
      </c>
      <c r="B3832" s="83" t="str">
        <f t="shared" si="420"/>
        <v/>
      </c>
      <c r="U3832" s="83" t="str">
        <f t="shared" si="415"/>
        <v/>
      </c>
      <c r="V3832" s="83" t="str">
        <f t="shared" si="416"/>
        <v/>
      </c>
      <c r="AA3832" s="60">
        <f t="shared" si="417"/>
        <v>0</v>
      </c>
      <c r="AB3832" s="49">
        <f t="shared" si="418"/>
        <v>0</v>
      </c>
      <c r="AC3832" s="60">
        <f t="shared" si="419"/>
        <v>0</v>
      </c>
    </row>
    <row r="3833" spans="1:29">
      <c r="A3833" s="83" t="str">
        <f t="shared" si="414"/>
        <v/>
      </c>
      <c r="B3833" s="83" t="str">
        <f t="shared" si="420"/>
        <v/>
      </c>
      <c r="U3833" s="83" t="str">
        <f t="shared" si="415"/>
        <v/>
      </c>
      <c r="V3833" s="83" t="str">
        <f t="shared" si="416"/>
        <v/>
      </c>
      <c r="AA3833" s="60">
        <f t="shared" si="417"/>
        <v>0</v>
      </c>
      <c r="AB3833" s="49">
        <f t="shared" si="418"/>
        <v>0</v>
      </c>
      <c r="AC3833" s="60">
        <f t="shared" si="419"/>
        <v>0</v>
      </c>
    </row>
    <row r="3834" spans="1:29">
      <c r="A3834" s="83" t="str">
        <f t="shared" si="414"/>
        <v/>
      </c>
      <c r="B3834" s="83" t="str">
        <f t="shared" si="420"/>
        <v/>
      </c>
      <c r="U3834" s="83" t="str">
        <f t="shared" si="415"/>
        <v/>
      </c>
      <c r="V3834" s="83" t="str">
        <f t="shared" si="416"/>
        <v/>
      </c>
      <c r="AA3834" s="60">
        <f t="shared" si="417"/>
        <v>0</v>
      </c>
      <c r="AB3834" s="49">
        <f t="shared" si="418"/>
        <v>0</v>
      </c>
      <c r="AC3834" s="60">
        <f t="shared" si="419"/>
        <v>0</v>
      </c>
    </row>
    <row r="3835" spans="1:29">
      <c r="A3835" s="83" t="str">
        <f t="shared" si="414"/>
        <v/>
      </c>
      <c r="B3835" s="83" t="str">
        <f t="shared" si="420"/>
        <v/>
      </c>
      <c r="U3835" s="83" t="str">
        <f t="shared" si="415"/>
        <v/>
      </c>
      <c r="V3835" s="83" t="str">
        <f t="shared" si="416"/>
        <v/>
      </c>
      <c r="AA3835" s="60">
        <f t="shared" si="417"/>
        <v>0</v>
      </c>
      <c r="AB3835" s="49">
        <f t="shared" si="418"/>
        <v>0</v>
      </c>
      <c r="AC3835" s="60">
        <f t="shared" si="419"/>
        <v>0</v>
      </c>
    </row>
    <row r="3836" spans="1:29">
      <c r="A3836" s="83" t="str">
        <f t="shared" si="414"/>
        <v/>
      </c>
      <c r="B3836" s="83" t="str">
        <f t="shared" si="420"/>
        <v/>
      </c>
      <c r="U3836" s="83" t="str">
        <f t="shared" si="415"/>
        <v/>
      </c>
      <c r="V3836" s="83" t="str">
        <f t="shared" si="416"/>
        <v/>
      </c>
      <c r="AA3836" s="60">
        <f t="shared" si="417"/>
        <v>0</v>
      </c>
      <c r="AB3836" s="49">
        <f t="shared" si="418"/>
        <v>0</v>
      </c>
      <c r="AC3836" s="60">
        <f t="shared" si="419"/>
        <v>0</v>
      </c>
    </row>
    <row r="3837" spans="1:29">
      <c r="A3837" s="83" t="str">
        <f t="shared" si="414"/>
        <v/>
      </c>
      <c r="B3837" s="83" t="str">
        <f t="shared" si="420"/>
        <v/>
      </c>
      <c r="U3837" s="83" t="str">
        <f t="shared" si="415"/>
        <v/>
      </c>
      <c r="V3837" s="83" t="str">
        <f t="shared" si="416"/>
        <v/>
      </c>
      <c r="AA3837" s="60">
        <f t="shared" si="417"/>
        <v>0</v>
      </c>
      <c r="AB3837" s="49">
        <f t="shared" si="418"/>
        <v>0</v>
      </c>
      <c r="AC3837" s="60">
        <f t="shared" si="419"/>
        <v>0</v>
      </c>
    </row>
    <row r="3838" spans="1:29">
      <c r="A3838" s="83" t="str">
        <f t="shared" si="414"/>
        <v/>
      </c>
      <c r="B3838" s="83" t="str">
        <f t="shared" si="420"/>
        <v/>
      </c>
      <c r="U3838" s="83" t="str">
        <f t="shared" si="415"/>
        <v/>
      </c>
      <c r="V3838" s="83" t="str">
        <f t="shared" si="416"/>
        <v/>
      </c>
      <c r="AA3838" s="60">
        <f t="shared" si="417"/>
        <v>0</v>
      </c>
      <c r="AB3838" s="49">
        <f t="shared" si="418"/>
        <v>0</v>
      </c>
      <c r="AC3838" s="60">
        <f t="shared" si="419"/>
        <v>0</v>
      </c>
    </row>
    <row r="3839" spans="1:29">
      <c r="A3839" s="83" t="str">
        <f t="shared" si="414"/>
        <v/>
      </c>
      <c r="B3839" s="83" t="str">
        <f t="shared" si="420"/>
        <v/>
      </c>
      <c r="U3839" s="83" t="str">
        <f t="shared" si="415"/>
        <v/>
      </c>
      <c r="V3839" s="83" t="str">
        <f t="shared" si="416"/>
        <v/>
      </c>
      <c r="AA3839" s="60">
        <f t="shared" si="417"/>
        <v>0</v>
      </c>
      <c r="AB3839" s="49">
        <f t="shared" si="418"/>
        <v>0</v>
      </c>
      <c r="AC3839" s="60">
        <f t="shared" si="419"/>
        <v>0</v>
      </c>
    </row>
    <row r="3840" spans="1:29">
      <c r="A3840" s="83" t="str">
        <f t="shared" si="414"/>
        <v/>
      </c>
      <c r="B3840" s="83" t="str">
        <f t="shared" si="420"/>
        <v/>
      </c>
      <c r="U3840" s="83" t="str">
        <f t="shared" si="415"/>
        <v/>
      </c>
      <c r="V3840" s="83" t="str">
        <f t="shared" si="416"/>
        <v/>
      </c>
      <c r="AA3840" s="60">
        <f t="shared" si="417"/>
        <v>0</v>
      </c>
      <c r="AB3840" s="49">
        <f t="shared" si="418"/>
        <v>0</v>
      </c>
      <c r="AC3840" s="60">
        <f t="shared" si="419"/>
        <v>0</v>
      </c>
    </row>
    <row r="3841" spans="1:29">
      <c r="A3841" s="83" t="str">
        <f t="shared" si="414"/>
        <v/>
      </c>
      <c r="B3841" s="83" t="str">
        <f t="shared" si="420"/>
        <v/>
      </c>
      <c r="U3841" s="83" t="str">
        <f t="shared" si="415"/>
        <v/>
      </c>
      <c r="V3841" s="83" t="str">
        <f t="shared" si="416"/>
        <v/>
      </c>
      <c r="AA3841" s="60">
        <f t="shared" si="417"/>
        <v>0</v>
      </c>
      <c r="AB3841" s="49">
        <f t="shared" si="418"/>
        <v>0</v>
      </c>
      <c r="AC3841" s="60">
        <f t="shared" si="419"/>
        <v>0</v>
      </c>
    </row>
    <row r="3842" spans="1:29">
      <c r="A3842" s="83" t="str">
        <f t="shared" si="414"/>
        <v/>
      </c>
      <c r="B3842" s="83" t="str">
        <f t="shared" si="420"/>
        <v/>
      </c>
      <c r="U3842" s="83" t="str">
        <f t="shared" si="415"/>
        <v/>
      </c>
      <c r="V3842" s="83" t="str">
        <f t="shared" si="416"/>
        <v/>
      </c>
      <c r="AA3842" s="60">
        <f t="shared" si="417"/>
        <v>0</v>
      </c>
      <c r="AB3842" s="49">
        <f t="shared" si="418"/>
        <v>0</v>
      </c>
      <c r="AC3842" s="60">
        <f t="shared" si="419"/>
        <v>0</v>
      </c>
    </row>
    <row r="3843" spans="1:29">
      <c r="A3843" s="83" t="str">
        <f t="shared" ref="A3843:A3906" si="421">IF(G3843&amp;Q3843&lt;&gt;"",U3843&amp;Q3843,"")</f>
        <v/>
      </c>
      <c r="B3843" s="83" t="str">
        <f t="shared" si="420"/>
        <v/>
      </c>
      <c r="U3843" s="83" t="str">
        <f t="shared" ref="U3843:U3906" si="422">IF(G3843&lt;&gt;"",IF(StyleSpaceSplit,IFERROR(IF(FIND(" ",G3843)&gt;=1,MID(G3843,1,FIND(" ",G3843)-1),G3843),G3843),G3843),"")</f>
        <v/>
      </c>
      <c r="V3843" s="83" t="str">
        <f t="shared" ref="V3843:V3906" si="423">IF(A3843&lt;&gt;"",IFERROR(IF(FIND(" ",G3843)&gt;=1,MID(G3843,FIND(" ",G3843)+1,LEN(G3843)),""),G3843),"")</f>
        <v/>
      </c>
      <c r="AA3843" s="60">
        <f t="shared" ref="AA3843:AA3906" si="424">IFERROR(VALUE(MID($C3843,1,2)),0)</f>
        <v>0</v>
      </c>
      <c r="AB3843" s="49">
        <f t="shared" ref="AB3843:AB3906" si="425">IFERROR(VALUE(MID($C3843,4,3)),0)</f>
        <v>0</v>
      </c>
      <c r="AC3843" s="60">
        <f t="shared" ref="AC3843:AC3906" si="426">VALUE(RIGHT("00"&amp;AA3843,2)&amp;RIGHT("000"&amp;AB3843,3))</f>
        <v>0</v>
      </c>
    </row>
    <row r="3844" spans="1:29">
      <c r="A3844" s="83" t="str">
        <f t="shared" si="421"/>
        <v/>
      </c>
      <c r="B3844" s="83" t="str">
        <f t="shared" si="420"/>
        <v/>
      </c>
      <c r="U3844" s="83" t="str">
        <f t="shared" si="422"/>
        <v/>
      </c>
      <c r="V3844" s="83" t="str">
        <f t="shared" si="423"/>
        <v/>
      </c>
      <c r="AA3844" s="60">
        <f t="shared" si="424"/>
        <v>0</v>
      </c>
      <c r="AB3844" s="49">
        <f t="shared" si="425"/>
        <v>0</v>
      </c>
      <c r="AC3844" s="60">
        <f t="shared" si="426"/>
        <v>0</v>
      </c>
    </row>
    <row r="3845" spans="1:29">
      <c r="A3845" s="83" t="str">
        <f t="shared" si="421"/>
        <v/>
      </c>
      <c r="B3845" s="83" t="str">
        <f t="shared" si="420"/>
        <v/>
      </c>
      <c r="U3845" s="83" t="str">
        <f t="shared" si="422"/>
        <v/>
      </c>
      <c r="V3845" s="83" t="str">
        <f t="shared" si="423"/>
        <v/>
      </c>
      <c r="AA3845" s="60">
        <f t="shared" si="424"/>
        <v>0</v>
      </c>
      <c r="AB3845" s="49">
        <f t="shared" si="425"/>
        <v>0</v>
      </c>
      <c r="AC3845" s="60">
        <f t="shared" si="426"/>
        <v>0</v>
      </c>
    </row>
    <row r="3846" spans="1:29">
      <c r="A3846" s="83" t="str">
        <f t="shared" si="421"/>
        <v/>
      </c>
      <c r="B3846" s="83" t="str">
        <f t="shared" si="420"/>
        <v/>
      </c>
      <c r="U3846" s="83" t="str">
        <f t="shared" si="422"/>
        <v/>
      </c>
      <c r="V3846" s="83" t="str">
        <f t="shared" si="423"/>
        <v/>
      </c>
      <c r="AA3846" s="60">
        <f t="shared" si="424"/>
        <v>0</v>
      </c>
      <c r="AB3846" s="49">
        <f t="shared" si="425"/>
        <v>0</v>
      </c>
      <c r="AC3846" s="60">
        <f t="shared" si="426"/>
        <v>0</v>
      </c>
    </row>
    <row r="3847" spans="1:29">
      <c r="A3847" s="83" t="str">
        <f t="shared" si="421"/>
        <v/>
      </c>
      <c r="B3847" s="83" t="str">
        <f t="shared" si="420"/>
        <v/>
      </c>
      <c r="U3847" s="83" t="str">
        <f t="shared" si="422"/>
        <v/>
      </c>
      <c r="V3847" s="83" t="str">
        <f t="shared" si="423"/>
        <v/>
      </c>
      <c r="AA3847" s="60">
        <f t="shared" si="424"/>
        <v>0</v>
      </c>
      <c r="AB3847" s="49">
        <f t="shared" si="425"/>
        <v>0</v>
      </c>
      <c r="AC3847" s="60">
        <f t="shared" si="426"/>
        <v>0</v>
      </c>
    </row>
    <row r="3848" spans="1:29">
      <c r="A3848" s="83" t="str">
        <f t="shared" si="421"/>
        <v/>
      </c>
      <c r="B3848" s="83" t="str">
        <f t="shared" si="420"/>
        <v/>
      </c>
      <c r="U3848" s="83" t="str">
        <f t="shared" si="422"/>
        <v/>
      </c>
      <c r="V3848" s="83" t="str">
        <f t="shared" si="423"/>
        <v/>
      </c>
      <c r="AA3848" s="60">
        <f t="shared" si="424"/>
        <v>0</v>
      </c>
      <c r="AB3848" s="49">
        <f t="shared" si="425"/>
        <v>0</v>
      </c>
      <c r="AC3848" s="60">
        <f t="shared" si="426"/>
        <v>0</v>
      </c>
    </row>
    <row r="3849" spans="1:29">
      <c r="A3849" s="83" t="str">
        <f t="shared" si="421"/>
        <v/>
      </c>
      <c r="B3849" s="83" t="str">
        <f t="shared" si="420"/>
        <v/>
      </c>
      <c r="U3849" s="83" t="str">
        <f t="shared" si="422"/>
        <v/>
      </c>
      <c r="V3849" s="83" t="str">
        <f t="shared" si="423"/>
        <v/>
      </c>
      <c r="AA3849" s="60">
        <f t="shared" si="424"/>
        <v>0</v>
      </c>
      <c r="AB3849" s="49">
        <f t="shared" si="425"/>
        <v>0</v>
      </c>
      <c r="AC3849" s="60">
        <f t="shared" si="426"/>
        <v>0</v>
      </c>
    </row>
    <row r="3850" spans="1:29">
      <c r="A3850" s="83" t="str">
        <f t="shared" si="421"/>
        <v/>
      </c>
      <c r="B3850" s="83" t="str">
        <f t="shared" si="420"/>
        <v/>
      </c>
      <c r="U3850" s="83" t="str">
        <f t="shared" si="422"/>
        <v/>
      </c>
      <c r="V3850" s="83" t="str">
        <f t="shared" si="423"/>
        <v/>
      </c>
      <c r="AA3850" s="60">
        <f t="shared" si="424"/>
        <v>0</v>
      </c>
      <c r="AB3850" s="49">
        <f t="shared" si="425"/>
        <v>0</v>
      </c>
      <c r="AC3850" s="60">
        <f t="shared" si="426"/>
        <v>0</v>
      </c>
    </row>
    <row r="3851" spans="1:29">
      <c r="A3851" s="83" t="str">
        <f t="shared" si="421"/>
        <v/>
      </c>
      <c r="B3851" s="83" t="str">
        <f t="shared" si="420"/>
        <v/>
      </c>
      <c r="U3851" s="83" t="str">
        <f t="shared" si="422"/>
        <v/>
      </c>
      <c r="V3851" s="83" t="str">
        <f t="shared" si="423"/>
        <v/>
      </c>
      <c r="AA3851" s="60">
        <f t="shared" si="424"/>
        <v>0</v>
      </c>
      <c r="AB3851" s="49">
        <f t="shared" si="425"/>
        <v>0</v>
      </c>
      <c r="AC3851" s="60">
        <f t="shared" si="426"/>
        <v>0</v>
      </c>
    </row>
    <row r="3852" spans="1:29">
      <c r="A3852" s="83" t="str">
        <f t="shared" si="421"/>
        <v/>
      </c>
      <c r="B3852" s="83" t="str">
        <f t="shared" si="420"/>
        <v/>
      </c>
      <c r="U3852" s="83" t="str">
        <f t="shared" si="422"/>
        <v/>
      </c>
      <c r="V3852" s="83" t="str">
        <f t="shared" si="423"/>
        <v/>
      </c>
      <c r="AA3852" s="60">
        <f t="shared" si="424"/>
        <v>0</v>
      </c>
      <c r="AB3852" s="49">
        <f t="shared" si="425"/>
        <v>0</v>
      </c>
      <c r="AC3852" s="60">
        <f t="shared" si="426"/>
        <v>0</v>
      </c>
    </row>
    <row r="3853" spans="1:29">
      <c r="A3853" s="83" t="str">
        <f t="shared" si="421"/>
        <v/>
      </c>
      <c r="B3853" s="83" t="str">
        <f t="shared" si="420"/>
        <v/>
      </c>
      <c r="U3853" s="83" t="str">
        <f t="shared" si="422"/>
        <v/>
      </c>
      <c r="V3853" s="83" t="str">
        <f t="shared" si="423"/>
        <v/>
      </c>
      <c r="AA3853" s="60">
        <f t="shared" si="424"/>
        <v>0</v>
      </c>
      <c r="AB3853" s="49">
        <f t="shared" si="425"/>
        <v>0</v>
      </c>
      <c r="AC3853" s="60">
        <f t="shared" si="426"/>
        <v>0</v>
      </c>
    </row>
    <row r="3854" spans="1:29">
      <c r="A3854" s="83" t="str">
        <f t="shared" si="421"/>
        <v/>
      </c>
      <c r="B3854" s="83" t="str">
        <f t="shared" si="420"/>
        <v/>
      </c>
      <c r="U3854" s="83" t="str">
        <f t="shared" si="422"/>
        <v/>
      </c>
      <c r="V3854" s="83" t="str">
        <f t="shared" si="423"/>
        <v/>
      </c>
      <c r="AA3854" s="60">
        <f t="shared" si="424"/>
        <v>0</v>
      </c>
      <c r="AB3854" s="49">
        <f t="shared" si="425"/>
        <v>0</v>
      </c>
      <c r="AC3854" s="60">
        <f t="shared" si="426"/>
        <v>0</v>
      </c>
    </row>
    <row r="3855" spans="1:29">
      <c r="A3855" s="83" t="str">
        <f t="shared" si="421"/>
        <v/>
      </c>
      <c r="B3855" s="83" t="str">
        <f t="shared" si="420"/>
        <v/>
      </c>
      <c r="U3855" s="83" t="str">
        <f t="shared" si="422"/>
        <v/>
      </c>
      <c r="V3855" s="83" t="str">
        <f t="shared" si="423"/>
        <v/>
      </c>
      <c r="AA3855" s="60">
        <f t="shared" si="424"/>
        <v>0</v>
      </c>
      <c r="AB3855" s="49">
        <f t="shared" si="425"/>
        <v>0</v>
      </c>
      <c r="AC3855" s="60">
        <f t="shared" si="426"/>
        <v>0</v>
      </c>
    </row>
    <row r="3856" spans="1:29">
      <c r="A3856" s="83" t="str">
        <f t="shared" si="421"/>
        <v/>
      </c>
      <c r="B3856" s="83" t="str">
        <f t="shared" si="420"/>
        <v/>
      </c>
      <c r="U3856" s="83" t="str">
        <f t="shared" si="422"/>
        <v/>
      </c>
      <c r="V3856" s="83" t="str">
        <f t="shared" si="423"/>
        <v/>
      </c>
      <c r="AA3856" s="60">
        <f t="shared" si="424"/>
        <v>0</v>
      </c>
      <c r="AB3856" s="49">
        <f t="shared" si="425"/>
        <v>0</v>
      </c>
      <c r="AC3856" s="60">
        <f t="shared" si="426"/>
        <v>0</v>
      </c>
    </row>
    <row r="3857" spans="1:29">
      <c r="A3857" s="83" t="str">
        <f t="shared" si="421"/>
        <v/>
      </c>
      <c r="B3857" s="83" t="str">
        <f t="shared" si="420"/>
        <v/>
      </c>
      <c r="U3857" s="83" t="str">
        <f t="shared" si="422"/>
        <v/>
      </c>
      <c r="V3857" s="83" t="str">
        <f t="shared" si="423"/>
        <v/>
      </c>
      <c r="AA3857" s="60">
        <f t="shared" si="424"/>
        <v>0</v>
      </c>
      <c r="AB3857" s="49">
        <f t="shared" si="425"/>
        <v>0</v>
      </c>
      <c r="AC3857" s="60">
        <f t="shared" si="426"/>
        <v>0</v>
      </c>
    </row>
    <row r="3858" spans="1:29">
      <c r="A3858" s="83" t="str">
        <f t="shared" si="421"/>
        <v/>
      </c>
      <c r="B3858" s="83" t="str">
        <f t="shared" si="420"/>
        <v/>
      </c>
      <c r="U3858" s="83" t="str">
        <f t="shared" si="422"/>
        <v/>
      </c>
      <c r="V3858" s="83" t="str">
        <f t="shared" si="423"/>
        <v/>
      </c>
      <c r="AA3858" s="60">
        <f t="shared" si="424"/>
        <v>0</v>
      </c>
      <c r="AB3858" s="49">
        <f t="shared" si="425"/>
        <v>0</v>
      </c>
      <c r="AC3858" s="60">
        <f t="shared" si="426"/>
        <v>0</v>
      </c>
    </row>
    <row r="3859" spans="1:29">
      <c r="A3859" s="83" t="str">
        <f t="shared" si="421"/>
        <v/>
      </c>
      <c r="B3859" s="83" t="str">
        <f t="shared" si="420"/>
        <v/>
      </c>
      <c r="U3859" s="83" t="str">
        <f t="shared" si="422"/>
        <v/>
      </c>
      <c r="V3859" s="83" t="str">
        <f t="shared" si="423"/>
        <v/>
      </c>
      <c r="AA3859" s="60">
        <f t="shared" si="424"/>
        <v>0</v>
      </c>
      <c r="AB3859" s="49">
        <f t="shared" si="425"/>
        <v>0</v>
      </c>
      <c r="AC3859" s="60">
        <f t="shared" si="426"/>
        <v>0</v>
      </c>
    </row>
    <row r="3860" spans="1:29">
      <c r="A3860" s="83" t="str">
        <f t="shared" si="421"/>
        <v/>
      </c>
      <c r="B3860" s="83" t="str">
        <f t="shared" si="420"/>
        <v/>
      </c>
      <c r="U3860" s="83" t="str">
        <f t="shared" si="422"/>
        <v/>
      </c>
      <c r="V3860" s="83" t="str">
        <f t="shared" si="423"/>
        <v/>
      </c>
      <c r="AA3860" s="60">
        <f t="shared" si="424"/>
        <v>0</v>
      </c>
      <c r="AB3860" s="49">
        <f t="shared" si="425"/>
        <v>0</v>
      </c>
      <c r="AC3860" s="60">
        <f t="shared" si="426"/>
        <v>0</v>
      </c>
    </row>
    <row r="3861" spans="1:29">
      <c r="A3861" s="83" t="str">
        <f t="shared" si="421"/>
        <v/>
      </c>
      <c r="B3861" s="83" t="str">
        <f t="shared" si="420"/>
        <v/>
      </c>
      <c r="U3861" s="83" t="str">
        <f t="shared" si="422"/>
        <v/>
      </c>
      <c r="V3861" s="83" t="str">
        <f t="shared" si="423"/>
        <v/>
      </c>
      <c r="AA3861" s="60">
        <f t="shared" si="424"/>
        <v>0</v>
      </c>
      <c r="AB3861" s="49">
        <f t="shared" si="425"/>
        <v>0</v>
      </c>
      <c r="AC3861" s="60">
        <f t="shared" si="426"/>
        <v>0</v>
      </c>
    </row>
    <row r="3862" spans="1:29">
      <c r="A3862" s="83" t="str">
        <f t="shared" si="421"/>
        <v/>
      </c>
      <c r="B3862" s="83" t="str">
        <f t="shared" si="420"/>
        <v/>
      </c>
      <c r="U3862" s="83" t="str">
        <f t="shared" si="422"/>
        <v/>
      </c>
      <c r="V3862" s="83" t="str">
        <f t="shared" si="423"/>
        <v/>
      </c>
      <c r="AA3862" s="60">
        <f t="shared" si="424"/>
        <v>0</v>
      </c>
      <c r="AB3862" s="49">
        <f t="shared" si="425"/>
        <v>0</v>
      </c>
      <c r="AC3862" s="60">
        <f t="shared" si="426"/>
        <v>0</v>
      </c>
    </row>
    <row r="3863" spans="1:29">
      <c r="A3863" s="83" t="str">
        <f t="shared" si="421"/>
        <v/>
      </c>
      <c r="B3863" s="83" t="str">
        <f t="shared" si="420"/>
        <v/>
      </c>
      <c r="U3863" s="83" t="str">
        <f t="shared" si="422"/>
        <v/>
      </c>
      <c r="V3863" s="83" t="str">
        <f t="shared" si="423"/>
        <v/>
      </c>
      <c r="AA3863" s="60">
        <f t="shared" si="424"/>
        <v>0</v>
      </c>
      <c r="AB3863" s="49">
        <f t="shared" si="425"/>
        <v>0</v>
      </c>
      <c r="AC3863" s="60">
        <f t="shared" si="426"/>
        <v>0</v>
      </c>
    </row>
    <row r="3864" spans="1:29">
      <c r="A3864" s="83" t="str">
        <f t="shared" si="421"/>
        <v/>
      </c>
      <c r="B3864" s="83" t="str">
        <f t="shared" si="420"/>
        <v/>
      </c>
      <c r="U3864" s="83" t="str">
        <f t="shared" si="422"/>
        <v/>
      </c>
      <c r="V3864" s="83" t="str">
        <f t="shared" si="423"/>
        <v/>
      </c>
      <c r="AA3864" s="60">
        <f t="shared" si="424"/>
        <v>0</v>
      </c>
      <c r="AB3864" s="49">
        <f t="shared" si="425"/>
        <v>0</v>
      </c>
      <c r="AC3864" s="60">
        <f t="shared" si="426"/>
        <v>0</v>
      </c>
    </row>
    <row r="3865" spans="1:29">
      <c r="A3865" s="83" t="str">
        <f t="shared" si="421"/>
        <v/>
      </c>
      <c r="B3865" s="83" t="str">
        <f t="shared" si="420"/>
        <v/>
      </c>
      <c r="U3865" s="83" t="str">
        <f t="shared" si="422"/>
        <v/>
      </c>
      <c r="V3865" s="83" t="str">
        <f t="shared" si="423"/>
        <v/>
      </c>
      <c r="AA3865" s="60">
        <f t="shared" si="424"/>
        <v>0</v>
      </c>
      <c r="AB3865" s="49">
        <f t="shared" si="425"/>
        <v>0</v>
      </c>
      <c r="AC3865" s="60">
        <f t="shared" si="426"/>
        <v>0</v>
      </c>
    </row>
    <row r="3866" spans="1:29">
      <c r="A3866" s="83" t="str">
        <f t="shared" si="421"/>
        <v/>
      </c>
      <c r="B3866" s="83" t="str">
        <f t="shared" si="420"/>
        <v/>
      </c>
      <c r="U3866" s="83" t="str">
        <f t="shared" si="422"/>
        <v/>
      </c>
      <c r="V3866" s="83" t="str">
        <f t="shared" si="423"/>
        <v/>
      </c>
      <c r="AA3866" s="60">
        <f t="shared" si="424"/>
        <v>0</v>
      </c>
      <c r="AB3866" s="49">
        <f t="shared" si="425"/>
        <v>0</v>
      </c>
      <c r="AC3866" s="60">
        <f t="shared" si="426"/>
        <v>0</v>
      </c>
    </row>
    <row r="3867" spans="1:29">
      <c r="A3867" s="83" t="str">
        <f t="shared" si="421"/>
        <v/>
      </c>
      <c r="B3867" s="83" t="str">
        <f t="shared" si="420"/>
        <v/>
      </c>
      <c r="U3867" s="83" t="str">
        <f t="shared" si="422"/>
        <v/>
      </c>
      <c r="V3867" s="83" t="str">
        <f t="shared" si="423"/>
        <v/>
      </c>
      <c r="AA3867" s="60">
        <f t="shared" si="424"/>
        <v>0</v>
      </c>
      <c r="AB3867" s="49">
        <f t="shared" si="425"/>
        <v>0</v>
      </c>
      <c r="AC3867" s="60">
        <f t="shared" si="426"/>
        <v>0</v>
      </c>
    </row>
    <row r="3868" spans="1:29">
      <c r="A3868" s="83" t="str">
        <f t="shared" si="421"/>
        <v/>
      </c>
      <c r="B3868" s="83" t="str">
        <f t="shared" si="420"/>
        <v/>
      </c>
      <c r="U3868" s="83" t="str">
        <f t="shared" si="422"/>
        <v/>
      </c>
      <c r="V3868" s="83" t="str">
        <f t="shared" si="423"/>
        <v/>
      </c>
      <c r="AA3868" s="60">
        <f t="shared" si="424"/>
        <v>0</v>
      </c>
      <c r="AB3868" s="49">
        <f t="shared" si="425"/>
        <v>0</v>
      </c>
      <c r="AC3868" s="60">
        <f t="shared" si="426"/>
        <v>0</v>
      </c>
    </row>
    <row r="3869" spans="1:29">
      <c r="A3869" s="83" t="str">
        <f t="shared" si="421"/>
        <v/>
      </c>
      <c r="B3869" s="83" t="str">
        <f t="shared" si="420"/>
        <v/>
      </c>
      <c r="U3869" s="83" t="str">
        <f t="shared" si="422"/>
        <v/>
      </c>
      <c r="V3869" s="83" t="str">
        <f t="shared" si="423"/>
        <v/>
      </c>
      <c r="AA3869" s="60">
        <f t="shared" si="424"/>
        <v>0</v>
      </c>
      <c r="AB3869" s="49">
        <f t="shared" si="425"/>
        <v>0</v>
      </c>
      <c r="AC3869" s="60">
        <f t="shared" si="426"/>
        <v>0</v>
      </c>
    </row>
    <row r="3870" spans="1:29">
      <c r="A3870" s="83" t="str">
        <f t="shared" si="421"/>
        <v/>
      </c>
      <c r="B3870" s="83" t="str">
        <f t="shared" si="420"/>
        <v/>
      </c>
      <c r="U3870" s="83" t="str">
        <f t="shared" si="422"/>
        <v/>
      </c>
      <c r="V3870" s="83" t="str">
        <f t="shared" si="423"/>
        <v/>
      </c>
      <c r="AA3870" s="60">
        <f t="shared" si="424"/>
        <v>0</v>
      </c>
      <c r="AB3870" s="49">
        <f t="shared" si="425"/>
        <v>0</v>
      </c>
      <c r="AC3870" s="60">
        <f t="shared" si="426"/>
        <v>0</v>
      </c>
    </row>
    <row r="3871" spans="1:29">
      <c r="A3871" s="83" t="str">
        <f t="shared" si="421"/>
        <v/>
      </c>
      <c r="B3871" s="83" t="str">
        <f t="shared" si="420"/>
        <v/>
      </c>
      <c r="U3871" s="83" t="str">
        <f t="shared" si="422"/>
        <v/>
      </c>
      <c r="V3871" s="83" t="str">
        <f t="shared" si="423"/>
        <v/>
      </c>
      <c r="AA3871" s="60">
        <f t="shared" si="424"/>
        <v>0</v>
      </c>
      <c r="AB3871" s="49">
        <f t="shared" si="425"/>
        <v>0</v>
      </c>
      <c r="AC3871" s="60">
        <f t="shared" si="426"/>
        <v>0</v>
      </c>
    </row>
    <row r="3872" spans="1:29">
      <c r="A3872" s="83" t="str">
        <f t="shared" si="421"/>
        <v/>
      </c>
      <c r="B3872" s="83" t="str">
        <f t="shared" si="420"/>
        <v/>
      </c>
      <c r="U3872" s="83" t="str">
        <f t="shared" si="422"/>
        <v/>
      </c>
      <c r="V3872" s="83" t="str">
        <f t="shared" si="423"/>
        <v/>
      </c>
      <c r="AA3872" s="60">
        <f t="shared" si="424"/>
        <v>0</v>
      </c>
      <c r="AB3872" s="49">
        <f t="shared" si="425"/>
        <v>0</v>
      </c>
      <c r="AC3872" s="60">
        <f t="shared" si="426"/>
        <v>0</v>
      </c>
    </row>
    <row r="3873" spans="1:29">
      <c r="A3873" s="83" t="str">
        <f t="shared" si="421"/>
        <v/>
      </c>
      <c r="B3873" s="83" t="str">
        <f t="shared" ref="B3873:B3936" si="427">IF(C3873&lt;&gt;"",LEFT(C3873,9),"")</f>
        <v/>
      </c>
      <c r="U3873" s="83" t="str">
        <f t="shared" si="422"/>
        <v/>
      </c>
      <c r="V3873" s="83" t="str">
        <f t="shared" si="423"/>
        <v/>
      </c>
      <c r="AA3873" s="60">
        <f t="shared" si="424"/>
        <v>0</v>
      </c>
      <c r="AB3873" s="49">
        <f t="shared" si="425"/>
        <v>0</v>
      </c>
      <c r="AC3873" s="60">
        <f t="shared" si="426"/>
        <v>0</v>
      </c>
    </row>
    <row r="3874" spans="1:29">
      <c r="A3874" s="83" t="str">
        <f t="shared" si="421"/>
        <v/>
      </c>
      <c r="B3874" s="83" t="str">
        <f t="shared" si="427"/>
        <v/>
      </c>
      <c r="U3874" s="83" t="str">
        <f t="shared" si="422"/>
        <v/>
      </c>
      <c r="V3874" s="83" t="str">
        <f t="shared" si="423"/>
        <v/>
      </c>
      <c r="AA3874" s="60">
        <f t="shared" si="424"/>
        <v>0</v>
      </c>
      <c r="AB3874" s="49">
        <f t="shared" si="425"/>
        <v>0</v>
      </c>
      <c r="AC3874" s="60">
        <f t="shared" si="426"/>
        <v>0</v>
      </c>
    </row>
    <row r="3875" spans="1:29">
      <c r="A3875" s="83" t="str">
        <f t="shared" si="421"/>
        <v/>
      </c>
      <c r="B3875" s="83" t="str">
        <f t="shared" si="427"/>
        <v/>
      </c>
      <c r="U3875" s="83" t="str">
        <f t="shared" si="422"/>
        <v/>
      </c>
      <c r="V3875" s="83" t="str">
        <f t="shared" si="423"/>
        <v/>
      </c>
      <c r="AA3875" s="60">
        <f t="shared" si="424"/>
        <v>0</v>
      </c>
      <c r="AB3875" s="49">
        <f t="shared" si="425"/>
        <v>0</v>
      </c>
      <c r="AC3875" s="60">
        <f t="shared" si="426"/>
        <v>0</v>
      </c>
    </row>
    <row r="3876" spans="1:29">
      <c r="A3876" s="83" t="str">
        <f t="shared" si="421"/>
        <v/>
      </c>
      <c r="B3876" s="83" t="str">
        <f t="shared" si="427"/>
        <v/>
      </c>
      <c r="U3876" s="83" t="str">
        <f t="shared" si="422"/>
        <v/>
      </c>
      <c r="V3876" s="83" t="str">
        <f t="shared" si="423"/>
        <v/>
      </c>
      <c r="AA3876" s="60">
        <f t="shared" si="424"/>
        <v>0</v>
      </c>
      <c r="AB3876" s="49">
        <f t="shared" si="425"/>
        <v>0</v>
      </c>
      <c r="AC3876" s="60">
        <f t="shared" si="426"/>
        <v>0</v>
      </c>
    </row>
    <row r="3877" spans="1:29">
      <c r="A3877" s="83" t="str">
        <f t="shared" si="421"/>
        <v/>
      </c>
      <c r="B3877" s="83" t="str">
        <f t="shared" si="427"/>
        <v/>
      </c>
      <c r="U3877" s="83" t="str">
        <f t="shared" si="422"/>
        <v/>
      </c>
      <c r="V3877" s="83" t="str">
        <f t="shared" si="423"/>
        <v/>
      </c>
      <c r="AA3877" s="60">
        <f t="shared" si="424"/>
        <v>0</v>
      </c>
      <c r="AB3877" s="49">
        <f t="shared" si="425"/>
        <v>0</v>
      </c>
      <c r="AC3877" s="60">
        <f t="shared" si="426"/>
        <v>0</v>
      </c>
    </row>
    <row r="3878" spans="1:29">
      <c r="A3878" s="83" t="str">
        <f t="shared" si="421"/>
        <v/>
      </c>
      <c r="B3878" s="83" t="str">
        <f t="shared" si="427"/>
        <v/>
      </c>
      <c r="U3878" s="83" t="str">
        <f t="shared" si="422"/>
        <v/>
      </c>
      <c r="V3878" s="83" t="str">
        <f t="shared" si="423"/>
        <v/>
      </c>
      <c r="AA3878" s="60">
        <f t="shared" si="424"/>
        <v>0</v>
      </c>
      <c r="AB3878" s="49">
        <f t="shared" si="425"/>
        <v>0</v>
      </c>
      <c r="AC3878" s="60">
        <f t="shared" si="426"/>
        <v>0</v>
      </c>
    </row>
    <row r="3879" spans="1:29">
      <c r="A3879" s="83" t="str">
        <f t="shared" si="421"/>
        <v/>
      </c>
      <c r="B3879" s="83" t="str">
        <f t="shared" si="427"/>
        <v/>
      </c>
      <c r="U3879" s="83" t="str">
        <f t="shared" si="422"/>
        <v/>
      </c>
      <c r="V3879" s="83" t="str">
        <f t="shared" si="423"/>
        <v/>
      </c>
      <c r="AA3879" s="60">
        <f t="shared" si="424"/>
        <v>0</v>
      </c>
      <c r="AB3879" s="49">
        <f t="shared" si="425"/>
        <v>0</v>
      </c>
      <c r="AC3879" s="60">
        <f t="shared" si="426"/>
        <v>0</v>
      </c>
    </row>
    <row r="3880" spans="1:29">
      <c r="A3880" s="83" t="str">
        <f t="shared" si="421"/>
        <v/>
      </c>
      <c r="B3880" s="83" t="str">
        <f t="shared" si="427"/>
        <v/>
      </c>
      <c r="U3880" s="83" t="str">
        <f t="shared" si="422"/>
        <v/>
      </c>
      <c r="V3880" s="83" t="str">
        <f t="shared" si="423"/>
        <v/>
      </c>
      <c r="AA3880" s="60">
        <f t="shared" si="424"/>
        <v>0</v>
      </c>
      <c r="AB3880" s="49">
        <f t="shared" si="425"/>
        <v>0</v>
      </c>
      <c r="AC3880" s="60">
        <f t="shared" si="426"/>
        <v>0</v>
      </c>
    </row>
    <row r="3881" spans="1:29">
      <c r="A3881" s="83" t="str">
        <f t="shared" si="421"/>
        <v/>
      </c>
      <c r="B3881" s="83" t="str">
        <f t="shared" si="427"/>
        <v/>
      </c>
      <c r="U3881" s="83" t="str">
        <f t="shared" si="422"/>
        <v/>
      </c>
      <c r="V3881" s="83" t="str">
        <f t="shared" si="423"/>
        <v/>
      </c>
      <c r="AA3881" s="60">
        <f t="shared" si="424"/>
        <v>0</v>
      </c>
      <c r="AB3881" s="49">
        <f t="shared" si="425"/>
        <v>0</v>
      </c>
      <c r="AC3881" s="60">
        <f t="shared" si="426"/>
        <v>0</v>
      </c>
    </row>
    <row r="3882" spans="1:29">
      <c r="A3882" s="83" t="str">
        <f t="shared" si="421"/>
        <v/>
      </c>
      <c r="B3882" s="83" t="str">
        <f t="shared" si="427"/>
        <v/>
      </c>
      <c r="U3882" s="83" t="str">
        <f t="shared" si="422"/>
        <v/>
      </c>
      <c r="V3882" s="83" t="str">
        <f t="shared" si="423"/>
        <v/>
      </c>
      <c r="AA3882" s="60">
        <f t="shared" si="424"/>
        <v>0</v>
      </c>
      <c r="AB3882" s="49">
        <f t="shared" si="425"/>
        <v>0</v>
      </c>
      <c r="AC3882" s="60">
        <f t="shared" si="426"/>
        <v>0</v>
      </c>
    </row>
    <row r="3883" spans="1:29">
      <c r="A3883" s="83" t="str">
        <f t="shared" si="421"/>
        <v/>
      </c>
      <c r="B3883" s="83" t="str">
        <f t="shared" si="427"/>
        <v/>
      </c>
      <c r="U3883" s="83" t="str">
        <f t="shared" si="422"/>
        <v/>
      </c>
      <c r="V3883" s="83" t="str">
        <f t="shared" si="423"/>
        <v/>
      </c>
      <c r="AA3883" s="60">
        <f t="shared" si="424"/>
        <v>0</v>
      </c>
      <c r="AB3883" s="49">
        <f t="shared" si="425"/>
        <v>0</v>
      </c>
      <c r="AC3883" s="60">
        <f t="shared" si="426"/>
        <v>0</v>
      </c>
    </row>
    <row r="3884" spans="1:29">
      <c r="A3884" s="83" t="str">
        <f t="shared" si="421"/>
        <v/>
      </c>
      <c r="B3884" s="83" t="str">
        <f t="shared" si="427"/>
        <v/>
      </c>
      <c r="U3884" s="83" t="str">
        <f t="shared" si="422"/>
        <v/>
      </c>
      <c r="V3884" s="83" t="str">
        <f t="shared" si="423"/>
        <v/>
      </c>
      <c r="AA3884" s="60">
        <f t="shared" si="424"/>
        <v>0</v>
      </c>
      <c r="AB3884" s="49">
        <f t="shared" si="425"/>
        <v>0</v>
      </c>
      <c r="AC3884" s="60">
        <f t="shared" si="426"/>
        <v>0</v>
      </c>
    </row>
    <row r="3885" spans="1:29">
      <c r="A3885" s="83" t="str">
        <f t="shared" si="421"/>
        <v/>
      </c>
      <c r="B3885" s="83" t="str">
        <f t="shared" si="427"/>
        <v/>
      </c>
      <c r="U3885" s="83" t="str">
        <f t="shared" si="422"/>
        <v/>
      </c>
      <c r="V3885" s="83" t="str">
        <f t="shared" si="423"/>
        <v/>
      </c>
      <c r="AA3885" s="60">
        <f t="shared" si="424"/>
        <v>0</v>
      </c>
      <c r="AB3885" s="49">
        <f t="shared" si="425"/>
        <v>0</v>
      </c>
      <c r="AC3885" s="60">
        <f t="shared" si="426"/>
        <v>0</v>
      </c>
    </row>
    <row r="3886" spans="1:29">
      <c r="A3886" s="83" t="str">
        <f t="shared" si="421"/>
        <v/>
      </c>
      <c r="B3886" s="83" t="str">
        <f t="shared" si="427"/>
        <v/>
      </c>
      <c r="U3886" s="83" t="str">
        <f t="shared" si="422"/>
        <v/>
      </c>
      <c r="V3886" s="83" t="str">
        <f t="shared" si="423"/>
        <v/>
      </c>
      <c r="AA3886" s="60">
        <f t="shared" si="424"/>
        <v>0</v>
      </c>
      <c r="AB3886" s="49">
        <f t="shared" si="425"/>
        <v>0</v>
      </c>
      <c r="AC3886" s="60">
        <f t="shared" si="426"/>
        <v>0</v>
      </c>
    </row>
    <row r="3887" spans="1:29">
      <c r="A3887" s="83" t="str">
        <f t="shared" si="421"/>
        <v/>
      </c>
      <c r="B3887" s="83" t="str">
        <f t="shared" si="427"/>
        <v/>
      </c>
      <c r="U3887" s="83" t="str">
        <f t="shared" si="422"/>
        <v/>
      </c>
      <c r="V3887" s="83" t="str">
        <f t="shared" si="423"/>
        <v/>
      </c>
      <c r="AA3887" s="60">
        <f t="shared" si="424"/>
        <v>0</v>
      </c>
      <c r="AB3887" s="49">
        <f t="shared" si="425"/>
        <v>0</v>
      </c>
      <c r="AC3887" s="60">
        <f t="shared" si="426"/>
        <v>0</v>
      </c>
    </row>
    <row r="3888" spans="1:29">
      <c r="A3888" s="83" t="str">
        <f t="shared" si="421"/>
        <v/>
      </c>
      <c r="B3888" s="83" t="str">
        <f t="shared" si="427"/>
        <v/>
      </c>
      <c r="U3888" s="83" t="str">
        <f t="shared" si="422"/>
        <v/>
      </c>
      <c r="V3888" s="83" t="str">
        <f t="shared" si="423"/>
        <v/>
      </c>
      <c r="AA3888" s="60">
        <f t="shared" si="424"/>
        <v>0</v>
      </c>
      <c r="AB3888" s="49">
        <f t="shared" si="425"/>
        <v>0</v>
      </c>
      <c r="AC3888" s="60">
        <f t="shared" si="426"/>
        <v>0</v>
      </c>
    </row>
    <row r="3889" spans="1:29">
      <c r="A3889" s="83" t="str">
        <f t="shared" si="421"/>
        <v/>
      </c>
      <c r="B3889" s="83" t="str">
        <f t="shared" si="427"/>
        <v/>
      </c>
      <c r="U3889" s="83" t="str">
        <f t="shared" si="422"/>
        <v/>
      </c>
      <c r="V3889" s="83" t="str">
        <f t="shared" si="423"/>
        <v/>
      </c>
      <c r="AA3889" s="60">
        <f t="shared" si="424"/>
        <v>0</v>
      </c>
      <c r="AB3889" s="49">
        <f t="shared" si="425"/>
        <v>0</v>
      </c>
      <c r="AC3889" s="60">
        <f t="shared" si="426"/>
        <v>0</v>
      </c>
    </row>
    <row r="3890" spans="1:29">
      <c r="A3890" s="83" t="str">
        <f t="shared" si="421"/>
        <v/>
      </c>
      <c r="B3890" s="83" t="str">
        <f t="shared" si="427"/>
        <v/>
      </c>
      <c r="U3890" s="83" t="str">
        <f t="shared" si="422"/>
        <v/>
      </c>
      <c r="V3890" s="83" t="str">
        <f t="shared" si="423"/>
        <v/>
      </c>
      <c r="AA3890" s="60">
        <f t="shared" si="424"/>
        <v>0</v>
      </c>
      <c r="AB3890" s="49">
        <f t="shared" si="425"/>
        <v>0</v>
      </c>
      <c r="AC3890" s="60">
        <f t="shared" si="426"/>
        <v>0</v>
      </c>
    </row>
    <row r="3891" spans="1:29">
      <c r="A3891" s="83" t="str">
        <f t="shared" si="421"/>
        <v/>
      </c>
      <c r="B3891" s="83" t="str">
        <f t="shared" si="427"/>
        <v/>
      </c>
      <c r="U3891" s="83" t="str">
        <f t="shared" si="422"/>
        <v/>
      </c>
      <c r="V3891" s="83" t="str">
        <f t="shared" si="423"/>
        <v/>
      </c>
      <c r="AA3891" s="60">
        <f t="shared" si="424"/>
        <v>0</v>
      </c>
      <c r="AB3891" s="49">
        <f t="shared" si="425"/>
        <v>0</v>
      </c>
      <c r="AC3891" s="60">
        <f t="shared" si="426"/>
        <v>0</v>
      </c>
    </row>
    <row r="3892" spans="1:29">
      <c r="A3892" s="83" t="str">
        <f t="shared" si="421"/>
        <v/>
      </c>
      <c r="B3892" s="83" t="str">
        <f t="shared" si="427"/>
        <v/>
      </c>
      <c r="U3892" s="83" t="str">
        <f t="shared" si="422"/>
        <v/>
      </c>
      <c r="V3892" s="83" t="str">
        <f t="shared" si="423"/>
        <v/>
      </c>
      <c r="AA3892" s="60">
        <f t="shared" si="424"/>
        <v>0</v>
      </c>
      <c r="AB3892" s="49">
        <f t="shared" si="425"/>
        <v>0</v>
      </c>
      <c r="AC3892" s="60">
        <f t="shared" si="426"/>
        <v>0</v>
      </c>
    </row>
    <row r="3893" spans="1:29">
      <c r="A3893" s="83" t="str">
        <f t="shared" si="421"/>
        <v/>
      </c>
      <c r="B3893" s="83" t="str">
        <f t="shared" si="427"/>
        <v/>
      </c>
      <c r="U3893" s="83" t="str">
        <f t="shared" si="422"/>
        <v/>
      </c>
      <c r="V3893" s="83" t="str">
        <f t="shared" si="423"/>
        <v/>
      </c>
      <c r="AA3893" s="60">
        <f t="shared" si="424"/>
        <v>0</v>
      </c>
      <c r="AB3893" s="49">
        <f t="shared" si="425"/>
        <v>0</v>
      </c>
      <c r="AC3893" s="60">
        <f t="shared" si="426"/>
        <v>0</v>
      </c>
    </row>
    <row r="3894" spans="1:29">
      <c r="A3894" s="83" t="str">
        <f t="shared" si="421"/>
        <v/>
      </c>
      <c r="B3894" s="83" t="str">
        <f t="shared" si="427"/>
        <v/>
      </c>
      <c r="U3894" s="83" t="str">
        <f t="shared" si="422"/>
        <v/>
      </c>
      <c r="V3894" s="83" t="str">
        <f t="shared" si="423"/>
        <v/>
      </c>
      <c r="AA3894" s="60">
        <f t="shared" si="424"/>
        <v>0</v>
      </c>
      <c r="AB3894" s="49">
        <f t="shared" si="425"/>
        <v>0</v>
      </c>
      <c r="AC3894" s="60">
        <f t="shared" si="426"/>
        <v>0</v>
      </c>
    </row>
    <row r="3895" spans="1:29">
      <c r="A3895" s="83" t="str">
        <f t="shared" si="421"/>
        <v/>
      </c>
      <c r="B3895" s="83" t="str">
        <f t="shared" si="427"/>
        <v/>
      </c>
      <c r="U3895" s="83" t="str">
        <f t="shared" si="422"/>
        <v/>
      </c>
      <c r="V3895" s="83" t="str">
        <f t="shared" si="423"/>
        <v/>
      </c>
      <c r="AA3895" s="60">
        <f t="shared" si="424"/>
        <v>0</v>
      </c>
      <c r="AB3895" s="49">
        <f t="shared" si="425"/>
        <v>0</v>
      </c>
      <c r="AC3895" s="60">
        <f t="shared" si="426"/>
        <v>0</v>
      </c>
    </row>
    <row r="3896" spans="1:29">
      <c r="A3896" s="83" t="str">
        <f t="shared" si="421"/>
        <v/>
      </c>
      <c r="B3896" s="83" t="str">
        <f t="shared" si="427"/>
        <v/>
      </c>
      <c r="U3896" s="83" t="str">
        <f t="shared" si="422"/>
        <v/>
      </c>
      <c r="V3896" s="83" t="str">
        <f t="shared" si="423"/>
        <v/>
      </c>
      <c r="AA3896" s="60">
        <f t="shared" si="424"/>
        <v>0</v>
      </c>
      <c r="AB3896" s="49">
        <f t="shared" si="425"/>
        <v>0</v>
      </c>
      <c r="AC3896" s="60">
        <f t="shared" si="426"/>
        <v>0</v>
      </c>
    </row>
    <row r="3897" spans="1:29">
      <c r="A3897" s="83" t="str">
        <f t="shared" si="421"/>
        <v/>
      </c>
      <c r="B3897" s="83" t="str">
        <f t="shared" si="427"/>
        <v/>
      </c>
      <c r="U3897" s="83" t="str">
        <f t="shared" si="422"/>
        <v/>
      </c>
      <c r="V3897" s="83" t="str">
        <f t="shared" si="423"/>
        <v/>
      </c>
      <c r="AA3897" s="60">
        <f t="shared" si="424"/>
        <v>0</v>
      </c>
      <c r="AB3897" s="49">
        <f t="shared" si="425"/>
        <v>0</v>
      </c>
      <c r="AC3897" s="60">
        <f t="shared" si="426"/>
        <v>0</v>
      </c>
    </row>
    <row r="3898" spans="1:29">
      <c r="A3898" s="83" t="str">
        <f t="shared" si="421"/>
        <v/>
      </c>
      <c r="B3898" s="83" t="str">
        <f t="shared" si="427"/>
        <v/>
      </c>
      <c r="U3898" s="83" t="str">
        <f t="shared" si="422"/>
        <v/>
      </c>
      <c r="V3898" s="83" t="str">
        <f t="shared" si="423"/>
        <v/>
      </c>
      <c r="AA3898" s="60">
        <f t="shared" si="424"/>
        <v>0</v>
      </c>
      <c r="AB3898" s="49">
        <f t="shared" si="425"/>
        <v>0</v>
      </c>
      <c r="AC3898" s="60">
        <f t="shared" si="426"/>
        <v>0</v>
      </c>
    </row>
    <row r="3899" spans="1:29">
      <c r="A3899" s="83" t="str">
        <f t="shared" si="421"/>
        <v/>
      </c>
      <c r="B3899" s="83" t="str">
        <f t="shared" si="427"/>
        <v/>
      </c>
      <c r="U3899" s="83" t="str">
        <f t="shared" si="422"/>
        <v/>
      </c>
      <c r="V3899" s="83" t="str">
        <f t="shared" si="423"/>
        <v/>
      </c>
      <c r="AA3899" s="60">
        <f t="shared" si="424"/>
        <v>0</v>
      </c>
      <c r="AB3899" s="49">
        <f t="shared" si="425"/>
        <v>0</v>
      </c>
      <c r="AC3899" s="60">
        <f t="shared" si="426"/>
        <v>0</v>
      </c>
    </row>
    <row r="3900" spans="1:29">
      <c r="A3900" s="83" t="str">
        <f t="shared" si="421"/>
        <v/>
      </c>
      <c r="B3900" s="83" t="str">
        <f t="shared" si="427"/>
        <v/>
      </c>
      <c r="U3900" s="83" t="str">
        <f t="shared" si="422"/>
        <v/>
      </c>
      <c r="V3900" s="83" t="str">
        <f t="shared" si="423"/>
        <v/>
      </c>
      <c r="AA3900" s="60">
        <f t="shared" si="424"/>
        <v>0</v>
      </c>
      <c r="AB3900" s="49">
        <f t="shared" si="425"/>
        <v>0</v>
      </c>
      <c r="AC3900" s="60">
        <f t="shared" si="426"/>
        <v>0</v>
      </c>
    </row>
    <row r="3901" spans="1:29">
      <c r="A3901" s="83" t="str">
        <f t="shared" si="421"/>
        <v/>
      </c>
      <c r="B3901" s="83" t="str">
        <f t="shared" si="427"/>
        <v/>
      </c>
      <c r="U3901" s="83" t="str">
        <f t="shared" si="422"/>
        <v/>
      </c>
      <c r="V3901" s="83" t="str">
        <f t="shared" si="423"/>
        <v/>
      </c>
      <c r="AA3901" s="60">
        <f t="shared" si="424"/>
        <v>0</v>
      </c>
      <c r="AB3901" s="49">
        <f t="shared" si="425"/>
        <v>0</v>
      </c>
      <c r="AC3901" s="60">
        <f t="shared" si="426"/>
        <v>0</v>
      </c>
    </row>
    <row r="3902" spans="1:29">
      <c r="A3902" s="83" t="str">
        <f t="shared" si="421"/>
        <v/>
      </c>
      <c r="B3902" s="83" t="str">
        <f t="shared" si="427"/>
        <v/>
      </c>
      <c r="U3902" s="83" t="str">
        <f t="shared" si="422"/>
        <v/>
      </c>
      <c r="V3902" s="83" t="str">
        <f t="shared" si="423"/>
        <v/>
      </c>
      <c r="AA3902" s="60">
        <f t="shared" si="424"/>
        <v>0</v>
      </c>
      <c r="AB3902" s="49">
        <f t="shared" si="425"/>
        <v>0</v>
      </c>
      <c r="AC3902" s="60">
        <f t="shared" si="426"/>
        <v>0</v>
      </c>
    </row>
    <row r="3903" spans="1:29">
      <c r="A3903" s="83" t="str">
        <f t="shared" si="421"/>
        <v/>
      </c>
      <c r="B3903" s="83" t="str">
        <f t="shared" si="427"/>
        <v/>
      </c>
      <c r="U3903" s="83" t="str">
        <f t="shared" si="422"/>
        <v/>
      </c>
      <c r="V3903" s="83" t="str">
        <f t="shared" si="423"/>
        <v/>
      </c>
      <c r="AA3903" s="60">
        <f t="shared" si="424"/>
        <v>0</v>
      </c>
      <c r="AB3903" s="49">
        <f t="shared" si="425"/>
        <v>0</v>
      </c>
      <c r="AC3903" s="60">
        <f t="shared" si="426"/>
        <v>0</v>
      </c>
    </row>
    <row r="3904" spans="1:29">
      <c r="A3904" s="83" t="str">
        <f t="shared" si="421"/>
        <v/>
      </c>
      <c r="B3904" s="83" t="str">
        <f t="shared" si="427"/>
        <v/>
      </c>
      <c r="U3904" s="83" t="str">
        <f t="shared" si="422"/>
        <v/>
      </c>
      <c r="V3904" s="83" t="str">
        <f t="shared" si="423"/>
        <v/>
      </c>
      <c r="AA3904" s="60">
        <f t="shared" si="424"/>
        <v>0</v>
      </c>
      <c r="AB3904" s="49">
        <f t="shared" si="425"/>
        <v>0</v>
      </c>
      <c r="AC3904" s="60">
        <f t="shared" si="426"/>
        <v>0</v>
      </c>
    </row>
    <row r="3905" spans="1:29">
      <c r="A3905" s="83" t="str">
        <f t="shared" si="421"/>
        <v/>
      </c>
      <c r="B3905" s="83" t="str">
        <f t="shared" si="427"/>
        <v/>
      </c>
      <c r="U3905" s="83" t="str">
        <f t="shared" si="422"/>
        <v/>
      </c>
      <c r="V3905" s="83" t="str">
        <f t="shared" si="423"/>
        <v/>
      </c>
      <c r="AA3905" s="60">
        <f t="shared" si="424"/>
        <v>0</v>
      </c>
      <c r="AB3905" s="49">
        <f t="shared" si="425"/>
        <v>0</v>
      </c>
      <c r="AC3905" s="60">
        <f t="shared" si="426"/>
        <v>0</v>
      </c>
    </row>
    <row r="3906" spans="1:29">
      <c r="A3906" s="83" t="str">
        <f t="shared" si="421"/>
        <v/>
      </c>
      <c r="B3906" s="83" t="str">
        <f t="shared" si="427"/>
        <v/>
      </c>
      <c r="U3906" s="83" t="str">
        <f t="shared" si="422"/>
        <v/>
      </c>
      <c r="V3906" s="83" t="str">
        <f t="shared" si="423"/>
        <v/>
      </c>
      <c r="AA3906" s="60">
        <f t="shared" si="424"/>
        <v>0</v>
      </c>
      <c r="AB3906" s="49">
        <f t="shared" si="425"/>
        <v>0</v>
      </c>
      <c r="AC3906" s="60">
        <f t="shared" si="426"/>
        <v>0</v>
      </c>
    </row>
    <row r="3907" spans="1:29">
      <c r="A3907" s="83" t="str">
        <f t="shared" ref="A3907:A3970" si="428">IF(G3907&amp;Q3907&lt;&gt;"",U3907&amp;Q3907,"")</f>
        <v/>
      </c>
      <c r="B3907" s="83" t="str">
        <f t="shared" si="427"/>
        <v/>
      </c>
      <c r="U3907" s="83" t="str">
        <f t="shared" ref="U3907:U3970" si="429">IF(G3907&lt;&gt;"",IF(StyleSpaceSplit,IFERROR(IF(FIND(" ",G3907)&gt;=1,MID(G3907,1,FIND(" ",G3907)-1),G3907),G3907),G3907),"")</f>
        <v/>
      </c>
      <c r="V3907" s="83" t="str">
        <f t="shared" ref="V3907:V3970" si="430">IF(A3907&lt;&gt;"",IFERROR(IF(FIND(" ",G3907)&gt;=1,MID(G3907,FIND(" ",G3907)+1,LEN(G3907)),""),G3907),"")</f>
        <v/>
      </c>
      <c r="AA3907" s="60">
        <f t="shared" ref="AA3907:AA3970" si="431">IFERROR(VALUE(MID($C3907,1,2)),0)</f>
        <v>0</v>
      </c>
      <c r="AB3907" s="49">
        <f t="shared" ref="AB3907:AB3970" si="432">IFERROR(VALUE(MID($C3907,4,3)),0)</f>
        <v>0</v>
      </c>
      <c r="AC3907" s="60">
        <f t="shared" ref="AC3907:AC3970" si="433">VALUE(RIGHT("00"&amp;AA3907,2)&amp;RIGHT("000"&amp;AB3907,3))</f>
        <v>0</v>
      </c>
    </row>
    <row r="3908" spans="1:29">
      <c r="A3908" s="83" t="str">
        <f t="shared" si="428"/>
        <v/>
      </c>
      <c r="B3908" s="83" t="str">
        <f t="shared" si="427"/>
        <v/>
      </c>
      <c r="U3908" s="83" t="str">
        <f t="shared" si="429"/>
        <v/>
      </c>
      <c r="V3908" s="83" t="str">
        <f t="shared" si="430"/>
        <v/>
      </c>
      <c r="AA3908" s="60">
        <f t="shared" si="431"/>
        <v>0</v>
      </c>
      <c r="AB3908" s="49">
        <f t="shared" si="432"/>
        <v>0</v>
      </c>
      <c r="AC3908" s="60">
        <f t="shared" si="433"/>
        <v>0</v>
      </c>
    </row>
    <row r="3909" spans="1:29">
      <c r="A3909" s="83" t="str">
        <f t="shared" si="428"/>
        <v/>
      </c>
      <c r="B3909" s="83" t="str">
        <f t="shared" si="427"/>
        <v/>
      </c>
      <c r="U3909" s="83" t="str">
        <f t="shared" si="429"/>
        <v/>
      </c>
      <c r="V3909" s="83" t="str">
        <f t="shared" si="430"/>
        <v/>
      </c>
      <c r="AA3909" s="60">
        <f t="shared" si="431"/>
        <v>0</v>
      </c>
      <c r="AB3909" s="49">
        <f t="shared" si="432"/>
        <v>0</v>
      </c>
      <c r="AC3909" s="60">
        <f t="shared" si="433"/>
        <v>0</v>
      </c>
    </row>
    <row r="3910" spans="1:29">
      <c r="A3910" s="83" t="str">
        <f t="shared" si="428"/>
        <v/>
      </c>
      <c r="B3910" s="83" t="str">
        <f t="shared" si="427"/>
        <v/>
      </c>
      <c r="U3910" s="83" t="str">
        <f t="shared" si="429"/>
        <v/>
      </c>
      <c r="V3910" s="83" t="str">
        <f t="shared" si="430"/>
        <v/>
      </c>
      <c r="AA3910" s="60">
        <f t="shared" si="431"/>
        <v>0</v>
      </c>
      <c r="AB3910" s="49">
        <f t="shared" si="432"/>
        <v>0</v>
      </c>
      <c r="AC3910" s="60">
        <f t="shared" si="433"/>
        <v>0</v>
      </c>
    </row>
    <row r="3911" spans="1:29">
      <c r="A3911" s="83" t="str">
        <f t="shared" si="428"/>
        <v/>
      </c>
      <c r="B3911" s="83" t="str">
        <f t="shared" si="427"/>
        <v/>
      </c>
      <c r="U3911" s="83" t="str">
        <f t="shared" si="429"/>
        <v/>
      </c>
      <c r="V3911" s="83" t="str">
        <f t="shared" si="430"/>
        <v/>
      </c>
      <c r="AA3911" s="60">
        <f t="shared" si="431"/>
        <v>0</v>
      </c>
      <c r="AB3911" s="49">
        <f t="shared" si="432"/>
        <v>0</v>
      </c>
      <c r="AC3911" s="60">
        <f t="shared" si="433"/>
        <v>0</v>
      </c>
    </row>
    <row r="3912" spans="1:29">
      <c r="A3912" s="83" t="str">
        <f t="shared" si="428"/>
        <v/>
      </c>
      <c r="B3912" s="83" t="str">
        <f t="shared" si="427"/>
        <v/>
      </c>
      <c r="U3912" s="83" t="str">
        <f t="shared" si="429"/>
        <v/>
      </c>
      <c r="V3912" s="83" t="str">
        <f t="shared" si="430"/>
        <v/>
      </c>
      <c r="AA3912" s="60">
        <f t="shared" si="431"/>
        <v>0</v>
      </c>
      <c r="AB3912" s="49">
        <f t="shared" si="432"/>
        <v>0</v>
      </c>
      <c r="AC3912" s="60">
        <f t="shared" si="433"/>
        <v>0</v>
      </c>
    </row>
    <row r="3913" spans="1:29">
      <c r="A3913" s="83" t="str">
        <f t="shared" si="428"/>
        <v/>
      </c>
      <c r="B3913" s="83" t="str">
        <f t="shared" si="427"/>
        <v/>
      </c>
      <c r="U3913" s="83" t="str">
        <f t="shared" si="429"/>
        <v/>
      </c>
      <c r="V3913" s="83" t="str">
        <f t="shared" si="430"/>
        <v/>
      </c>
      <c r="AA3913" s="60">
        <f t="shared" si="431"/>
        <v>0</v>
      </c>
      <c r="AB3913" s="49">
        <f t="shared" si="432"/>
        <v>0</v>
      </c>
      <c r="AC3913" s="60">
        <f t="shared" si="433"/>
        <v>0</v>
      </c>
    </row>
    <row r="3914" spans="1:29">
      <c r="A3914" s="83" t="str">
        <f t="shared" si="428"/>
        <v/>
      </c>
      <c r="B3914" s="83" t="str">
        <f t="shared" si="427"/>
        <v/>
      </c>
      <c r="U3914" s="83" t="str">
        <f t="shared" si="429"/>
        <v/>
      </c>
      <c r="V3914" s="83" t="str">
        <f t="shared" si="430"/>
        <v/>
      </c>
      <c r="AA3914" s="60">
        <f t="shared" si="431"/>
        <v>0</v>
      </c>
      <c r="AB3914" s="49">
        <f t="shared" si="432"/>
        <v>0</v>
      </c>
      <c r="AC3914" s="60">
        <f t="shared" si="433"/>
        <v>0</v>
      </c>
    </row>
    <row r="3915" spans="1:29">
      <c r="A3915" s="83" t="str">
        <f t="shared" si="428"/>
        <v/>
      </c>
      <c r="B3915" s="83" t="str">
        <f t="shared" si="427"/>
        <v/>
      </c>
      <c r="U3915" s="83" t="str">
        <f t="shared" si="429"/>
        <v/>
      </c>
      <c r="V3915" s="83" t="str">
        <f t="shared" si="430"/>
        <v/>
      </c>
      <c r="AA3915" s="60">
        <f t="shared" si="431"/>
        <v>0</v>
      </c>
      <c r="AB3915" s="49">
        <f t="shared" si="432"/>
        <v>0</v>
      </c>
      <c r="AC3915" s="60">
        <f t="shared" si="433"/>
        <v>0</v>
      </c>
    </row>
    <row r="3916" spans="1:29">
      <c r="A3916" s="83" t="str">
        <f t="shared" si="428"/>
        <v/>
      </c>
      <c r="B3916" s="83" t="str">
        <f t="shared" si="427"/>
        <v/>
      </c>
      <c r="U3916" s="83" t="str">
        <f t="shared" si="429"/>
        <v/>
      </c>
      <c r="V3916" s="83" t="str">
        <f t="shared" si="430"/>
        <v/>
      </c>
      <c r="AA3916" s="60">
        <f t="shared" si="431"/>
        <v>0</v>
      </c>
      <c r="AB3916" s="49">
        <f t="shared" si="432"/>
        <v>0</v>
      </c>
      <c r="AC3916" s="60">
        <f t="shared" si="433"/>
        <v>0</v>
      </c>
    </row>
    <row r="3917" spans="1:29">
      <c r="A3917" s="83" t="str">
        <f t="shared" si="428"/>
        <v/>
      </c>
      <c r="B3917" s="83" t="str">
        <f t="shared" si="427"/>
        <v/>
      </c>
      <c r="U3917" s="83" t="str">
        <f t="shared" si="429"/>
        <v/>
      </c>
      <c r="V3917" s="83" t="str">
        <f t="shared" si="430"/>
        <v/>
      </c>
      <c r="AA3917" s="60">
        <f t="shared" si="431"/>
        <v>0</v>
      </c>
      <c r="AB3917" s="49">
        <f t="shared" si="432"/>
        <v>0</v>
      </c>
      <c r="AC3917" s="60">
        <f t="shared" si="433"/>
        <v>0</v>
      </c>
    </row>
    <row r="3918" spans="1:29">
      <c r="A3918" s="83" t="str">
        <f t="shared" si="428"/>
        <v/>
      </c>
      <c r="B3918" s="83" t="str">
        <f t="shared" si="427"/>
        <v/>
      </c>
      <c r="U3918" s="83" t="str">
        <f t="shared" si="429"/>
        <v/>
      </c>
      <c r="V3918" s="83" t="str">
        <f t="shared" si="430"/>
        <v/>
      </c>
      <c r="AA3918" s="60">
        <f t="shared" si="431"/>
        <v>0</v>
      </c>
      <c r="AB3918" s="49">
        <f t="shared" si="432"/>
        <v>0</v>
      </c>
      <c r="AC3918" s="60">
        <f t="shared" si="433"/>
        <v>0</v>
      </c>
    </row>
    <row r="3919" spans="1:29">
      <c r="A3919" s="83" t="str">
        <f t="shared" si="428"/>
        <v/>
      </c>
      <c r="B3919" s="83" t="str">
        <f t="shared" si="427"/>
        <v/>
      </c>
      <c r="U3919" s="83" t="str">
        <f t="shared" si="429"/>
        <v/>
      </c>
      <c r="V3919" s="83" t="str">
        <f t="shared" si="430"/>
        <v/>
      </c>
      <c r="AA3919" s="60">
        <f t="shared" si="431"/>
        <v>0</v>
      </c>
      <c r="AB3919" s="49">
        <f t="shared" si="432"/>
        <v>0</v>
      </c>
      <c r="AC3919" s="60">
        <f t="shared" si="433"/>
        <v>0</v>
      </c>
    </row>
    <row r="3920" spans="1:29">
      <c r="A3920" s="83" t="str">
        <f t="shared" si="428"/>
        <v/>
      </c>
      <c r="B3920" s="83" t="str">
        <f t="shared" si="427"/>
        <v/>
      </c>
      <c r="U3920" s="83" t="str">
        <f t="shared" si="429"/>
        <v/>
      </c>
      <c r="V3920" s="83" t="str">
        <f t="shared" si="430"/>
        <v/>
      </c>
      <c r="AA3920" s="60">
        <f t="shared" si="431"/>
        <v>0</v>
      </c>
      <c r="AB3920" s="49">
        <f t="shared" si="432"/>
        <v>0</v>
      </c>
      <c r="AC3920" s="60">
        <f t="shared" si="433"/>
        <v>0</v>
      </c>
    </row>
    <row r="3921" spans="1:29">
      <c r="A3921" s="83" t="str">
        <f t="shared" si="428"/>
        <v/>
      </c>
      <c r="B3921" s="83" t="str">
        <f t="shared" si="427"/>
        <v/>
      </c>
      <c r="U3921" s="83" t="str">
        <f t="shared" si="429"/>
        <v/>
      </c>
      <c r="V3921" s="83" t="str">
        <f t="shared" si="430"/>
        <v/>
      </c>
      <c r="AA3921" s="60">
        <f t="shared" si="431"/>
        <v>0</v>
      </c>
      <c r="AB3921" s="49">
        <f t="shared" si="432"/>
        <v>0</v>
      </c>
      <c r="AC3921" s="60">
        <f t="shared" si="433"/>
        <v>0</v>
      </c>
    </row>
    <row r="3922" spans="1:29">
      <c r="A3922" s="83" t="str">
        <f t="shared" si="428"/>
        <v/>
      </c>
      <c r="B3922" s="83" t="str">
        <f t="shared" si="427"/>
        <v/>
      </c>
      <c r="U3922" s="83" t="str">
        <f t="shared" si="429"/>
        <v/>
      </c>
      <c r="V3922" s="83" t="str">
        <f t="shared" si="430"/>
        <v/>
      </c>
      <c r="AA3922" s="60">
        <f t="shared" si="431"/>
        <v>0</v>
      </c>
      <c r="AB3922" s="49">
        <f t="shared" si="432"/>
        <v>0</v>
      </c>
      <c r="AC3922" s="60">
        <f t="shared" si="433"/>
        <v>0</v>
      </c>
    </row>
    <row r="3923" spans="1:29">
      <c r="A3923" s="83" t="str">
        <f t="shared" si="428"/>
        <v/>
      </c>
      <c r="B3923" s="83" t="str">
        <f t="shared" si="427"/>
        <v/>
      </c>
      <c r="U3923" s="83" t="str">
        <f t="shared" si="429"/>
        <v/>
      </c>
      <c r="V3923" s="83" t="str">
        <f t="shared" si="430"/>
        <v/>
      </c>
      <c r="AA3923" s="60">
        <f t="shared" si="431"/>
        <v>0</v>
      </c>
      <c r="AB3923" s="49">
        <f t="shared" si="432"/>
        <v>0</v>
      </c>
      <c r="AC3923" s="60">
        <f t="shared" si="433"/>
        <v>0</v>
      </c>
    </row>
    <row r="3924" spans="1:29">
      <c r="A3924" s="83" t="str">
        <f t="shared" si="428"/>
        <v/>
      </c>
      <c r="B3924" s="83" t="str">
        <f t="shared" si="427"/>
        <v/>
      </c>
      <c r="U3924" s="83" t="str">
        <f t="shared" si="429"/>
        <v/>
      </c>
      <c r="V3924" s="83" t="str">
        <f t="shared" si="430"/>
        <v/>
      </c>
      <c r="AA3924" s="60">
        <f t="shared" si="431"/>
        <v>0</v>
      </c>
      <c r="AB3924" s="49">
        <f t="shared" si="432"/>
        <v>0</v>
      </c>
      <c r="AC3924" s="60">
        <f t="shared" si="433"/>
        <v>0</v>
      </c>
    </row>
    <row r="3925" spans="1:29">
      <c r="A3925" s="83" t="str">
        <f t="shared" si="428"/>
        <v/>
      </c>
      <c r="B3925" s="83" t="str">
        <f t="shared" si="427"/>
        <v/>
      </c>
      <c r="U3925" s="83" t="str">
        <f t="shared" si="429"/>
        <v/>
      </c>
      <c r="V3925" s="83" t="str">
        <f t="shared" si="430"/>
        <v/>
      </c>
      <c r="AA3925" s="60">
        <f t="shared" si="431"/>
        <v>0</v>
      </c>
      <c r="AB3925" s="49">
        <f t="shared" si="432"/>
        <v>0</v>
      </c>
      <c r="AC3925" s="60">
        <f t="shared" si="433"/>
        <v>0</v>
      </c>
    </row>
    <row r="3926" spans="1:29">
      <c r="A3926" s="83" t="str">
        <f t="shared" si="428"/>
        <v/>
      </c>
      <c r="B3926" s="83" t="str">
        <f t="shared" si="427"/>
        <v/>
      </c>
      <c r="U3926" s="83" t="str">
        <f t="shared" si="429"/>
        <v/>
      </c>
      <c r="V3926" s="83" t="str">
        <f t="shared" si="430"/>
        <v/>
      </c>
      <c r="AA3926" s="60">
        <f t="shared" si="431"/>
        <v>0</v>
      </c>
      <c r="AB3926" s="49">
        <f t="shared" si="432"/>
        <v>0</v>
      </c>
      <c r="AC3926" s="60">
        <f t="shared" si="433"/>
        <v>0</v>
      </c>
    </row>
    <row r="3927" spans="1:29">
      <c r="A3927" s="83" t="str">
        <f t="shared" si="428"/>
        <v/>
      </c>
      <c r="B3927" s="83" t="str">
        <f t="shared" si="427"/>
        <v/>
      </c>
      <c r="U3927" s="83" t="str">
        <f t="shared" si="429"/>
        <v/>
      </c>
      <c r="V3927" s="83" t="str">
        <f t="shared" si="430"/>
        <v/>
      </c>
      <c r="AA3927" s="60">
        <f t="shared" si="431"/>
        <v>0</v>
      </c>
      <c r="AB3927" s="49">
        <f t="shared" si="432"/>
        <v>0</v>
      </c>
      <c r="AC3927" s="60">
        <f t="shared" si="433"/>
        <v>0</v>
      </c>
    </row>
    <row r="3928" spans="1:29">
      <c r="A3928" s="83" t="str">
        <f t="shared" si="428"/>
        <v/>
      </c>
      <c r="B3928" s="83" t="str">
        <f t="shared" si="427"/>
        <v/>
      </c>
      <c r="U3928" s="83" t="str">
        <f t="shared" si="429"/>
        <v/>
      </c>
      <c r="V3928" s="83" t="str">
        <f t="shared" si="430"/>
        <v/>
      </c>
      <c r="AA3928" s="60">
        <f t="shared" si="431"/>
        <v>0</v>
      </c>
      <c r="AB3928" s="49">
        <f t="shared" si="432"/>
        <v>0</v>
      </c>
      <c r="AC3928" s="60">
        <f t="shared" si="433"/>
        <v>0</v>
      </c>
    </row>
    <row r="3929" spans="1:29">
      <c r="A3929" s="83" t="str">
        <f t="shared" si="428"/>
        <v/>
      </c>
      <c r="B3929" s="83" t="str">
        <f t="shared" si="427"/>
        <v/>
      </c>
      <c r="U3929" s="83" t="str">
        <f t="shared" si="429"/>
        <v/>
      </c>
      <c r="V3929" s="83" t="str">
        <f t="shared" si="430"/>
        <v/>
      </c>
      <c r="AA3929" s="60">
        <f t="shared" si="431"/>
        <v>0</v>
      </c>
      <c r="AB3929" s="49">
        <f t="shared" si="432"/>
        <v>0</v>
      </c>
      <c r="AC3929" s="60">
        <f t="shared" si="433"/>
        <v>0</v>
      </c>
    </row>
    <row r="3930" spans="1:29">
      <c r="A3930" s="83" t="str">
        <f t="shared" si="428"/>
        <v/>
      </c>
      <c r="B3930" s="83" t="str">
        <f t="shared" si="427"/>
        <v/>
      </c>
      <c r="U3930" s="83" t="str">
        <f t="shared" si="429"/>
        <v/>
      </c>
      <c r="V3930" s="83" t="str">
        <f t="shared" si="430"/>
        <v/>
      </c>
      <c r="AA3930" s="60">
        <f t="shared" si="431"/>
        <v>0</v>
      </c>
      <c r="AB3930" s="49">
        <f t="shared" si="432"/>
        <v>0</v>
      </c>
      <c r="AC3930" s="60">
        <f t="shared" si="433"/>
        <v>0</v>
      </c>
    </row>
    <row r="3931" spans="1:29">
      <c r="A3931" s="83" t="str">
        <f t="shared" si="428"/>
        <v/>
      </c>
      <c r="B3931" s="83" t="str">
        <f t="shared" si="427"/>
        <v/>
      </c>
      <c r="U3931" s="83" t="str">
        <f t="shared" si="429"/>
        <v/>
      </c>
      <c r="V3931" s="83" t="str">
        <f t="shared" si="430"/>
        <v/>
      </c>
      <c r="AA3931" s="60">
        <f t="shared" si="431"/>
        <v>0</v>
      </c>
      <c r="AB3931" s="49">
        <f t="shared" si="432"/>
        <v>0</v>
      </c>
      <c r="AC3931" s="60">
        <f t="shared" si="433"/>
        <v>0</v>
      </c>
    </row>
    <row r="3932" spans="1:29">
      <c r="A3932" s="83" t="str">
        <f t="shared" si="428"/>
        <v/>
      </c>
      <c r="B3932" s="83" t="str">
        <f t="shared" si="427"/>
        <v/>
      </c>
      <c r="U3932" s="83" t="str">
        <f t="shared" si="429"/>
        <v/>
      </c>
      <c r="V3932" s="83" t="str">
        <f t="shared" si="430"/>
        <v/>
      </c>
      <c r="AA3932" s="60">
        <f t="shared" si="431"/>
        <v>0</v>
      </c>
      <c r="AB3932" s="49">
        <f t="shared" si="432"/>
        <v>0</v>
      </c>
      <c r="AC3932" s="60">
        <f t="shared" si="433"/>
        <v>0</v>
      </c>
    </row>
    <row r="3933" spans="1:29">
      <c r="A3933" s="83" t="str">
        <f t="shared" si="428"/>
        <v/>
      </c>
      <c r="B3933" s="83" t="str">
        <f t="shared" si="427"/>
        <v/>
      </c>
      <c r="U3933" s="83" t="str">
        <f t="shared" si="429"/>
        <v/>
      </c>
      <c r="V3933" s="83" t="str">
        <f t="shared" si="430"/>
        <v/>
      </c>
      <c r="AA3933" s="60">
        <f t="shared" si="431"/>
        <v>0</v>
      </c>
      <c r="AB3933" s="49">
        <f t="shared" si="432"/>
        <v>0</v>
      </c>
      <c r="AC3933" s="60">
        <f t="shared" si="433"/>
        <v>0</v>
      </c>
    </row>
    <row r="3934" spans="1:29">
      <c r="A3934" s="83" t="str">
        <f t="shared" si="428"/>
        <v/>
      </c>
      <c r="B3934" s="83" t="str">
        <f t="shared" si="427"/>
        <v/>
      </c>
      <c r="U3934" s="83" t="str">
        <f t="shared" si="429"/>
        <v/>
      </c>
      <c r="V3934" s="83" t="str">
        <f t="shared" si="430"/>
        <v/>
      </c>
      <c r="AA3934" s="60">
        <f t="shared" si="431"/>
        <v>0</v>
      </c>
      <c r="AB3934" s="49">
        <f t="shared" si="432"/>
        <v>0</v>
      </c>
      <c r="AC3934" s="60">
        <f t="shared" si="433"/>
        <v>0</v>
      </c>
    </row>
    <row r="3935" spans="1:29">
      <c r="A3935" s="83" t="str">
        <f t="shared" si="428"/>
        <v/>
      </c>
      <c r="B3935" s="83" t="str">
        <f t="shared" si="427"/>
        <v/>
      </c>
      <c r="U3935" s="83" t="str">
        <f t="shared" si="429"/>
        <v/>
      </c>
      <c r="V3935" s="83" t="str">
        <f t="shared" si="430"/>
        <v/>
      </c>
      <c r="AA3935" s="60">
        <f t="shared" si="431"/>
        <v>0</v>
      </c>
      <c r="AB3935" s="49">
        <f t="shared" si="432"/>
        <v>0</v>
      </c>
      <c r="AC3935" s="60">
        <f t="shared" si="433"/>
        <v>0</v>
      </c>
    </row>
    <row r="3936" spans="1:29">
      <c r="A3936" s="83" t="str">
        <f t="shared" si="428"/>
        <v/>
      </c>
      <c r="B3936" s="83" t="str">
        <f t="shared" si="427"/>
        <v/>
      </c>
      <c r="U3936" s="83" t="str">
        <f t="shared" si="429"/>
        <v/>
      </c>
      <c r="V3936" s="83" t="str">
        <f t="shared" si="430"/>
        <v/>
      </c>
      <c r="AA3936" s="60">
        <f t="shared" si="431"/>
        <v>0</v>
      </c>
      <c r="AB3936" s="49">
        <f t="shared" si="432"/>
        <v>0</v>
      </c>
      <c r="AC3936" s="60">
        <f t="shared" si="433"/>
        <v>0</v>
      </c>
    </row>
    <row r="3937" spans="1:29">
      <c r="A3937" s="83" t="str">
        <f t="shared" si="428"/>
        <v/>
      </c>
      <c r="B3937" s="83" t="str">
        <f t="shared" ref="B3937:B4000" si="434">IF(C3937&lt;&gt;"",LEFT(C3937,9),"")</f>
        <v/>
      </c>
      <c r="U3937" s="83" t="str">
        <f t="shared" si="429"/>
        <v/>
      </c>
      <c r="V3937" s="83" t="str">
        <f t="shared" si="430"/>
        <v/>
      </c>
      <c r="AA3937" s="60">
        <f t="shared" si="431"/>
        <v>0</v>
      </c>
      <c r="AB3937" s="49">
        <f t="shared" si="432"/>
        <v>0</v>
      </c>
      <c r="AC3937" s="60">
        <f t="shared" si="433"/>
        <v>0</v>
      </c>
    </row>
    <row r="3938" spans="1:29">
      <c r="A3938" s="83" t="str">
        <f t="shared" si="428"/>
        <v/>
      </c>
      <c r="B3938" s="83" t="str">
        <f t="shared" si="434"/>
        <v/>
      </c>
      <c r="U3938" s="83" t="str">
        <f t="shared" si="429"/>
        <v/>
      </c>
      <c r="V3938" s="83" t="str">
        <f t="shared" si="430"/>
        <v/>
      </c>
      <c r="AA3938" s="60">
        <f t="shared" si="431"/>
        <v>0</v>
      </c>
      <c r="AB3938" s="49">
        <f t="shared" si="432"/>
        <v>0</v>
      </c>
      <c r="AC3938" s="60">
        <f t="shared" si="433"/>
        <v>0</v>
      </c>
    </row>
    <row r="3939" spans="1:29">
      <c r="A3939" s="83" t="str">
        <f t="shared" si="428"/>
        <v/>
      </c>
      <c r="B3939" s="83" t="str">
        <f t="shared" si="434"/>
        <v/>
      </c>
      <c r="U3939" s="83" t="str">
        <f t="shared" si="429"/>
        <v/>
      </c>
      <c r="V3939" s="83" t="str">
        <f t="shared" si="430"/>
        <v/>
      </c>
      <c r="AA3939" s="60">
        <f t="shared" si="431"/>
        <v>0</v>
      </c>
      <c r="AB3939" s="49">
        <f t="shared" si="432"/>
        <v>0</v>
      </c>
      <c r="AC3939" s="60">
        <f t="shared" si="433"/>
        <v>0</v>
      </c>
    </row>
    <row r="3940" spans="1:29">
      <c r="A3940" s="83" t="str">
        <f t="shared" si="428"/>
        <v/>
      </c>
      <c r="B3940" s="83" t="str">
        <f t="shared" si="434"/>
        <v/>
      </c>
      <c r="U3940" s="83" t="str">
        <f t="shared" si="429"/>
        <v/>
      </c>
      <c r="V3940" s="83" t="str">
        <f t="shared" si="430"/>
        <v/>
      </c>
      <c r="AA3940" s="60">
        <f t="shared" si="431"/>
        <v>0</v>
      </c>
      <c r="AB3940" s="49">
        <f t="shared" si="432"/>
        <v>0</v>
      </c>
      <c r="AC3940" s="60">
        <f t="shared" si="433"/>
        <v>0</v>
      </c>
    </row>
    <row r="3941" spans="1:29">
      <c r="A3941" s="83" t="str">
        <f t="shared" si="428"/>
        <v/>
      </c>
      <c r="B3941" s="83" t="str">
        <f t="shared" si="434"/>
        <v/>
      </c>
      <c r="U3941" s="83" t="str">
        <f t="shared" si="429"/>
        <v/>
      </c>
      <c r="V3941" s="83" t="str">
        <f t="shared" si="430"/>
        <v/>
      </c>
      <c r="AA3941" s="60">
        <f t="shared" si="431"/>
        <v>0</v>
      </c>
      <c r="AB3941" s="49">
        <f t="shared" si="432"/>
        <v>0</v>
      </c>
      <c r="AC3941" s="60">
        <f t="shared" si="433"/>
        <v>0</v>
      </c>
    </row>
    <row r="3942" spans="1:29">
      <c r="A3942" s="83" t="str">
        <f t="shared" si="428"/>
        <v/>
      </c>
      <c r="B3942" s="83" t="str">
        <f t="shared" si="434"/>
        <v/>
      </c>
      <c r="U3942" s="83" t="str">
        <f t="shared" si="429"/>
        <v/>
      </c>
      <c r="V3942" s="83" t="str">
        <f t="shared" si="430"/>
        <v/>
      </c>
      <c r="AA3942" s="60">
        <f t="shared" si="431"/>
        <v>0</v>
      </c>
      <c r="AB3942" s="49">
        <f t="shared" si="432"/>
        <v>0</v>
      </c>
      <c r="AC3942" s="60">
        <f t="shared" si="433"/>
        <v>0</v>
      </c>
    </row>
    <row r="3943" spans="1:29">
      <c r="A3943" s="83" t="str">
        <f t="shared" si="428"/>
        <v/>
      </c>
      <c r="B3943" s="83" t="str">
        <f t="shared" si="434"/>
        <v/>
      </c>
      <c r="U3943" s="83" t="str">
        <f t="shared" si="429"/>
        <v/>
      </c>
      <c r="V3943" s="83" t="str">
        <f t="shared" si="430"/>
        <v/>
      </c>
      <c r="AA3943" s="60">
        <f t="shared" si="431"/>
        <v>0</v>
      </c>
      <c r="AB3943" s="49">
        <f t="shared" si="432"/>
        <v>0</v>
      </c>
      <c r="AC3943" s="60">
        <f t="shared" si="433"/>
        <v>0</v>
      </c>
    </row>
    <row r="3944" spans="1:29">
      <c r="A3944" s="83" t="str">
        <f t="shared" si="428"/>
        <v/>
      </c>
      <c r="B3944" s="83" t="str">
        <f t="shared" si="434"/>
        <v/>
      </c>
      <c r="U3944" s="83" t="str">
        <f t="shared" si="429"/>
        <v/>
      </c>
      <c r="V3944" s="83" t="str">
        <f t="shared" si="430"/>
        <v/>
      </c>
      <c r="AA3944" s="60">
        <f t="shared" si="431"/>
        <v>0</v>
      </c>
      <c r="AB3944" s="49">
        <f t="shared" si="432"/>
        <v>0</v>
      </c>
      <c r="AC3944" s="60">
        <f t="shared" si="433"/>
        <v>0</v>
      </c>
    </row>
    <row r="3945" spans="1:29">
      <c r="A3945" s="83" t="str">
        <f t="shared" si="428"/>
        <v/>
      </c>
      <c r="B3945" s="83" t="str">
        <f t="shared" si="434"/>
        <v/>
      </c>
      <c r="U3945" s="83" t="str">
        <f t="shared" si="429"/>
        <v/>
      </c>
      <c r="V3945" s="83" t="str">
        <f t="shared" si="430"/>
        <v/>
      </c>
      <c r="AA3945" s="60">
        <f t="shared" si="431"/>
        <v>0</v>
      </c>
      <c r="AB3945" s="49">
        <f t="shared" si="432"/>
        <v>0</v>
      </c>
      <c r="AC3945" s="60">
        <f t="shared" si="433"/>
        <v>0</v>
      </c>
    </row>
    <row r="3946" spans="1:29">
      <c r="A3946" s="83" t="str">
        <f t="shared" si="428"/>
        <v/>
      </c>
      <c r="B3946" s="83" t="str">
        <f t="shared" si="434"/>
        <v/>
      </c>
      <c r="U3946" s="83" t="str">
        <f t="shared" si="429"/>
        <v/>
      </c>
      <c r="V3946" s="83" t="str">
        <f t="shared" si="430"/>
        <v/>
      </c>
      <c r="AA3946" s="60">
        <f t="shared" si="431"/>
        <v>0</v>
      </c>
      <c r="AB3946" s="49">
        <f t="shared" si="432"/>
        <v>0</v>
      </c>
      <c r="AC3946" s="60">
        <f t="shared" si="433"/>
        <v>0</v>
      </c>
    </row>
    <row r="3947" spans="1:29">
      <c r="A3947" s="83" t="str">
        <f t="shared" si="428"/>
        <v/>
      </c>
      <c r="B3947" s="83" t="str">
        <f t="shared" si="434"/>
        <v/>
      </c>
      <c r="U3947" s="83" t="str">
        <f t="shared" si="429"/>
        <v/>
      </c>
      <c r="V3947" s="83" t="str">
        <f t="shared" si="430"/>
        <v/>
      </c>
      <c r="AA3947" s="60">
        <f t="shared" si="431"/>
        <v>0</v>
      </c>
      <c r="AB3947" s="49">
        <f t="shared" si="432"/>
        <v>0</v>
      </c>
      <c r="AC3947" s="60">
        <f t="shared" si="433"/>
        <v>0</v>
      </c>
    </row>
    <row r="3948" spans="1:29">
      <c r="A3948" s="83" t="str">
        <f t="shared" si="428"/>
        <v/>
      </c>
      <c r="B3948" s="83" t="str">
        <f t="shared" si="434"/>
        <v/>
      </c>
      <c r="U3948" s="83" t="str">
        <f t="shared" si="429"/>
        <v/>
      </c>
      <c r="V3948" s="83" t="str">
        <f t="shared" si="430"/>
        <v/>
      </c>
      <c r="AA3948" s="60">
        <f t="shared" si="431"/>
        <v>0</v>
      </c>
      <c r="AB3948" s="49">
        <f t="shared" si="432"/>
        <v>0</v>
      </c>
      <c r="AC3948" s="60">
        <f t="shared" si="433"/>
        <v>0</v>
      </c>
    </row>
    <row r="3949" spans="1:29">
      <c r="A3949" s="83" t="str">
        <f t="shared" si="428"/>
        <v/>
      </c>
      <c r="B3949" s="83" t="str">
        <f t="shared" si="434"/>
        <v/>
      </c>
      <c r="U3949" s="83" t="str">
        <f t="shared" si="429"/>
        <v/>
      </c>
      <c r="V3949" s="83" t="str">
        <f t="shared" si="430"/>
        <v/>
      </c>
      <c r="AA3949" s="60">
        <f t="shared" si="431"/>
        <v>0</v>
      </c>
      <c r="AB3949" s="49">
        <f t="shared" si="432"/>
        <v>0</v>
      </c>
      <c r="AC3949" s="60">
        <f t="shared" si="433"/>
        <v>0</v>
      </c>
    </row>
    <row r="3950" spans="1:29">
      <c r="A3950" s="83" t="str">
        <f t="shared" si="428"/>
        <v/>
      </c>
      <c r="B3950" s="83" t="str">
        <f t="shared" si="434"/>
        <v/>
      </c>
      <c r="U3950" s="83" t="str">
        <f t="shared" si="429"/>
        <v/>
      </c>
      <c r="V3950" s="83" t="str">
        <f t="shared" si="430"/>
        <v/>
      </c>
      <c r="AA3950" s="60">
        <f t="shared" si="431"/>
        <v>0</v>
      </c>
      <c r="AB3950" s="49">
        <f t="shared" si="432"/>
        <v>0</v>
      </c>
      <c r="AC3950" s="60">
        <f t="shared" si="433"/>
        <v>0</v>
      </c>
    </row>
    <row r="3951" spans="1:29">
      <c r="A3951" s="83" t="str">
        <f t="shared" si="428"/>
        <v/>
      </c>
      <c r="B3951" s="83" t="str">
        <f t="shared" si="434"/>
        <v/>
      </c>
      <c r="U3951" s="83" t="str">
        <f t="shared" si="429"/>
        <v/>
      </c>
      <c r="V3951" s="83" t="str">
        <f t="shared" si="430"/>
        <v/>
      </c>
      <c r="AA3951" s="60">
        <f t="shared" si="431"/>
        <v>0</v>
      </c>
      <c r="AB3951" s="49">
        <f t="shared" si="432"/>
        <v>0</v>
      </c>
      <c r="AC3951" s="60">
        <f t="shared" si="433"/>
        <v>0</v>
      </c>
    </row>
    <row r="3952" spans="1:29">
      <c r="A3952" s="83" t="str">
        <f t="shared" si="428"/>
        <v/>
      </c>
      <c r="B3952" s="83" t="str">
        <f t="shared" si="434"/>
        <v/>
      </c>
      <c r="U3952" s="83" t="str">
        <f t="shared" si="429"/>
        <v/>
      </c>
      <c r="V3952" s="83" t="str">
        <f t="shared" si="430"/>
        <v/>
      </c>
      <c r="AA3952" s="60">
        <f t="shared" si="431"/>
        <v>0</v>
      </c>
      <c r="AB3952" s="49">
        <f t="shared" si="432"/>
        <v>0</v>
      </c>
      <c r="AC3952" s="60">
        <f t="shared" si="433"/>
        <v>0</v>
      </c>
    </row>
    <row r="3953" spans="1:29">
      <c r="A3953" s="83" t="str">
        <f t="shared" si="428"/>
        <v/>
      </c>
      <c r="B3953" s="83" t="str">
        <f t="shared" si="434"/>
        <v/>
      </c>
      <c r="U3953" s="83" t="str">
        <f t="shared" si="429"/>
        <v/>
      </c>
      <c r="V3953" s="83" t="str">
        <f t="shared" si="430"/>
        <v/>
      </c>
      <c r="AA3953" s="60">
        <f t="shared" si="431"/>
        <v>0</v>
      </c>
      <c r="AB3953" s="49">
        <f t="shared" si="432"/>
        <v>0</v>
      </c>
      <c r="AC3953" s="60">
        <f t="shared" si="433"/>
        <v>0</v>
      </c>
    </row>
    <row r="3954" spans="1:29">
      <c r="A3954" s="83" t="str">
        <f t="shared" si="428"/>
        <v/>
      </c>
      <c r="B3954" s="83" t="str">
        <f t="shared" si="434"/>
        <v/>
      </c>
      <c r="U3954" s="83" t="str">
        <f t="shared" si="429"/>
        <v/>
      </c>
      <c r="V3954" s="83" t="str">
        <f t="shared" si="430"/>
        <v/>
      </c>
      <c r="AA3954" s="60">
        <f t="shared" si="431"/>
        <v>0</v>
      </c>
      <c r="AB3954" s="49">
        <f t="shared" si="432"/>
        <v>0</v>
      </c>
      <c r="AC3954" s="60">
        <f t="shared" si="433"/>
        <v>0</v>
      </c>
    </row>
    <row r="3955" spans="1:29">
      <c r="A3955" s="83" t="str">
        <f t="shared" si="428"/>
        <v/>
      </c>
      <c r="B3955" s="83" t="str">
        <f t="shared" si="434"/>
        <v/>
      </c>
      <c r="U3955" s="83" t="str">
        <f t="shared" si="429"/>
        <v/>
      </c>
      <c r="V3955" s="83" t="str">
        <f t="shared" si="430"/>
        <v/>
      </c>
      <c r="AA3955" s="60">
        <f t="shared" si="431"/>
        <v>0</v>
      </c>
      <c r="AB3955" s="49">
        <f t="shared" si="432"/>
        <v>0</v>
      </c>
      <c r="AC3955" s="60">
        <f t="shared" si="433"/>
        <v>0</v>
      </c>
    </row>
    <row r="3956" spans="1:29">
      <c r="A3956" s="83" t="str">
        <f t="shared" si="428"/>
        <v/>
      </c>
      <c r="B3956" s="83" t="str">
        <f t="shared" si="434"/>
        <v/>
      </c>
      <c r="U3956" s="83" t="str">
        <f t="shared" si="429"/>
        <v/>
      </c>
      <c r="V3956" s="83" t="str">
        <f t="shared" si="430"/>
        <v/>
      </c>
      <c r="AA3956" s="60">
        <f t="shared" si="431"/>
        <v>0</v>
      </c>
      <c r="AB3956" s="49">
        <f t="shared" si="432"/>
        <v>0</v>
      </c>
      <c r="AC3956" s="60">
        <f t="shared" si="433"/>
        <v>0</v>
      </c>
    </row>
    <row r="3957" spans="1:29">
      <c r="A3957" s="83" t="str">
        <f t="shared" si="428"/>
        <v/>
      </c>
      <c r="B3957" s="83" t="str">
        <f t="shared" si="434"/>
        <v/>
      </c>
      <c r="U3957" s="83" t="str">
        <f t="shared" si="429"/>
        <v/>
      </c>
      <c r="V3957" s="83" t="str">
        <f t="shared" si="430"/>
        <v/>
      </c>
      <c r="AA3957" s="60">
        <f t="shared" si="431"/>
        <v>0</v>
      </c>
      <c r="AB3957" s="49">
        <f t="shared" si="432"/>
        <v>0</v>
      </c>
      <c r="AC3957" s="60">
        <f t="shared" si="433"/>
        <v>0</v>
      </c>
    </row>
    <row r="3958" spans="1:29">
      <c r="A3958" s="83" t="str">
        <f t="shared" si="428"/>
        <v/>
      </c>
      <c r="B3958" s="83" t="str">
        <f t="shared" si="434"/>
        <v/>
      </c>
      <c r="U3958" s="83" t="str">
        <f t="shared" si="429"/>
        <v/>
      </c>
      <c r="V3958" s="83" t="str">
        <f t="shared" si="430"/>
        <v/>
      </c>
      <c r="AA3958" s="60">
        <f t="shared" si="431"/>
        <v>0</v>
      </c>
      <c r="AB3958" s="49">
        <f t="shared" si="432"/>
        <v>0</v>
      </c>
      <c r="AC3958" s="60">
        <f t="shared" si="433"/>
        <v>0</v>
      </c>
    </row>
    <row r="3959" spans="1:29">
      <c r="A3959" s="83" t="str">
        <f t="shared" si="428"/>
        <v/>
      </c>
      <c r="B3959" s="83" t="str">
        <f t="shared" si="434"/>
        <v/>
      </c>
      <c r="U3959" s="83" t="str">
        <f t="shared" si="429"/>
        <v/>
      </c>
      <c r="V3959" s="83" t="str">
        <f t="shared" si="430"/>
        <v/>
      </c>
      <c r="AA3959" s="60">
        <f t="shared" si="431"/>
        <v>0</v>
      </c>
      <c r="AB3959" s="49">
        <f t="shared" si="432"/>
        <v>0</v>
      </c>
      <c r="AC3959" s="60">
        <f t="shared" si="433"/>
        <v>0</v>
      </c>
    </row>
    <row r="3960" spans="1:29">
      <c r="A3960" s="83" t="str">
        <f t="shared" si="428"/>
        <v/>
      </c>
      <c r="B3960" s="83" t="str">
        <f t="shared" si="434"/>
        <v/>
      </c>
      <c r="U3960" s="83" t="str">
        <f t="shared" si="429"/>
        <v/>
      </c>
      <c r="V3960" s="83" t="str">
        <f t="shared" si="430"/>
        <v/>
      </c>
      <c r="AA3960" s="60">
        <f t="shared" si="431"/>
        <v>0</v>
      </c>
      <c r="AB3960" s="49">
        <f t="shared" si="432"/>
        <v>0</v>
      </c>
      <c r="AC3960" s="60">
        <f t="shared" si="433"/>
        <v>0</v>
      </c>
    </row>
    <row r="3961" spans="1:29">
      <c r="A3961" s="83" t="str">
        <f t="shared" si="428"/>
        <v/>
      </c>
      <c r="B3961" s="83" t="str">
        <f t="shared" si="434"/>
        <v/>
      </c>
      <c r="U3961" s="83" t="str">
        <f t="shared" si="429"/>
        <v/>
      </c>
      <c r="V3961" s="83" t="str">
        <f t="shared" si="430"/>
        <v/>
      </c>
      <c r="AA3961" s="60">
        <f t="shared" si="431"/>
        <v>0</v>
      </c>
      <c r="AB3961" s="49">
        <f t="shared" si="432"/>
        <v>0</v>
      </c>
      <c r="AC3961" s="60">
        <f t="shared" si="433"/>
        <v>0</v>
      </c>
    </row>
    <row r="3962" spans="1:29">
      <c r="A3962" s="83" t="str">
        <f t="shared" si="428"/>
        <v/>
      </c>
      <c r="B3962" s="83" t="str">
        <f t="shared" si="434"/>
        <v/>
      </c>
      <c r="U3962" s="83" t="str">
        <f t="shared" si="429"/>
        <v/>
      </c>
      <c r="V3962" s="83" t="str">
        <f t="shared" si="430"/>
        <v/>
      </c>
      <c r="AA3962" s="60">
        <f t="shared" si="431"/>
        <v>0</v>
      </c>
      <c r="AB3962" s="49">
        <f t="shared" si="432"/>
        <v>0</v>
      </c>
      <c r="AC3962" s="60">
        <f t="shared" si="433"/>
        <v>0</v>
      </c>
    </row>
    <row r="3963" spans="1:29">
      <c r="A3963" s="83" t="str">
        <f t="shared" si="428"/>
        <v/>
      </c>
      <c r="B3963" s="83" t="str">
        <f t="shared" si="434"/>
        <v/>
      </c>
      <c r="U3963" s="83" t="str">
        <f t="shared" si="429"/>
        <v/>
      </c>
      <c r="V3963" s="83" t="str">
        <f t="shared" si="430"/>
        <v/>
      </c>
      <c r="AA3963" s="60">
        <f t="shared" si="431"/>
        <v>0</v>
      </c>
      <c r="AB3963" s="49">
        <f t="shared" si="432"/>
        <v>0</v>
      </c>
      <c r="AC3963" s="60">
        <f t="shared" si="433"/>
        <v>0</v>
      </c>
    </row>
    <row r="3964" spans="1:29">
      <c r="A3964" s="83" t="str">
        <f t="shared" si="428"/>
        <v/>
      </c>
      <c r="B3964" s="83" t="str">
        <f t="shared" si="434"/>
        <v/>
      </c>
      <c r="U3964" s="83" t="str">
        <f t="shared" si="429"/>
        <v/>
      </c>
      <c r="V3964" s="83" t="str">
        <f t="shared" si="430"/>
        <v/>
      </c>
      <c r="AA3964" s="60">
        <f t="shared" si="431"/>
        <v>0</v>
      </c>
      <c r="AB3964" s="49">
        <f t="shared" si="432"/>
        <v>0</v>
      </c>
      <c r="AC3964" s="60">
        <f t="shared" si="433"/>
        <v>0</v>
      </c>
    </row>
    <row r="3965" spans="1:29">
      <c r="A3965" s="83" t="str">
        <f t="shared" si="428"/>
        <v/>
      </c>
      <c r="B3965" s="83" t="str">
        <f t="shared" si="434"/>
        <v/>
      </c>
      <c r="U3965" s="83" t="str">
        <f t="shared" si="429"/>
        <v/>
      </c>
      <c r="V3965" s="83" t="str">
        <f t="shared" si="430"/>
        <v/>
      </c>
      <c r="AA3965" s="60">
        <f t="shared" si="431"/>
        <v>0</v>
      </c>
      <c r="AB3965" s="49">
        <f t="shared" si="432"/>
        <v>0</v>
      </c>
      <c r="AC3965" s="60">
        <f t="shared" si="433"/>
        <v>0</v>
      </c>
    </row>
    <row r="3966" spans="1:29">
      <c r="A3966" s="83" t="str">
        <f t="shared" si="428"/>
        <v/>
      </c>
      <c r="B3966" s="83" t="str">
        <f t="shared" si="434"/>
        <v/>
      </c>
      <c r="U3966" s="83" t="str">
        <f t="shared" si="429"/>
        <v/>
      </c>
      <c r="V3966" s="83" t="str">
        <f t="shared" si="430"/>
        <v/>
      </c>
      <c r="AA3966" s="60">
        <f t="shared" si="431"/>
        <v>0</v>
      </c>
      <c r="AB3966" s="49">
        <f t="shared" si="432"/>
        <v>0</v>
      </c>
      <c r="AC3966" s="60">
        <f t="shared" si="433"/>
        <v>0</v>
      </c>
    </row>
    <row r="3967" spans="1:29">
      <c r="A3967" s="83" t="str">
        <f t="shared" si="428"/>
        <v/>
      </c>
      <c r="B3967" s="83" t="str">
        <f t="shared" si="434"/>
        <v/>
      </c>
      <c r="U3967" s="83" t="str">
        <f t="shared" si="429"/>
        <v/>
      </c>
      <c r="V3967" s="83" t="str">
        <f t="shared" si="430"/>
        <v/>
      </c>
      <c r="AA3967" s="60">
        <f t="shared" si="431"/>
        <v>0</v>
      </c>
      <c r="AB3967" s="49">
        <f t="shared" si="432"/>
        <v>0</v>
      </c>
      <c r="AC3967" s="60">
        <f t="shared" si="433"/>
        <v>0</v>
      </c>
    </row>
    <row r="3968" spans="1:29">
      <c r="A3968" s="83" t="str">
        <f t="shared" si="428"/>
        <v/>
      </c>
      <c r="B3968" s="83" t="str">
        <f t="shared" si="434"/>
        <v/>
      </c>
      <c r="U3968" s="83" t="str">
        <f t="shared" si="429"/>
        <v/>
      </c>
      <c r="V3968" s="83" t="str">
        <f t="shared" si="430"/>
        <v/>
      </c>
      <c r="AA3968" s="60">
        <f t="shared" si="431"/>
        <v>0</v>
      </c>
      <c r="AB3968" s="49">
        <f t="shared" si="432"/>
        <v>0</v>
      </c>
      <c r="AC3968" s="60">
        <f t="shared" si="433"/>
        <v>0</v>
      </c>
    </row>
    <row r="3969" spans="1:29">
      <c r="A3969" s="83" t="str">
        <f t="shared" si="428"/>
        <v/>
      </c>
      <c r="B3969" s="83" t="str">
        <f t="shared" si="434"/>
        <v/>
      </c>
      <c r="U3969" s="83" t="str">
        <f t="shared" si="429"/>
        <v/>
      </c>
      <c r="V3969" s="83" t="str">
        <f t="shared" si="430"/>
        <v/>
      </c>
      <c r="AA3969" s="60">
        <f t="shared" si="431"/>
        <v>0</v>
      </c>
      <c r="AB3969" s="49">
        <f t="shared" si="432"/>
        <v>0</v>
      </c>
      <c r="AC3969" s="60">
        <f t="shared" si="433"/>
        <v>0</v>
      </c>
    </row>
    <row r="3970" spans="1:29">
      <c r="A3970" s="83" t="str">
        <f t="shared" si="428"/>
        <v/>
      </c>
      <c r="B3970" s="83" t="str">
        <f t="shared" si="434"/>
        <v/>
      </c>
      <c r="U3970" s="83" t="str">
        <f t="shared" si="429"/>
        <v/>
      </c>
      <c r="V3970" s="83" t="str">
        <f t="shared" si="430"/>
        <v/>
      </c>
      <c r="AA3970" s="60">
        <f t="shared" si="431"/>
        <v>0</v>
      </c>
      <c r="AB3970" s="49">
        <f t="shared" si="432"/>
        <v>0</v>
      </c>
      <c r="AC3970" s="60">
        <f t="shared" si="433"/>
        <v>0</v>
      </c>
    </row>
    <row r="3971" spans="1:29">
      <c r="A3971" s="83" t="str">
        <f t="shared" ref="A3971:A4034" si="435">IF(G3971&amp;Q3971&lt;&gt;"",U3971&amp;Q3971,"")</f>
        <v/>
      </c>
      <c r="B3971" s="83" t="str">
        <f t="shared" si="434"/>
        <v/>
      </c>
      <c r="U3971" s="83" t="str">
        <f t="shared" ref="U3971:U4034" si="436">IF(G3971&lt;&gt;"",IF(StyleSpaceSplit,IFERROR(IF(FIND(" ",G3971)&gt;=1,MID(G3971,1,FIND(" ",G3971)-1),G3971),G3971),G3971),"")</f>
        <v/>
      </c>
      <c r="V3971" s="83" t="str">
        <f t="shared" ref="V3971:V4034" si="437">IF(A3971&lt;&gt;"",IFERROR(IF(FIND(" ",G3971)&gt;=1,MID(G3971,FIND(" ",G3971)+1,LEN(G3971)),""),G3971),"")</f>
        <v/>
      </c>
      <c r="AA3971" s="60">
        <f t="shared" ref="AA3971:AA4034" si="438">IFERROR(VALUE(MID($C3971,1,2)),0)</f>
        <v>0</v>
      </c>
      <c r="AB3971" s="49">
        <f t="shared" ref="AB3971:AB4034" si="439">IFERROR(VALUE(MID($C3971,4,3)),0)</f>
        <v>0</v>
      </c>
      <c r="AC3971" s="60">
        <f t="shared" ref="AC3971:AC4034" si="440">VALUE(RIGHT("00"&amp;AA3971,2)&amp;RIGHT("000"&amp;AB3971,3))</f>
        <v>0</v>
      </c>
    </row>
    <row r="3972" spans="1:29">
      <c r="A3972" s="83" t="str">
        <f t="shared" si="435"/>
        <v/>
      </c>
      <c r="B3972" s="83" t="str">
        <f t="shared" si="434"/>
        <v/>
      </c>
      <c r="U3972" s="83" t="str">
        <f t="shared" si="436"/>
        <v/>
      </c>
      <c r="V3972" s="83" t="str">
        <f t="shared" si="437"/>
        <v/>
      </c>
      <c r="AA3972" s="60">
        <f t="shared" si="438"/>
        <v>0</v>
      </c>
      <c r="AB3972" s="49">
        <f t="shared" si="439"/>
        <v>0</v>
      </c>
      <c r="AC3972" s="60">
        <f t="shared" si="440"/>
        <v>0</v>
      </c>
    </row>
    <row r="3973" spans="1:29">
      <c r="A3973" s="83" t="str">
        <f t="shared" si="435"/>
        <v/>
      </c>
      <c r="B3973" s="83" t="str">
        <f t="shared" si="434"/>
        <v/>
      </c>
      <c r="U3973" s="83" t="str">
        <f t="shared" si="436"/>
        <v/>
      </c>
      <c r="V3973" s="83" t="str">
        <f t="shared" si="437"/>
        <v/>
      </c>
      <c r="AA3973" s="60">
        <f t="shared" si="438"/>
        <v>0</v>
      </c>
      <c r="AB3973" s="49">
        <f t="shared" si="439"/>
        <v>0</v>
      </c>
      <c r="AC3973" s="60">
        <f t="shared" si="440"/>
        <v>0</v>
      </c>
    </row>
    <row r="3974" spans="1:29">
      <c r="A3974" s="83" t="str">
        <f t="shared" si="435"/>
        <v/>
      </c>
      <c r="B3974" s="83" t="str">
        <f t="shared" si="434"/>
        <v/>
      </c>
      <c r="U3974" s="83" t="str">
        <f t="shared" si="436"/>
        <v/>
      </c>
      <c r="V3974" s="83" t="str">
        <f t="shared" si="437"/>
        <v/>
      </c>
      <c r="AA3974" s="60">
        <f t="shared" si="438"/>
        <v>0</v>
      </c>
      <c r="AB3974" s="49">
        <f t="shared" si="439"/>
        <v>0</v>
      </c>
      <c r="AC3974" s="60">
        <f t="shared" si="440"/>
        <v>0</v>
      </c>
    </row>
    <row r="3975" spans="1:29">
      <c r="A3975" s="83" t="str">
        <f t="shared" si="435"/>
        <v/>
      </c>
      <c r="B3975" s="83" t="str">
        <f t="shared" si="434"/>
        <v/>
      </c>
      <c r="U3975" s="83" t="str">
        <f t="shared" si="436"/>
        <v/>
      </c>
      <c r="V3975" s="83" t="str">
        <f t="shared" si="437"/>
        <v/>
      </c>
      <c r="AA3975" s="60">
        <f t="shared" si="438"/>
        <v>0</v>
      </c>
      <c r="AB3975" s="49">
        <f t="shared" si="439"/>
        <v>0</v>
      </c>
      <c r="AC3975" s="60">
        <f t="shared" si="440"/>
        <v>0</v>
      </c>
    </row>
    <row r="3976" spans="1:29">
      <c r="A3976" s="83" t="str">
        <f t="shared" si="435"/>
        <v/>
      </c>
      <c r="B3976" s="83" t="str">
        <f t="shared" si="434"/>
        <v/>
      </c>
      <c r="U3976" s="83" t="str">
        <f t="shared" si="436"/>
        <v/>
      </c>
      <c r="V3976" s="83" t="str">
        <f t="shared" si="437"/>
        <v/>
      </c>
      <c r="AA3976" s="60">
        <f t="shared" si="438"/>
        <v>0</v>
      </c>
      <c r="AB3976" s="49">
        <f t="shared" si="439"/>
        <v>0</v>
      </c>
      <c r="AC3976" s="60">
        <f t="shared" si="440"/>
        <v>0</v>
      </c>
    </row>
    <row r="3977" spans="1:29">
      <c r="A3977" s="83" t="str">
        <f t="shared" si="435"/>
        <v/>
      </c>
      <c r="B3977" s="83" t="str">
        <f t="shared" si="434"/>
        <v/>
      </c>
      <c r="U3977" s="83" t="str">
        <f t="shared" si="436"/>
        <v/>
      </c>
      <c r="V3977" s="83" t="str">
        <f t="shared" si="437"/>
        <v/>
      </c>
      <c r="AA3977" s="60">
        <f t="shared" si="438"/>
        <v>0</v>
      </c>
      <c r="AB3977" s="49">
        <f t="shared" si="439"/>
        <v>0</v>
      </c>
      <c r="AC3977" s="60">
        <f t="shared" si="440"/>
        <v>0</v>
      </c>
    </row>
    <row r="3978" spans="1:29">
      <c r="A3978" s="83" t="str">
        <f t="shared" si="435"/>
        <v/>
      </c>
      <c r="B3978" s="83" t="str">
        <f t="shared" si="434"/>
        <v/>
      </c>
      <c r="U3978" s="83" t="str">
        <f t="shared" si="436"/>
        <v/>
      </c>
      <c r="V3978" s="83" t="str">
        <f t="shared" si="437"/>
        <v/>
      </c>
      <c r="AA3978" s="60">
        <f t="shared" si="438"/>
        <v>0</v>
      </c>
      <c r="AB3978" s="49">
        <f t="shared" si="439"/>
        <v>0</v>
      </c>
      <c r="AC3978" s="60">
        <f t="shared" si="440"/>
        <v>0</v>
      </c>
    </row>
    <row r="3979" spans="1:29">
      <c r="A3979" s="83" t="str">
        <f t="shared" si="435"/>
        <v/>
      </c>
      <c r="B3979" s="83" t="str">
        <f t="shared" si="434"/>
        <v/>
      </c>
      <c r="U3979" s="83" t="str">
        <f t="shared" si="436"/>
        <v/>
      </c>
      <c r="V3979" s="83" t="str">
        <f t="shared" si="437"/>
        <v/>
      </c>
      <c r="AA3979" s="60">
        <f t="shared" si="438"/>
        <v>0</v>
      </c>
      <c r="AB3979" s="49">
        <f t="shared" si="439"/>
        <v>0</v>
      </c>
      <c r="AC3979" s="60">
        <f t="shared" si="440"/>
        <v>0</v>
      </c>
    </row>
    <row r="3980" spans="1:29">
      <c r="A3980" s="83" t="str">
        <f t="shared" si="435"/>
        <v/>
      </c>
      <c r="B3980" s="83" t="str">
        <f t="shared" si="434"/>
        <v/>
      </c>
      <c r="U3980" s="83" t="str">
        <f t="shared" si="436"/>
        <v/>
      </c>
      <c r="V3980" s="83" t="str">
        <f t="shared" si="437"/>
        <v/>
      </c>
      <c r="AA3980" s="60">
        <f t="shared" si="438"/>
        <v>0</v>
      </c>
      <c r="AB3980" s="49">
        <f t="shared" si="439"/>
        <v>0</v>
      </c>
      <c r="AC3980" s="60">
        <f t="shared" si="440"/>
        <v>0</v>
      </c>
    </row>
    <row r="3981" spans="1:29">
      <c r="A3981" s="83" t="str">
        <f t="shared" si="435"/>
        <v/>
      </c>
      <c r="B3981" s="83" t="str">
        <f t="shared" si="434"/>
        <v/>
      </c>
      <c r="U3981" s="83" t="str">
        <f t="shared" si="436"/>
        <v/>
      </c>
      <c r="V3981" s="83" t="str">
        <f t="shared" si="437"/>
        <v/>
      </c>
      <c r="AA3981" s="60">
        <f t="shared" si="438"/>
        <v>0</v>
      </c>
      <c r="AB3981" s="49">
        <f t="shared" si="439"/>
        <v>0</v>
      </c>
      <c r="AC3981" s="60">
        <f t="shared" si="440"/>
        <v>0</v>
      </c>
    </row>
    <row r="3982" spans="1:29">
      <c r="A3982" s="83" t="str">
        <f t="shared" si="435"/>
        <v/>
      </c>
      <c r="B3982" s="83" t="str">
        <f t="shared" si="434"/>
        <v/>
      </c>
      <c r="U3982" s="83" t="str">
        <f t="shared" si="436"/>
        <v/>
      </c>
      <c r="V3982" s="83" t="str">
        <f t="shared" si="437"/>
        <v/>
      </c>
      <c r="AA3982" s="60">
        <f t="shared" si="438"/>
        <v>0</v>
      </c>
      <c r="AB3982" s="49">
        <f t="shared" si="439"/>
        <v>0</v>
      </c>
      <c r="AC3982" s="60">
        <f t="shared" si="440"/>
        <v>0</v>
      </c>
    </row>
    <row r="3983" spans="1:29">
      <c r="A3983" s="83" t="str">
        <f t="shared" si="435"/>
        <v/>
      </c>
      <c r="B3983" s="83" t="str">
        <f t="shared" si="434"/>
        <v/>
      </c>
      <c r="U3983" s="83" t="str">
        <f t="shared" si="436"/>
        <v/>
      </c>
      <c r="V3983" s="83" t="str">
        <f t="shared" si="437"/>
        <v/>
      </c>
      <c r="AA3983" s="60">
        <f t="shared" si="438"/>
        <v>0</v>
      </c>
      <c r="AB3983" s="49">
        <f t="shared" si="439"/>
        <v>0</v>
      </c>
      <c r="AC3983" s="60">
        <f t="shared" si="440"/>
        <v>0</v>
      </c>
    </row>
    <row r="3984" spans="1:29">
      <c r="A3984" s="83" t="str">
        <f t="shared" si="435"/>
        <v/>
      </c>
      <c r="B3984" s="83" t="str">
        <f t="shared" si="434"/>
        <v/>
      </c>
      <c r="U3984" s="83" t="str">
        <f t="shared" si="436"/>
        <v/>
      </c>
      <c r="V3984" s="83" t="str">
        <f t="shared" si="437"/>
        <v/>
      </c>
      <c r="AA3984" s="60">
        <f t="shared" si="438"/>
        <v>0</v>
      </c>
      <c r="AB3984" s="49">
        <f t="shared" si="439"/>
        <v>0</v>
      </c>
      <c r="AC3984" s="60">
        <f t="shared" si="440"/>
        <v>0</v>
      </c>
    </row>
    <row r="3985" spans="1:29">
      <c r="A3985" s="83" t="str">
        <f t="shared" si="435"/>
        <v/>
      </c>
      <c r="B3985" s="83" t="str">
        <f t="shared" si="434"/>
        <v/>
      </c>
      <c r="U3985" s="83" t="str">
        <f t="shared" si="436"/>
        <v/>
      </c>
      <c r="V3985" s="83" t="str">
        <f t="shared" si="437"/>
        <v/>
      </c>
      <c r="AA3985" s="60">
        <f t="shared" si="438"/>
        <v>0</v>
      </c>
      <c r="AB3985" s="49">
        <f t="shared" si="439"/>
        <v>0</v>
      </c>
      <c r="AC3985" s="60">
        <f t="shared" si="440"/>
        <v>0</v>
      </c>
    </row>
    <row r="3986" spans="1:29">
      <c r="A3986" s="83" t="str">
        <f t="shared" si="435"/>
        <v/>
      </c>
      <c r="B3986" s="83" t="str">
        <f t="shared" si="434"/>
        <v/>
      </c>
      <c r="U3986" s="83" t="str">
        <f t="shared" si="436"/>
        <v/>
      </c>
      <c r="V3986" s="83" t="str">
        <f t="shared" si="437"/>
        <v/>
      </c>
      <c r="AA3986" s="60">
        <f t="shared" si="438"/>
        <v>0</v>
      </c>
      <c r="AB3986" s="49">
        <f t="shared" si="439"/>
        <v>0</v>
      </c>
      <c r="AC3986" s="60">
        <f t="shared" si="440"/>
        <v>0</v>
      </c>
    </row>
    <row r="3987" spans="1:29">
      <c r="A3987" s="83" t="str">
        <f t="shared" si="435"/>
        <v/>
      </c>
      <c r="B3987" s="83" t="str">
        <f t="shared" si="434"/>
        <v/>
      </c>
      <c r="U3987" s="83" t="str">
        <f t="shared" si="436"/>
        <v/>
      </c>
      <c r="V3987" s="83" t="str">
        <f t="shared" si="437"/>
        <v/>
      </c>
      <c r="AA3987" s="60">
        <f t="shared" si="438"/>
        <v>0</v>
      </c>
      <c r="AB3987" s="49">
        <f t="shared" si="439"/>
        <v>0</v>
      </c>
      <c r="AC3987" s="60">
        <f t="shared" si="440"/>
        <v>0</v>
      </c>
    </row>
    <row r="3988" spans="1:29">
      <c r="A3988" s="83" t="str">
        <f t="shared" si="435"/>
        <v/>
      </c>
      <c r="B3988" s="83" t="str">
        <f t="shared" si="434"/>
        <v/>
      </c>
      <c r="U3988" s="83" t="str">
        <f t="shared" si="436"/>
        <v/>
      </c>
      <c r="V3988" s="83" t="str">
        <f t="shared" si="437"/>
        <v/>
      </c>
      <c r="AA3988" s="60">
        <f t="shared" si="438"/>
        <v>0</v>
      </c>
      <c r="AB3988" s="49">
        <f t="shared" si="439"/>
        <v>0</v>
      </c>
      <c r="AC3988" s="60">
        <f t="shared" si="440"/>
        <v>0</v>
      </c>
    </row>
    <row r="3989" spans="1:29">
      <c r="A3989" s="83" t="str">
        <f t="shared" si="435"/>
        <v/>
      </c>
      <c r="B3989" s="83" t="str">
        <f t="shared" si="434"/>
        <v/>
      </c>
      <c r="U3989" s="83" t="str">
        <f t="shared" si="436"/>
        <v/>
      </c>
      <c r="V3989" s="83" t="str">
        <f t="shared" si="437"/>
        <v/>
      </c>
      <c r="AA3989" s="60">
        <f t="shared" si="438"/>
        <v>0</v>
      </c>
      <c r="AB3989" s="49">
        <f t="shared" si="439"/>
        <v>0</v>
      </c>
      <c r="AC3989" s="60">
        <f t="shared" si="440"/>
        <v>0</v>
      </c>
    </row>
    <row r="3990" spans="1:29">
      <c r="A3990" s="83" t="str">
        <f t="shared" si="435"/>
        <v/>
      </c>
      <c r="B3990" s="83" t="str">
        <f t="shared" si="434"/>
        <v/>
      </c>
      <c r="U3990" s="83" t="str">
        <f t="shared" si="436"/>
        <v/>
      </c>
      <c r="V3990" s="83" t="str">
        <f t="shared" si="437"/>
        <v/>
      </c>
      <c r="AA3990" s="60">
        <f t="shared" si="438"/>
        <v>0</v>
      </c>
      <c r="AB3990" s="49">
        <f t="shared" si="439"/>
        <v>0</v>
      </c>
      <c r="AC3990" s="60">
        <f t="shared" si="440"/>
        <v>0</v>
      </c>
    </row>
    <row r="3991" spans="1:29">
      <c r="A3991" s="83" t="str">
        <f t="shared" si="435"/>
        <v/>
      </c>
      <c r="B3991" s="83" t="str">
        <f t="shared" si="434"/>
        <v/>
      </c>
      <c r="U3991" s="83" t="str">
        <f t="shared" si="436"/>
        <v/>
      </c>
      <c r="V3991" s="83" t="str">
        <f t="shared" si="437"/>
        <v/>
      </c>
      <c r="AA3991" s="60">
        <f t="shared" si="438"/>
        <v>0</v>
      </c>
      <c r="AB3991" s="49">
        <f t="shared" si="439"/>
        <v>0</v>
      </c>
      <c r="AC3991" s="60">
        <f t="shared" si="440"/>
        <v>0</v>
      </c>
    </row>
    <row r="3992" spans="1:29">
      <c r="A3992" s="83" t="str">
        <f t="shared" si="435"/>
        <v/>
      </c>
      <c r="B3992" s="83" t="str">
        <f t="shared" si="434"/>
        <v/>
      </c>
      <c r="U3992" s="83" t="str">
        <f t="shared" si="436"/>
        <v/>
      </c>
      <c r="V3992" s="83" t="str">
        <f t="shared" si="437"/>
        <v/>
      </c>
      <c r="AA3992" s="60">
        <f t="shared" si="438"/>
        <v>0</v>
      </c>
      <c r="AB3992" s="49">
        <f t="shared" si="439"/>
        <v>0</v>
      </c>
      <c r="AC3992" s="60">
        <f t="shared" si="440"/>
        <v>0</v>
      </c>
    </row>
    <row r="3993" spans="1:29">
      <c r="A3993" s="83" t="str">
        <f t="shared" si="435"/>
        <v/>
      </c>
      <c r="B3993" s="83" t="str">
        <f t="shared" si="434"/>
        <v/>
      </c>
      <c r="U3993" s="83" t="str">
        <f t="shared" si="436"/>
        <v/>
      </c>
      <c r="V3993" s="83" t="str">
        <f t="shared" si="437"/>
        <v/>
      </c>
      <c r="AA3993" s="60">
        <f t="shared" si="438"/>
        <v>0</v>
      </c>
      <c r="AB3993" s="49">
        <f t="shared" si="439"/>
        <v>0</v>
      </c>
      <c r="AC3993" s="60">
        <f t="shared" si="440"/>
        <v>0</v>
      </c>
    </row>
    <row r="3994" spans="1:29">
      <c r="A3994" s="83" t="str">
        <f t="shared" si="435"/>
        <v/>
      </c>
      <c r="B3994" s="83" t="str">
        <f t="shared" si="434"/>
        <v/>
      </c>
      <c r="U3994" s="83" t="str">
        <f t="shared" si="436"/>
        <v/>
      </c>
      <c r="V3994" s="83" t="str">
        <f t="shared" si="437"/>
        <v/>
      </c>
      <c r="AA3994" s="60">
        <f t="shared" si="438"/>
        <v>0</v>
      </c>
      <c r="AB3994" s="49">
        <f t="shared" si="439"/>
        <v>0</v>
      </c>
      <c r="AC3994" s="60">
        <f t="shared" si="440"/>
        <v>0</v>
      </c>
    </row>
    <row r="3995" spans="1:29">
      <c r="A3995" s="83" t="str">
        <f t="shared" si="435"/>
        <v/>
      </c>
      <c r="B3995" s="83" t="str">
        <f t="shared" si="434"/>
        <v/>
      </c>
      <c r="U3995" s="83" t="str">
        <f t="shared" si="436"/>
        <v/>
      </c>
      <c r="V3995" s="83" t="str">
        <f t="shared" si="437"/>
        <v/>
      </c>
      <c r="AA3995" s="60">
        <f t="shared" si="438"/>
        <v>0</v>
      </c>
      <c r="AB3995" s="49">
        <f t="shared" si="439"/>
        <v>0</v>
      </c>
      <c r="AC3995" s="60">
        <f t="shared" si="440"/>
        <v>0</v>
      </c>
    </row>
    <row r="3996" spans="1:29">
      <c r="A3996" s="83" t="str">
        <f t="shared" si="435"/>
        <v/>
      </c>
      <c r="B3996" s="83" t="str">
        <f t="shared" si="434"/>
        <v/>
      </c>
      <c r="U3996" s="83" t="str">
        <f t="shared" si="436"/>
        <v/>
      </c>
      <c r="V3996" s="83" t="str">
        <f t="shared" si="437"/>
        <v/>
      </c>
      <c r="AA3996" s="60">
        <f t="shared" si="438"/>
        <v>0</v>
      </c>
      <c r="AB3996" s="49">
        <f t="shared" si="439"/>
        <v>0</v>
      </c>
      <c r="AC3996" s="60">
        <f t="shared" si="440"/>
        <v>0</v>
      </c>
    </row>
    <row r="3997" spans="1:29">
      <c r="A3997" s="83" t="str">
        <f t="shared" si="435"/>
        <v/>
      </c>
      <c r="B3997" s="83" t="str">
        <f t="shared" si="434"/>
        <v/>
      </c>
      <c r="U3997" s="83" t="str">
        <f t="shared" si="436"/>
        <v/>
      </c>
      <c r="V3997" s="83" t="str">
        <f t="shared" si="437"/>
        <v/>
      </c>
      <c r="AA3997" s="60">
        <f t="shared" si="438"/>
        <v>0</v>
      </c>
      <c r="AB3997" s="49">
        <f t="shared" si="439"/>
        <v>0</v>
      </c>
      <c r="AC3997" s="60">
        <f t="shared" si="440"/>
        <v>0</v>
      </c>
    </row>
    <row r="3998" spans="1:29">
      <c r="A3998" s="83" t="str">
        <f t="shared" si="435"/>
        <v/>
      </c>
      <c r="B3998" s="83" t="str">
        <f t="shared" si="434"/>
        <v/>
      </c>
      <c r="U3998" s="83" t="str">
        <f t="shared" si="436"/>
        <v/>
      </c>
      <c r="V3998" s="83" t="str">
        <f t="shared" si="437"/>
        <v/>
      </c>
      <c r="AA3998" s="60">
        <f t="shared" si="438"/>
        <v>0</v>
      </c>
      <c r="AB3998" s="49">
        <f t="shared" si="439"/>
        <v>0</v>
      </c>
      <c r="AC3998" s="60">
        <f t="shared" si="440"/>
        <v>0</v>
      </c>
    </row>
    <row r="3999" spans="1:29">
      <c r="A3999" s="83" t="str">
        <f t="shared" si="435"/>
        <v/>
      </c>
      <c r="B3999" s="83" t="str">
        <f t="shared" si="434"/>
        <v/>
      </c>
      <c r="U3999" s="83" t="str">
        <f t="shared" si="436"/>
        <v/>
      </c>
      <c r="V3999" s="83" t="str">
        <f t="shared" si="437"/>
        <v/>
      </c>
      <c r="AA3999" s="60">
        <f t="shared" si="438"/>
        <v>0</v>
      </c>
      <c r="AB3999" s="49">
        <f t="shared" si="439"/>
        <v>0</v>
      </c>
      <c r="AC3999" s="60">
        <f t="shared" si="440"/>
        <v>0</v>
      </c>
    </row>
    <row r="4000" spans="1:29">
      <c r="A4000" s="83" t="str">
        <f t="shared" si="435"/>
        <v/>
      </c>
      <c r="B4000" s="83" t="str">
        <f t="shared" si="434"/>
        <v/>
      </c>
      <c r="U4000" s="83" t="str">
        <f t="shared" si="436"/>
        <v/>
      </c>
      <c r="V4000" s="83" t="str">
        <f t="shared" si="437"/>
        <v/>
      </c>
      <c r="AA4000" s="60">
        <f t="shared" si="438"/>
        <v>0</v>
      </c>
      <c r="AB4000" s="49">
        <f t="shared" si="439"/>
        <v>0</v>
      </c>
      <c r="AC4000" s="60">
        <f t="shared" si="440"/>
        <v>0</v>
      </c>
    </row>
    <row r="4001" spans="1:29">
      <c r="A4001" s="83" t="str">
        <f t="shared" si="435"/>
        <v/>
      </c>
      <c r="B4001" s="83" t="str">
        <f t="shared" ref="B4001:B4064" si="441">IF(C4001&lt;&gt;"",LEFT(C4001,9),"")</f>
        <v/>
      </c>
      <c r="U4001" s="83" t="str">
        <f t="shared" si="436"/>
        <v/>
      </c>
      <c r="V4001" s="83" t="str">
        <f t="shared" si="437"/>
        <v/>
      </c>
      <c r="AA4001" s="60">
        <f t="shared" si="438"/>
        <v>0</v>
      </c>
      <c r="AB4001" s="49">
        <f t="shared" si="439"/>
        <v>0</v>
      </c>
      <c r="AC4001" s="60">
        <f t="shared" si="440"/>
        <v>0</v>
      </c>
    </row>
    <row r="4002" spans="1:29">
      <c r="A4002" s="83" t="str">
        <f t="shared" si="435"/>
        <v/>
      </c>
      <c r="B4002" s="83" t="str">
        <f t="shared" si="441"/>
        <v/>
      </c>
      <c r="U4002" s="83" t="str">
        <f t="shared" si="436"/>
        <v/>
      </c>
      <c r="V4002" s="83" t="str">
        <f t="shared" si="437"/>
        <v/>
      </c>
      <c r="AA4002" s="60">
        <f t="shared" si="438"/>
        <v>0</v>
      </c>
      <c r="AB4002" s="49">
        <f t="shared" si="439"/>
        <v>0</v>
      </c>
      <c r="AC4002" s="60">
        <f t="shared" si="440"/>
        <v>0</v>
      </c>
    </row>
    <row r="4003" spans="1:29">
      <c r="A4003" s="83" t="str">
        <f t="shared" si="435"/>
        <v/>
      </c>
      <c r="B4003" s="83" t="str">
        <f t="shared" si="441"/>
        <v/>
      </c>
      <c r="U4003" s="83" t="str">
        <f t="shared" si="436"/>
        <v/>
      </c>
      <c r="V4003" s="83" t="str">
        <f t="shared" si="437"/>
        <v/>
      </c>
      <c r="AA4003" s="60">
        <f t="shared" si="438"/>
        <v>0</v>
      </c>
      <c r="AB4003" s="49">
        <f t="shared" si="439"/>
        <v>0</v>
      </c>
      <c r="AC4003" s="60">
        <f t="shared" si="440"/>
        <v>0</v>
      </c>
    </row>
    <row r="4004" spans="1:29">
      <c r="A4004" s="83" t="str">
        <f t="shared" si="435"/>
        <v/>
      </c>
      <c r="B4004" s="83" t="str">
        <f t="shared" si="441"/>
        <v/>
      </c>
      <c r="U4004" s="83" t="str">
        <f t="shared" si="436"/>
        <v/>
      </c>
      <c r="V4004" s="83" t="str">
        <f t="shared" si="437"/>
        <v/>
      </c>
      <c r="AA4004" s="60">
        <f t="shared" si="438"/>
        <v>0</v>
      </c>
      <c r="AB4004" s="49">
        <f t="shared" si="439"/>
        <v>0</v>
      </c>
      <c r="AC4004" s="60">
        <f t="shared" si="440"/>
        <v>0</v>
      </c>
    </row>
    <row r="4005" spans="1:29">
      <c r="A4005" s="83" t="str">
        <f t="shared" si="435"/>
        <v/>
      </c>
      <c r="B4005" s="83" t="str">
        <f t="shared" si="441"/>
        <v/>
      </c>
      <c r="U4005" s="83" t="str">
        <f t="shared" si="436"/>
        <v/>
      </c>
      <c r="V4005" s="83" t="str">
        <f t="shared" si="437"/>
        <v/>
      </c>
      <c r="AA4005" s="60">
        <f t="shared" si="438"/>
        <v>0</v>
      </c>
      <c r="AB4005" s="49">
        <f t="shared" si="439"/>
        <v>0</v>
      </c>
      <c r="AC4005" s="60">
        <f t="shared" si="440"/>
        <v>0</v>
      </c>
    </row>
    <row r="4006" spans="1:29">
      <c r="A4006" s="83" t="str">
        <f t="shared" si="435"/>
        <v/>
      </c>
      <c r="B4006" s="83" t="str">
        <f t="shared" si="441"/>
        <v/>
      </c>
      <c r="U4006" s="83" t="str">
        <f t="shared" si="436"/>
        <v/>
      </c>
      <c r="V4006" s="83" t="str">
        <f t="shared" si="437"/>
        <v/>
      </c>
      <c r="AA4006" s="60">
        <f t="shared" si="438"/>
        <v>0</v>
      </c>
      <c r="AB4006" s="49">
        <f t="shared" si="439"/>
        <v>0</v>
      </c>
      <c r="AC4006" s="60">
        <f t="shared" si="440"/>
        <v>0</v>
      </c>
    </row>
    <row r="4007" spans="1:29">
      <c r="A4007" s="83" t="str">
        <f t="shared" si="435"/>
        <v/>
      </c>
      <c r="B4007" s="83" t="str">
        <f t="shared" si="441"/>
        <v/>
      </c>
      <c r="U4007" s="83" t="str">
        <f t="shared" si="436"/>
        <v/>
      </c>
      <c r="V4007" s="83" t="str">
        <f t="shared" si="437"/>
        <v/>
      </c>
      <c r="AA4007" s="60">
        <f t="shared" si="438"/>
        <v>0</v>
      </c>
      <c r="AB4007" s="49">
        <f t="shared" si="439"/>
        <v>0</v>
      </c>
      <c r="AC4007" s="60">
        <f t="shared" si="440"/>
        <v>0</v>
      </c>
    </row>
    <row r="4008" spans="1:29">
      <c r="A4008" s="83" t="str">
        <f t="shared" si="435"/>
        <v/>
      </c>
      <c r="B4008" s="83" t="str">
        <f t="shared" si="441"/>
        <v/>
      </c>
      <c r="U4008" s="83" t="str">
        <f t="shared" si="436"/>
        <v/>
      </c>
      <c r="V4008" s="83" t="str">
        <f t="shared" si="437"/>
        <v/>
      </c>
      <c r="AA4008" s="60">
        <f t="shared" si="438"/>
        <v>0</v>
      </c>
      <c r="AB4008" s="49">
        <f t="shared" si="439"/>
        <v>0</v>
      </c>
      <c r="AC4008" s="60">
        <f t="shared" si="440"/>
        <v>0</v>
      </c>
    </row>
    <row r="4009" spans="1:29">
      <c r="A4009" s="83" t="str">
        <f t="shared" si="435"/>
        <v/>
      </c>
      <c r="B4009" s="83" t="str">
        <f t="shared" si="441"/>
        <v/>
      </c>
      <c r="U4009" s="83" t="str">
        <f t="shared" si="436"/>
        <v/>
      </c>
      <c r="V4009" s="83" t="str">
        <f t="shared" si="437"/>
        <v/>
      </c>
      <c r="AA4009" s="60">
        <f t="shared" si="438"/>
        <v>0</v>
      </c>
      <c r="AB4009" s="49">
        <f t="shared" si="439"/>
        <v>0</v>
      </c>
      <c r="AC4009" s="60">
        <f t="shared" si="440"/>
        <v>0</v>
      </c>
    </row>
    <row r="4010" spans="1:29">
      <c r="A4010" s="83" t="str">
        <f t="shared" si="435"/>
        <v/>
      </c>
      <c r="B4010" s="83" t="str">
        <f t="shared" si="441"/>
        <v/>
      </c>
      <c r="U4010" s="83" t="str">
        <f t="shared" si="436"/>
        <v/>
      </c>
      <c r="V4010" s="83" t="str">
        <f t="shared" si="437"/>
        <v/>
      </c>
      <c r="AA4010" s="60">
        <f t="shared" si="438"/>
        <v>0</v>
      </c>
      <c r="AB4010" s="49">
        <f t="shared" si="439"/>
        <v>0</v>
      </c>
      <c r="AC4010" s="60">
        <f t="shared" si="440"/>
        <v>0</v>
      </c>
    </row>
    <row r="4011" spans="1:29">
      <c r="A4011" s="83" t="str">
        <f t="shared" si="435"/>
        <v/>
      </c>
      <c r="B4011" s="83" t="str">
        <f t="shared" si="441"/>
        <v/>
      </c>
      <c r="U4011" s="83" t="str">
        <f t="shared" si="436"/>
        <v/>
      </c>
      <c r="V4011" s="83" t="str">
        <f t="shared" si="437"/>
        <v/>
      </c>
      <c r="AA4011" s="60">
        <f t="shared" si="438"/>
        <v>0</v>
      </c>
      <c r="AB4011" s="49">
        <f t="shared" si="439"/>
        <v>0</v>
      </c>
      <c r="AC4011" s="60">
        <f t="shared" si="440"/>
        <v>0</v>
      </c>
    </row>
    <row r="4012" spans="1:29">
      <c r="A4012" s="83" t="str">
        <f t="shared" si="435"/>
        <v/>
      </c>
      <c r="B4012" s="83" t="str">
        <f t="shared" si="441"/>
        <v/>
      </c>
      <c r="U4012" s="83" t="str">
        <f t="shared" si="436"/>
        <v/>
      </c>
      <c r="V4012" s="83" t="str">
        <f t="shared" si="437"/>
        <v/>
      </c>
      <c r="AA4012" s="60">
        <f t="shared" si="438"/>
        <v>0</v>
      </c>
      <c r="AB4012" s="49">
        <f t="shared" si="439"/>
        <v>0</v>
      </c>
      <c r="AC4012" s="60">
        <f t="shared" si="440"/>
        <v>0</v>
      </c>
    </row>
    <row r="4013" spans="1:29">
      <c r="A4013" s="83" t="str">
        <f t="shared" si="435"/>
        <v/>
      </c>
      <c r="B4013" s="83" t="str">
        <f t="shared" si="441"/>
        <v/>
      </c>
      <c r="U4013" s="83" t="str">
        <f t="shared" si="436"/>
        <v/>
      </c>
      <c r="V4013" s="83" t="str">
        <f t="shared" si="437"/>
        <v/>
      </c>
      <c r="AA4013" s="60">
        <f t="shared" si="438"/>
        <v>0</v>
      </c>
      <c r="AB4013" s="49">
        <f t="shared" si="439"/>
        <v>0</v>
      </c>
      <c r="AC4013" s="60">
        <f t="shared" si="440"/>
        <v>0</v>
      </c>
    </row>
    <row r="4014" spans="1:29">
      <c r="A4014" s="83" t="str">
        <f t="shared" si="435"/>
        <v/>
      </c>
      <c r="B4014" s="83" t="str">
        <f t="shared" si="441"/>
        <v/>
      </c>
      <c r="U4014" s="83" t="str">
        <f t="shared" si="436"/>
        <v/>
      </c>
      <c r="V4014" s="83" t="str">
        <f t="shared" si="437"/>
        <v/>
      </c>
      <c r="AA4014" s="60">
        <f t="shared" si="438"/>
        <v>0</v>
      </c>
      <c r="AB4014" s="49">
        <f t="shared" si="439"/>
        <v>0</v>
      </c>
      <c r="AC4014" s="60">
        <f t="shared" si="440"/>
        <v>0</v>
      </c>
    </row>
    <row r="4015" spans="1:29">
      <c r="A4015" s="83" t="str">
        <f t="shared" si="435"/>
        <v/>
      </c>
      <c r="B4015" s="83" t="str">
        <f t="shared" si="441"/>
        <v/>
      </c>
      <c r="U4015" s="83" t="str">
        <f t="shared" si="436"/>
        <v/>
      </c>
      <c r="V4015" s="83" t="str">
        <f t="shared" si="437"/>
        <v/>
      </c>
      <c r="AA4015" s="60">
        <f t="shared" si="438"/>
        <v>0</v>
      </c>
      <c r="AB4015" s="49">
        <f t="shared" si="439"/>
        <v>0</v>
      </c>
      <c r="AC4015" s="60">
        <f t="shared" si="440"/>
        <v>0</v>
      </c>
    </row>
    <row r="4016" spans="1:29">
      <c r="A4016" s="83" t="str">
        <f t="shared" si="435"/>
        <v/>
      </c>
      <c r="B4016" s="83" t="str">
        <f t="shared" si="441"/>
        <v/>
      </c>
      <c r="U4016" s="83" t="str">
        <f t="shared" si="436"/>
        <v/>
      </c>
      <c r="V4016" s="83" t="str">
        <f t="shared" si="437"/>
        <v/>
      </c>
      <c r="AA4016" s="60">
        <f t="shared" si="438"/>
        <v>0</v>
      </c>
      <c r="AB4016" s="49">
        <f t="shared" si="439"/>
        <v>0</v>
      </c>
      <c r="AC4016" s="60">
        <f t="shared" si="440"/>
        <v>0</v>
      </c>
    </row>
    <row r="4017" spans="1:29">
      <c r="A4017" s="83" t="str">
        <f t="shared" si="435"/>
        <v/>
      </c>
      <c r="B4017" s="83" t="str">
        <f t="shared" si="441"/>
        <v/>
      </c>
      <c r="U4017" s="83" t="str">
        <f t="shared" si="436"/>
        <v/>
      </c>
      <c r="V4017" s="83" t="str">
        <f t="shared" si="437"/>
        <v/>
      </c>
      <c r="AA4017" s="60">
        <f t="shared" si="438"/>
        <v>0</v>
      </c>
      <c r="AB4017" s="49">
        <f t="shared" si="439"/>
        <v>0</v>
      </c>
      <c r="AC4017" s="60">
        <f t="shared" si="440"/>
        <v>0</v>
      </c>
    </row>
    <row r="4018" spans="1:29">
      <c r="A4018" s="83" t="str">
        <f t="shared" si="435"/>
        <v/>
      </c>
      <c r="B4018" s="83" t="str">
        <f t="shared" si="441"/>
        <v/>
      </c>
      <c r="U4018" s="83" t="str">
        <f t="shared" si="436"/>
        <v/>
      </c>
      <c r="V4018" s="83" t="str">
        <f t="shared" si="437"/>
        <v/>
      </c>
      <c r="AA4018" s="60">
        <f t="shared" si="438"/>
        <v>0</v>
      </c>
      <c r="AB4018" s="49">
        <f t="shared" si="439"/>
        <v>0</v>
      </c>
      <c r="AC4018" s="60">
        <f t="shared" si="440"/>
        <v>0</v>
      </c>
    </row>
    <row r="4019" spans="1:29">
      <c r="A4019" s="83" t="str">
        <f t="shared" si="435"/>
        <v/>
      </c>
      <c r="B4019" s="83" t="str">
        <f t="shared" si="441"/>
        <v/>
      </c>
      <c r="U4019" s="83" t="str">
        <f t="shared" si="436"/>
        <v/>
      </c>
      <c r="V4019" s="83" t="str">
        <f t="shared" si="437"/>
        <v/>
      </c>
      <c r="AA4019" s="60">
        <f t="shared" si="438"/>
        <v>0</v>
      </c>
      <c r="AB4019" s="49">
        <f t="shared" si="439"/>
        <v>0</v>
      </c>
      <c r="AC4019" s="60">
        <f t="shared" si="440"/>
        <v>0</v>
      </c>
    </row>
    <row r="4020" spans="1:29">
      <c r="A4020" s="83" t="str">
        <f t="shared" si="435"/>
        <v/>
      </c>
      <c r="B4020" s="83" t="str">
        <f t="shared" si="441"/>
        <v/>
      </c>
      <c r="U4020" s="83" t="str">
        <f t="shared" si="436"/>
        <v/>
      </c>
      <c r="V4020" s="83" t="str">
        <f t="shared" si="437"/>
        <v/>
      </c>
      <c r="AA4020" s="60">
        <f t="shared" si="438"/>
        <v>0</v>
      </c>
      <c r="AB4020" s="49">
        <f t="shared" si="439"/>
        <v>0</v>
      </c>
      <c r="AC4020" s="60">
        <f t="shared" si="440"/>
        <v>0</v>
      </c>
    </row>
    <row r="4021" spans="1:29">
      <c r="A4021" s="83" t="str">
        <f t="shared" si="435"/>
        <v/>
      </c>
      <c r="B4021" s="83" t="str">
        <f t="shared" si="441"/>
        <v/>
      </c>
      <c r="U4021" s="83" t="str">
        <f t="shared" si="436"/>
        <v/>
      </c>
      <c r="V4021" s="83" t="str">
        <f t="shared" si="437"/>
        <v/>
      </c>
      <c r="AA4021" s="60">
        <f t="shared" si="438"/>
        <v>0</v>
      </c>
      <c r="AB4021" s="49">
        <f t="shared" si="439"/>
        <v>0</v>
      </c>
      <c r="AC4021" s="60">
        <f t="shared" si="440"/>
        <v>0</v>
      </c>
    </row>
    <row r="4022" spans="1:29">
      <c r="A4022" s="83" t="str">
        <f t="shared" si="435"/>
        <v/>
      </c>
      <c r="B4022" s="83" t="str">
        <f t="shared" si="441"/>
        <v/>
      </c>
      <c r="U4022" s="83" t="str">
        <f t="shared" si="436"/>
        <v/>
      </c>
      <c r="V4022" s="83" t="str">
        <f t="shared" si="437"/>
        <v/>
      </c>
      <c r="AA4022" s="60">
        <f t="shared" si="438"/>
        <v>0</v>
      </c>
      <c r="AB4022" s="49">
        <f t="shared" si="439"/>
        <v>0</v>
      </c>
      <c r="AC4022" s="60">
        <f t="shared" si="440"/>
        <v>0</v>
      </c>
    </row>
    <row r="4023" spans="1:29">
      <c r="A4023" s="83" t="str">
        <f t="shared" si="435"/>
        <v/>
      </c>
      <c r="B4023" s="83" t="str">
        <f t="shared" si="441"/>
        <v/>
      </c>
      <c r="U4023" s="83" t="str">
        <f t="shared" si="436"/>
        <v/>
      </c>
      <c r="V4023" s="83" t="str">
        <f t="shared" si="437"/>
        <v/>
      </c>
      <c r="AA4023" s="60">
        <f t="shared" si="438"/>
        <v>0</v>
      </c>
      <c r="AB4023" s="49">
        <f t="shared" si="439"/>
        <v>0</v>
      </c>
      <c r="AC4023" s="60">
        <f t="shared" si="440"/>
        <v>0</v>
      </c>
    </row>
    <row r="4024" spans="1:29">
      <c r="A4024" s="83" t="str">
        <f t="shared" si="435"/>
        <v/>
      </c>
      <c r="B4024" s="83" t="str">
        <f t="shared" si="441"/>
        <v/>
      </c>
      <c r="U4024" s="83" t="str">
        <f t="shared" si="436"/>
        <v/>
      </c>
      <c r="V4024" s="83" t="str">
        <f t="shared" si="437"/>
        <v/>
      </c>
      <c r="AA4024" s="60">
        <f t="shared" si="438"/>
        <v>0</v>
      </c>
      <c r="AB4024" s="49">
        <f t="shared" si="439"/>
        <v>0</v>
      </c>
      <c r="AC4024" s="60">
        <f t="shared" si="440"/>
        <v>0</v>
      </c>
    </row>
    <row r="4025" spans="1:29">
      <c r="A4025" s="83" t="str">
        <f t="shared" si="435"/>
        <v/>
      </c>
      <c r="B4025" s="83" t="str">
        <f t="shared" si="441"/>
        <v/>
      </c>
      <c r="U4025" s="83" t="str">
        <f t="shared" si="436"/>
        <v/>
      </c>
      <c r="V4025" s="83" t="str">
        <f t="shared" si="437"/>
        <v/>
      </c>
      <c r="AA4025" s="60">
        <f t="shared" si="438"/>
        <v>0</v>
      </c>
      <c r="AB4025" s="49">
        <f t="shared" si="439"/>
        <v>0</v>
      </c>
      <c r="AC4025" s="60">
        <f t="shared" si="440"/>
        <v>0</v>
      </c>
    </row>
    <row r="4026" spans="1:29">
      <c r="A4026" s="83" t="str">
        <f t="shared" si="435"/>
        <v/>
      </c>
      <c r="B4026" s="83" t="str">
        <f t="shared" si="441"/>
        <v/>
      </c>
      <c r="U4026" s="83" t="str">
        <f t="shared" si="436"/>
        <v/>
      </c>
      <c r="V4026" s="83" t="str">
        <f t="shared" si="437"/>
        <v/>
      </c>
      <c r="AA4026" s="60">
        <f t="shared" si="438"/>
        <v>0</v>
      </c>
      <c r="AB4026" s="49">
        <f t="shared" si="439"/>
        <v>0</v>
      </c>
      <c r="AC4026" s="60">
        <f t="shared" si="440"/>
        <v>0</v>
      </c>
    </row>
    <row r="4027" spans="1:29">
      <c r="A4027" s="83" t="str">
        <f t="shared" si="435"/>
        <v/>
      </c>
      <c r="B4027" s="83" t="str">
        <f t="shared" si="441"/>
        <v/>
      </c>
      <c r="U4027" s="83" t="str">
        <f t="shared" si="436"/>
        <v/>
      </c>
      <c r="V4027" s="83" t="str">
        <f t="shared" si="437"/>
        <v/>
      </c>
      <c r="AA4027" s="60">
        <f t="shared" si="438"/>
        <v>0</v>
      </c>
      <c r="AB4027" s="49">
        <f t="shared" si="439"/>
        <v>0</v>
      </c>
      <c r="AC4027" s="60">
        <f t="shared" si="440"/>
        <v>0</v>
      </c>
    </row>
    <row r="4028" spans="1:29">
      <c r="A4028" s="83" t="str">
        <f t="shared" si="435"/>
        <v/>
      </c>
      <c r="B4028" s="83" t="str">
        <f t="shared" si="441"/>
        <v/>
      </c>
      <c r="U4028" s="83" t="str">
        <f t="shared" si="436"/>
        <v/>
      </c>
      <c r="V4028" s="83" t="str">
        <f t="shared" si="437"/>
        <v/>
      </c>
      <c r="AA4028" s="60">
        <f t="shared" si="438"/>
        <v>0</v>
      </c>
      <c r="AB4028" s="49">
        <f t="shared" si="439"/>
        <v>0</v>
      </c>
      <c r="AC4028" s="60">
        <f t="shared" si="440"/>
        <v>0</v>
      </c>
    </row>
    <row r="4029" spans="1:29">
      <c r="A4029" s="83" t="str">
        <f t="shared" si="435"/>
        <v/>
      </c>
      <c r="B4029" s="83" t="str">
        <f t="shared" si="441"/>
        <v/>
      </c>
      <c r="U4029" s="83" t="str">
        <f t="shared" si="436"/>
        <v/>
      </c>
      <c r="V4029" s="83" t="str">
        <f t="shared" si="437"/>
        <v/>
      </c>
      <c r="AA4029" s="60">
        <f t="shared" si="438"/>
        <v>0</v>
      </c>
      <c r="AB4029" s="49">
        <f t="shared" si="439"/>
        <v>0</v>
      </c>
      <c r="AC4029" s="60">
        <f t="shared" si="440"/>
        <v>0</v>
      </c>
    </row>
    <row r="4030" spans="1:29">
      <c r="A4030" s="83" t="str">
        <f t="shared" si="435"/>
        <v/>
      </c>
      <c r="B4030" s="83" t="str">
        <f t="shared" si="441"/>
        <v/>
      </c>
      <c r="U4030" s="83" t="str">
        <f t="shared" si="436"/>
        <v/>
      </c>
      <c r="V4030" s="83" t="str">
        <f t="shared" si="437"/>
        <v/>
      </c>
      <c r="AA4030" s="60">
        <f t="shared" si="438"/>
        <v>0</v>
      </c>
      <c r="AB4030" s="49">
        <f t="shared" si="439"/>
        <v>0</v>
      </c>
      <c r="AC4030" s="60">
        <f t="shared" si="440"/>
        <v>0</v>
      </c>
    </row>
    <row r="4031" spans="1:29">
      <c r="A4031" s="83" t="str">
        <f t="shared" si="435"/>
        <v/>
      </c>
      <c r="B4031" s="83" t="str">
        <f t="shared" si="441"/>
        <v/>
      </c>
      <c r="U4031" s="83" t="str">
        <f t="shared" si="436"/>
        <v/>
      </c>
      <c r="V4031" s="83" t="str">
        <f t="shared" si="437"/>
        <v/>
      </c>
      <c r="AA4031" s="60">
        <f t="shared" si="438"/>
        <v>0</v>
      </c>
      <c r="AB4031" s="49">
        <f t="shared" si="439"/>
        <v>0</v>
      </c>
      <c r="AC4031" s="60">
        <f t="shared" si="440"/>
        <v>0</v>
      </c>
    </row>
    <row r="4032" spans="1:29">
      <c r="A4032" s="83" t="str">
        <f t="shared" si="435"/>
        <v/>
      </c>
      <c r="B4032" s="83" t="str">
        <f t="shared" si="441"/>
        <v/>
      </c>
      <c r="U4032" s="83" t="str">
        <f t="shared" si="436"/>
        <v/>
      </c>
      <c r="V4032" s="83" t="str">
        <f t="shared" si="437"/>
        <v/>
      </c>
      <c r="AA4032" s="60">
        <f t="shared" si="438"/>
        <v>0</v>
      </c>
      <c r="AB4032" s="49">
        <f t="shared" si="439"/>
        <v>0</v>
      </c>
      <c r="AC4032" s="60">
        <f t="shared" si="440"/>
        <v>0</v>
      </c>
    </row>
    <row r="4033" spans="1:29">
      <c r="A4033" s="83" t="str">
        <f t="shared" si="435"/>
        <v/>
      </c>
      <c r="B4033" s="83" t="str">
        <f t="shared" si="441"/>
        <v/>
      </c>
      <c r="U4033" s="83" t="str">
        <f t="shared" si="436"/>
        <v/>
      </c>
      <c r="V4033" s="83" t="str">
        <f t="shared" si="437"/>
        <v/>
      </c>
      <c r="AA4033" s="60">
        <f t="shared" si="438"/>
        <v>0</v>
      </c>
      <c r="AB4033" s="49">
        <f t="shared" si="439"/>
        <v>0</v>
      </c>
      <c r="AC4033" s="60">
        <f t="shared" si="440"/>
        <v>0</v>
      </c>
    </row>
    <row r="4034" spans="1:29">
      <c r="A4034" s="83" t="str">
        <f t="shared" si="435"/>
        <v/>
      </c>
      <c r="B4034" s="83" t="str">
        <f t="shared" si="441"/>
        <v/>
      </c>
      <c r="U4034" s="83" t="str">
        <f t="shared" si="436"/>
        <v/>
      </c>
      <c r="V4034" s="83" t="str">
        <f t="shared" si="437"/>
        <v/>
      </c>
      <c r="AA4034" s="60">
        <f t="shared" si="438"/>
        <v>0</v>
      </c>
      <c r="AB4034" s="49">
        <f t="shared" si="439"/>
        <v>0</v>
      </c>
      <c r="AC4034" s="60">
        <f t="shared" si="440"/>
        <v>0</v>
      </c>
    </row>
    <row r="4035" spans="1:29">
      <c r="A4035" s="83" t="str">
        <f t="shared" ref="A4035:A4098" si="442">IF(G4035&amp;Q4035&lt;&gt;"",U4035&amp;Q4035,"")</f>
        <v/>
      </c>
      <c r="B4035" s="83" t="str">
        <f t="shared" si="441"/>
        <v/>
      </c>
      <c r="U4035" s="83" t="str">
        <f t="shared" ref="U4035:U4098" si="443">IF(G4035&lt;&gt;"",IF(StyleSpaceSplit,IFERROR(IF(FIND(" ",G4035)&gt;=1,MID(G4035,1,FIND(" ",G4035)-1),G4035),G4035),G4035),"")</f>
        <v/>
      </c>
      <c r="V4035" s="83" t="str">
        <f t="shared" ref="V4035:V4098" si="444">IF(A4035&lt;&gt;"",IFERROR(IF(FIND(" ",G4035)&gt;=1,MID(G4035,FIND(" ",G4035)+1,LEN(G4035)),""),G4035),"")</f>
        <v/>
      </c>
      <c r="AA4035" s="60">
        <f t="shared" ref="AA4035:AA4098" si="445">IFERROR(VALUE(MID($C4035,1,2)),0)</f>
        <v>0</v>
      </c>
      <c r="AB4035" s="49">
        <f t="shared" ref="AB4035:AB4098" si="446">IFERROR(VALUE(MID($C4035,4,3)),0)</f>
        <v>0</v>
      </c>
      <c r="AC4035" s="60">
        <f t="shared" ref="AC4035:AC4098" si="447">VALUE(RIGHT("00"&amp;AA4035,2)&amp;RIGHT("000"&amp;AB4035,3))</f>
        <v>0</v>
      </c>
    </row>
    <row r="4036" spans="1:29">
      <c r="A4036" s="83" t="str">
        <f t="shared" si="442"/>
        <v/>
      </c>
      <c r="B4036" s="83" t="str">
        <f t="shared" si="441"/>
        <v/>
      </c>
      <c r="U4036" s="83" t="str">
        <f t="shared" si="443"/>
        <v/>
      </c>
      <c r="V4036" s="83" t="str">
        <f t="shared" si="444"/>
        <v/>
      </c>
      <c r="AA4036" s="60">
        <f t="shared" si="445"/>
        <v>0</v>
      </c>
      <c r="AB4036" s="49">
        <f t="shared" si="446"/>
        <v>0</v>
      </c>
      <c r="AC4036" s="60">
        <f t="shared" si="447"/>
        <v>0</v>
      </c>
    </row>
    <row r="4037" spans="1:29">
      <c r="A4037" s="83" t="str">
        <f t="shared" si="442"/>
        <v/>
      </c>
      <c r="B4037" s="83" t="str">
        <f t="shared" si="441"/>
        <v/>
      </c>
      <c r="U4037" s="83" t="str">
        <f t="shared" si="443"/>
        <v/>
      </c>
      <c r="V4037" s="83" t="str">
        <f t="shared" si="444"/>
        <v/>
      </c>
      <c r="AA4037" s="60">
        <f t="shared" si="445"/>
        <v>0</v>
      </c>
      <c r="AB4037" s="49">
        <f t="shared" si="446"/>
        <v>0</v>
      </c>
      <c r="AC4037" s="60">
        <f t="shared" si="447"/>
        <v>0</v>
      </c>
    </row>
    <row r="4038" spans="1:29">
      <c r="A4038" s="83" t="str">
        <f t="shared" si="442"/>
        <v/>
      </c>
      <c r="B4038" s="83" t="str">
        <f t="shared" si="441"/>
        <v/>
      </c>
      <c r="U4038" s="83" t="str">
        <f t="shared" si="443"/>
        <v/>
      </c>
      <c r="V4038" s="83" t="str">
        <f t="shared" si="444"/>
        <v/>
      </c>
      <c r="AA4038" s="60">
        <f t="shared" si="445"/>
        <v>0</v>
      </c>
      <c r="AB4038" s="49">
        <f t="shared" si="446"/>
        <v>0</v>
      </c>
      <c r="AC4038" s="60">
        <f t="shared" si="447"/>
        <v>0</v>
      </c>
    </row>
    <row r="4039" spans="1:29">
      <c r="A4039" s="83" t="str">
        <f t="shared" si="442"/>
        <v/>
      </c>
      <c r="B4039" s="83" t="str">
        <f t="shared" si="441"/>
        <v/>
      </c>
      <c r="U4039" s="83" t="str">
        <f t="shared" si="443"/>
        <v/>
      </c>
      <c r="V4039" s="83" t="str">
        <f t="shared" si="444"/>
        <v/>
      </c>
      <c r="AA4039" s="60">
        <f t="shared" si="445"/>
        <v>0</v>
      </c>
      <c r="AB4039" s="49">
        <f t="shared" si="446"/>
        <v>0</v>
      </c>
      <c r="AC4039" s="60">
        <f t="shared" si="447"/>
        <v>0</v>
      </c>
    </row>
    <row r="4040" spans="1:29">
      <c r="A4040" s="83" t="str">
        <f t="shared" si="442"/>
        <v/>
      </c>
      <c r="B4040" s="83" t="str">
        <f t="shared" si="441"/>
        <v/>
      </c>
      <c r="U4040" s="83" t="str">
        <f t="shared" si="443"/>
        <v/>
      </c>
      <c r="V4040" s="83" t="str">
        <f t="shared" si="444"/>
        <v/>
      </c>
      <c r="AA4040" s="60">
        <f t="shared" si="445"/>
        <v>0</v>
      </c>
      <c r="AB4040" s="49">
        <f t="shared" si="446"/>
        <v>0</v>
      </c>
      <c r="AC4040" s="60">
        <f t="shared" si="447"/>
        <v>0</v>
      </c>
    </row>
    <row r="4041" spans="1:29">
      <c r="A4041" s="83" t="str">
        <f t="shared" si="442"/>
        <v/>
      </c>
      <c r="B4041" s="83" t="str">
        <f t="shared" si="441"/>
        <v/>
      </c>
      <c r="U4041" s="83" t="str">
        <f t="shared" si="443"/>
        <v/>
      </c>
      <c r="V4041" s="83" t="str">
        <f t="shared" si="444"/>
        <v/>
      </c>
      <c r="AA4041" s="60">
        <f t="shared" si="445"/>
        <v>0</v>
      </c>
      <c r="AB4041" s="49">
        <f t="shared" si="446"/>
        <v>0</v>
      </c>
      <c r="AC4041" s="60">
        <f t="shared" si="447"/>
        <v>0</v>
      </c>
    </row>
    <row r="4042" spans="1:29">
      <c r="A4042" s="83" t="str">
        <f t="shared" si="442"/>
        <v/>
      </c>
      <c r="B4042" s="83" t="str">
        <f t="shared" si="441"/>
        <v/>
      </c>
      <c r="U4042" s="83" t="str">
        <f t="shared" si="443"/>
        <v/>
      </c>
      <c r="V4042" s="83" t="str">
        <f t="shared" si="444"/>
        <v/>
      </c>
      <c r="AA4042" s="60">
        <f t="shared" si="445"/>
        <v>0</v>
      </c>
      <c r="AB4042" s="49">
        <f t="shared" si="446"/>
        <v>0</v>
      </c>
      <c r="AC4042" s="60">
        <f t="shared" si="447"/>
        <v>0</v>
      </c>
    </row>
    <row r="4043" spans="1:29">
      <c r="A4043" s="83" t="str">
        <f t="shared" si="442"/>
        <v/>
      </c>
      <c r="B4043" s="83" t="str">
        <f t="shared" si="441"/>
        <v/>
      </c>
      <c r="U4043" s="83" t="str">
        <f t="shared" si="443"/>
        <v/>
      </c>
      <c r="V4043" s="83" t="str">
        <f t="shared" si="444"/>
        <v/>
      </c>
      <c r="AA4043" s="60">
        <f t="shared" si="445"/>
        <v>0</v>
      </c>
      <c r="AB4043" s="49">
        <f t="shared" si="446"/>
        <v>0</v>
      </c>
      <c r="AC4043" s="60">
        <f t="shared" si="447"/>
        <v>0</v>
      </c>
    </row>
    <row r="4044" spans="1:29">
      <c r="A4044" s="83" t="str">
        <f t="shared" si="442"/>
        <v/>
      </c>
      <c r="B4044" s="83" t="str">
        <f t="shared" si="441"/>
        <v/>
      </c>
      <c r="U4044" s="83" t="str">
        <f t="shared" si="443"/>
        <v/>
      </c>
      <c r="V4044" s="83" t="str">
        <f t="shared" si="444"/>
        <v/>
      </c>
      <c r="AA4044" s="60">
        <f t="shared" si="445"/>
        <v>0</v>
      </c>
      <c r="AB4044" s="49">
        <f t="shared" si="446"/>
        <v>0</v>
      </c>
      <c r="AC4044" s="60">
        <f t="shared" si="447"/>
        <v>0</v>
      </c>
    </row>
    <row r="4045" spans="1:29">
      <c r="A4045" s="83" t="str">
        <f t="shared" si="442"/>
        <v/>
      </c>
      <c r="B4045" s="83" t="str">
        <f t="shared" si="441"/>
        <v/>
      </c>
      <c r="U4045" s="83" t="str">
        <f t="shared" si="443"/>
        <v/>
      </c>
      <c r="V4045" s="83" t="str">
        <f t="shared" si="444"/>
        <v/>
      </c>
      <c r="AA4045" s="60">
        <f t="shared" si="445"/>
        <v>0</v>
      </c>
      <c r="AB4045" s="49">
        <f t="shared" si="446"/>
        <v>0</v>
      </c>
      <c r="AC4045" s="60">
        <f t="shared" si="447"/>
        <v>0</v>
      </c>
    </row>
    <row r="4046" spans="1:29">
      <c r="A4046" s="83" t="str">
        <f t="shared" si="442"/>
        <v/>
      </c>
      <c r="B4046" s="83" t="str">
        <f t="shared" si="441"/>
        <v/>
      </c>
      <c r="U4046" s="83" t="str">
        <f t="shared" si="443"/>
        <v/>
      </c>
      <c r="V4046" s="83" t="str">
        <f t="shared" si="444"/>
        <v/>
      </c>
      <c r="AA4046" s="60">
        <f t="shared" si="445"/>
        <v>0</v>
      </c>
      <c r="AB4046" s="49">
        <f t="shared" si="446"/>
        <v>0</v>
      </c>
      <c r="AC4046" s="60">
        <f t="shared" si="447"/>
        <v>0</v>
      </c>
    </row>
    <row r="4047" spans="1:29">
      <c r="A4047" s="83" t="str">
        <f t="shared" si="442"/>
        <v/>
      </c>
      <c r="B4047" s="83" t="str">
        <f t="shared" si="441"/>
        <v/>
      </c>
      <c r="U4047" s="83" t="str">
        <f t="shared" si="443"/>
        <v/>
      </c>
      <c r="V4047" s="83" t="str">
        <f t="shared" si="444"/>
        <v/>
      </c>
      <c r="AA4047" s="60">
        <f t="shared" si="445"/>
        <v>0</v>
      </c>
      <c r="AB4047" s="49">
        <f t="shared" si="446"/>
        <v>0</v>
      </c>
      <c r="AC4047" s="60">
        <f t="shared" si="447"/>
        <v>0</v>
      </c>
    </row>
    <row r="4048" spans="1:29">
      <c r="A4048" s="83" t="str">
        <f t="shared" si="442"/>
        <v/>
      </c>
      <c r="B4048" s="83" t="str">
        <f t="shared" si="441"/>
        <v/>
      </c>
      <c r="U4048" s="83" t="str">
        <f t="shared" si="443"/>
        <v/>
      </c>
      <c r="V4048" s="83" t="str">
        <f t="shared" si="444"/>
        <v/>
      </c>
      <c r="AA4048" s="60">
        <f t="shared" si="445"/>
        <v>0</v>
      </c>
      <c r="AB4048" s="49">
        <f t="shared" si="446"/>
        <v>0</v>
      </c>
      <c r="AC4048" s="60">
        <f t="shared" si="447"/>
        <v>0</v>
      </c>
    </row>
    <row r="4049" spans="1:29">
      <c r="A4049" s="83" t="str">
        <f t="shared" si="442"/>
        <v/>
      </c>
      <c r="B4049" s="83" t="str">
        <f t="shared" si="441"/>
        <v/>
      </c>
      <c r="U4049" s="83" t="str">
        <f t="shared" si="443"/>
        <v/>
      </c>
      <c r="V4049" s="83" t="str">
        <f t="shared" si="444"/>
        <v/>
      </c>
      <c r="AA4049" s="60">
        <f t="shared" si="445"/>
        <v>0</v>
      </c>
      <c r="AB4049" s="49">
        <f t="shared" si="446"/>
        <v>0</v>
      </c>
      <c r="AC4049" s="60">
        <f t="shared" si="447"/>
        <v>0</v>
      </c>
    </row>
    <row r="4050" spans="1:29">
      <c r="A4050" s="83" t="str">
        <f t="shared" si="442"/>
        <v/>
      </c>
      <c r="B4050" s="83" t="str">
        <f t="shared" si="441"/>
        <v/>
      </c>
      <c r="U4050" s="83" t="str">
        <f t="shared" si="443"/>
        <v/>
      </c>
      <c r="V4050" s="83" t="str">
        <f t="shared" si="444"/>
        <v/>
      </c>
      <c r="AA4050" s="60">
        <f t="shared" si="445"/>
        <v>0</v>
      </c>
      <c r="AB4050" s="49">
        <f t="shared" si="446"/>
        <v>0</v>
      </c>
      <c r="AC4050" s="60">
        <f t="shared" si="447"/>
        <v>0</v>
      </c>
    </row>
    <row r="4051" spans="1:29">
      <c r="A4051" s="83" t="str">
        <f t="shared" si="442"/>
        <v/>
      </c>
      <c r="B4051" s="83" t="str">
        <f t="shared" si="441"/>
        <v/>
      </c>
      <c r="U4051" s="83" t="str">
        <f t="shared" si="443"/>
        <v/>
      </c>
      <c r="V4051" s="83" t="str">
        <f t="shared" si="444"/>
        <v/>
      </c>
      <c r="AA4051" s="60">
        <f t="shared" si="445"/>
        <v>0</v>
      </c>
      <c r="AB4051" s="49">
        <f t="shared" si="446"/>
        <v>0</v>
      </c>
      <c r="AC4051" s="60">
        <f t="shared" si="447"/>
        <v>0</v>
      </c>
    </row>
    <row r="4052" spans="1:29">
      <c r="A4052" s="83" t="str">
        <f t="shared" si="442"/>
        <v/>
      </c>
      <c r="B4052" s="83" t="str">
        <f t="shared" si="441"/>
        <v/>
      </c>
      <c r="U4052" s="83" t="str">
        <f t="shared" si="443"/>
        <v/>
      </c>
      <c r="V4052" s="83" t="str">
        <f t="shared" si="444"/>
        <v/>
      </c>
      <c r="AA4052" s="60">
        <f t="shared" si="445"/>
        <v>0</v>
      </c>
      <c r="AB4052" s="49">
        <f t="shared" si="446"/>
        <v>0</v>
      </c>
      <c r="AC4052" s="60">
        <f t="shared" si="447"/>
        <v>0</v>
      </c>
    </row>
    <row r="4053" spans="1:29">
      <c r="A4053" s="83" t="str">
        <f t="shared" si="442"/>
        <v/>
      </c>
      <c r="B4053" s="83" t="str">
        <f t="shared" si="441"/>
        <v/>
      </c>
      <c r="U4053" s="83" t="str">
        <f t="shared" si="443"/>
        <v/>
      </c>
      <c r="V4053" s="83" t="str">
        <f t="shared" si="444"/>
        <v/>
      </c>
      <c r="AA4053" s="60">
        <f t="shared" si="445"/>
        <v>0</v>
      </c>
      <c r="AB4053" s="49">
        <f t="shared" si="446"/>
        <v>0</v>
      </c>
      <c r="AC4053" s="60">
        <f t="shared" si="447"/>
        <v>0</v>
      </c>
    </row>
    <row r="4054" spans="1:29">
      <c r="A4054" s="83" t="str">
        <f t="shared" si="442"/>
        <v/>
      </c>
      <c r="B4054" s="83" t="str">
        <f t="shared" si="441"/>
        <v/>
      </c>
      <c r="U4054" s="83" t="str">
        <f t="shared" si="443"/>
        <v/>
      </c>
      <c r="V4054" s="83" t="str">
        <f t="shared" si="444"/>
        <v/>
      </c>
      <c r="AA4054" s="60">
        <f t="shared" si="445"/>
        <v>0</v>
      </c>
      <c r="AB4054" s="49">
        <f t="shared" si="446"/>
        <v>0</v>
      </c>
      <c r="AC4054" s="60">
        <f t="shared" si="447"/>
        <v>0</v>
      </c>
    </row>
    <row r="4055" spans="1:29">
      <c r="A4055" s="83" t="str">
        <f t="shared" si="442"/>
        <v/>
      </c>
      <c r="B4055" s="83" t="str">
        <f t="shared" si="441"/>
        <v/>
      </c>
      <c r="U4055" s="83" t="str">
        <f t="shared" si="443"/>
        <v/>
      </c>
      <c r="V4055" s="83" t="str">
        <f t="shared" si="444"/>
        <v/>
      </c>
      <c r="AA4055" s="60">
        <f t="shared" si="445"/>
        <v>0</v>
      </c>
      <c r="AB4055" s="49">
        <f t="shared" si="446"/>
        <v>0</v>
      </c>
      <c r="AC4055" s="60">
        <f t="shared" si="447"/>
        <v>0</v>
      </c>
    </row>
    <row r="4056" spans="1:29">
      <c r="A4056" s="83" t="str">
        <f t="shared" si="442"/>
        <v/>
      </c>
      <c r="B4056" s="83" t="str">
        <f t="shared" si="441"/>
        <v/>
      </c>
      <c r="U4056" s="83" t="str">
        <f t="shared" si="443"/>
        <v/>
      </c>
      <c r="V4056" s="83" t="str">
        <f t="shared" si="444"/>
        <v/>
      </c>
      <c r="AA4056" s="60">
        <f t="shared" si="445"/>
        <v>0</v>
      </c>
      <c r="AB4056" s="49">
        <f t="shared" si="446"/>
        <v>0</v>
      </c>
      <c r="AC4056" s="60">
        <f t="shared" si="447"/>
        <v>0</v>
      </c>
    </row>
    <row r="4057" spans="1:29">
      <c r="A4057" s="83" t="str">
        <f t="shared" si="442"/>
        <v/>
      </c>
      <c r="B4057" s="83" t="str">
        <f t="shared" si="441"/>
        <v/>
      </c>
      <c r="U4057" s="83" t="str">
        <f t="shared" si="443"/>
        <v/>
      </c>
      <c r="V4057" s="83" t="str">
        <f t="shared" si="444"/>
        <v/>
      </c>
      <c r="AA4057" s="60">
        <f t="shared" si="445"/>
        <v>0</v>
      </c>
      <c r="AB4057" s="49">
        <f t="shared" si="446"/>
        <v>0</v>
      </c>
      <c r="AC4057" s="60">
        <f t="shared" si="447"/>
        <v>0</v>
      </c>
    </row>
    <row r="4058" spans="1:29">
      <c r="A4058" s="83" t="str">
        <f t="shared" si="442"/>
        <v/>
      </c>
      <c r="B4058" s="83" t="str">
        <f t="shared" si="441"/>
        <v/>
      </c>
      <c r="U4058" s="83" t="str">
        <f t="shared" si="443"/>
        <v/>
      </c>
      <c r="V4058" s="83" t="str">
        <f t="shared" si="444"/>
        <v/>
      </c>
      <c r="AA4058" s="60">
        <f t="shared" si="445"/>
        <v>0</v>
      </c>
      <c r="AB4058" s="49">
        <f t="shared" si="446"/>
        <v>0</v>
      </c>
      <c r="AC4058" s="60">
        <f t="shared" si="447"/>
        <v>0</v>
      </c>
    </row>
    <row r="4059" spans="1:29">
      <c r="A4059" s="83" t="str">
        <f t="shared" si="442"/>
        <v/>
      </c>
      <c r="B4059" s="83" t="str">
        <f t="shared" si="441"/>
        <v/>
      </c>
      <c r="U4059" s="83" t="str">
        <f t="shared" si="443"/>
        <v/>
      </c>
      <c r="V4059" s="83" t="str">
        <f t="shared" si="444"/>
        <v/>
      </c>
      <c r="AA4059" s="60">
        <f t="shared" si="445"/>
        <v>0</v>
      </c>
      <c r="AB4059" s="49">
        <f t="shared" si="446"/>
        <v>0</v>
      </c>
      <c r="AC4059" s="60">
        <f t="shared" si="447"/>
        <v>0</v>
      </c>
    </row>
    <row r="4060" spans="1:29">
      <c r="A4060" s="83" t="str">
        <f t="shared" si="442"/>
        <v/>
      </c>
      <c r="B4060" s="83" t="str">
        <f t="shared" si="441"/>
        <v/>
      </c>
      <c r="U4060" s="83" t="str">
        <f t="shared" si="443"/>
        <v/>
      </c>
      <c r="V4060" s="83" t="str">
        <f t="shared" si="444"/>
        <v/>
      </c>
      <c r="AA4060" s="60">
        <f t="shared" si="445"/>
        <v>0</v>
      </c>
      <c r="AB4060" s="49">
        <f t="shared" si="446"/>
        <v>0</v>
      </c>
      <c r="AC4060" s="60">
        <f t="shared" si="447"/>
        <v>0</v>
      </c>
    </row>
    <row r="4061" spans="1:29">
      <c r="A4061" s="83" t="str">
        <f t="shared" si="442"/>
        <v/>
      </c>
      <c r="B4061" s="83" t="str">
        <f t="shared" si="441"/>
        <v/>
      </c>
      <c r="U4061" s="83" t="str">
        <f t="shared" si="443"/>
        <v/>
      </c>
      <c r="V4061" s="83" t="str">
        <f t="shared" si="444"/>
        <v/>
      </c>
      <c r="AA4061" s="60">
        <f t="shared" si="445"/>
        <v>0</v>
      </c>
      <c r="AB4061" s="49">
        <f t="shared" si="446"/>
        <v>0</v>
      </c>
      <c r="AC4061" s="60">
        <f t="shared" si="447"/>
        <v>0</v>
      </c>
    </row>
    <row r="4062" spans="1:29">
      <c r="A4062" s="83" t="str">
        <f t="shared" si="442"/>
        <v/>
      </c>
      <c r="B4062" s="83" t="str">
        <f t="shared" si="441"/>
        <v/>
      </c>
      <c r="U4062" s="83" t="str">
        <f t="shared" si="443"/>
        <v/>
      </c>
      <c r="V4062" s="83" t="str">
        <f t="shared" si="444"/>
        <v/>
      </c>
      <c r="AA4062" s="60">
        <f t="shared" si="445"/>
        <v>0</v>
      </c>
      <c r="AB4062" s="49">
        <f t="shared" si="446"/>
        <v>0</v>
      </c>
      <c r="AC4062" s="60">
        <f t="shared" si="447"/>
        <v>0</v>
      </c>
    </row>
    <row r="4063" spans="1:29">
      <c r="A4063" s="83" t="str">
        <f t="shared" si="442"/>
        <v/>
      </c>
      <c r="B4063" s="83" t="str">
        <f t="shared" si="441"/>
        <v/>
      </c>
      <c r="U4063" s="83" t="str">
        <f t="shared" si="443"/>
        <v/>
      </c>
      <c r="V4063" s="83" t="str">
        <f t="shared" si="444"/>
        <v/>
      </c>
      <c r="AA4063" s="60">
        <f t="shared" si="445"/>
        <v>0</v>
      </c>
      <c r="AB4063" s="49">
        <f t="shared" si="446"/>
        <v>0</v>
      </c>
      <c r="AC4063" s="60">
        <f t="shared" si="447"/>
        <v>0</v>
      </c>
    </row>
    <row r="4064" spans="1:29">
      <c r="A4064" s="83" t="str">
        <f t="shared" si="442"/>
        <v/>
      </c>
      <c r="B4064" s="83" t="str">
        <f t="shared" si="441"/>
        <v/>
      </c>
      <c r="U4064" s="83" t="str">
        <f t="shared" si="443"/>
        <v/>
      </c>
      <c r="V4064" s="83" t="str">
        <f t="shared" si="444"/>
        <v/>
      </c>
      <c r="AA4064" s="60">
        <f t="shared" si="445"/>
        <v>0</v>
      </c>
      <c r="AB4064" s="49">
        <f t="shared" si="446"/>
        <v>0</v>
      </c>
      <c r="AC4064" s="60">
        <f t="shared" si="447"/>
        <v>0</v>
      </c>
    </row>
    <row r="4065" spans="1:29">
      <c r="A4065" s="83" t="str">
        <f t="shared" si="442"/>
        <v/>
      </c>
      <c r="B4065" s="83" t="str">
        <f t="shared" ref="B4065:B4128" si="448">IF(C4065&lt;&gt;"",LEFT(C4065,9),"")</f>
        <v/>
      </c>
      <c r="U4065" s="83" t="str">
        <f t="shared" si="443"/>
        <v/>
      </c>
      <c r="V4065" s="83" t="str">
        <f t="shared" si="444"/>
        <v/>
      </c>
      <c r="AA4065" s="60">
        <f t="shared" si="445"/>
        <v>0</v>
      </c>
      <c r="AB4065" s="49">
        <f t="shared" si="446"/>
        <v>0</v>
      </c>
      <c r="AC4065" s="60">
        <f t="shared" si="447"/>
        <v>0</v>
      </c>
    </row>
    <row r="4066" spans="1:29">
      <c r="A4066" s="83" t="str">
        <f t="shared" si="442"/>
        <v/>
      </c>
      <c r="B4066" s="83" t="str">
        <f t="shared" si="448"/>
        <v/>
      </c>
      <c r="U4066" s="83" t="str">
        <f t="shared" si="443"/>
        <v/>
      </c>
      <c r="V4066" s="83" t="str">
        <f t="shared" si="444"/>
        <v/>
      </c>
      <c r="AA4066" s="60">
        <f t="shared" si="445"/>
        <v>0</v>
      </c>
      <c r="AB4066" s="49">
        <f t="shared" si="446"/>
        <v>0</v>
      </c>
      <c r="AC4066" s="60">
        <f t="shared" si="447"/>
        <v>0</v>
      </c>
    </row>
    <row r="4067" spans="1:29">
      <c r="A4067" s="83" t="str">
        <f t="shared" si="442"/>
        <v/>
      </c>
      <c r="B4067" s="83" t="str">
        <f t="shared" si="448"/>
        <v/>
      </c>
      <c r="U4067" s="83" t="str">
        <f t="shared" si="443"/>
        <v/>
      </c>
      <c r="V4067" s="83" t="str">
        <f t="shared" si="444"/>
        <v/>
      </c>
      <c r="AA4067" s="60">
        <f t="shared" si="445"/>
        <v>0</v>
      </c>
      <c r="AB4067" s="49">
        <f t="shared" si="446"/>
        <v>0</v>
      </c>
      <c r="AC4067" s="60">
        <f t="shared" si="447"/>
        <v>0</v>
      </c>
    </row>
    <row r="4068" spans="1:29">
      <c r="A4068" s="83" t="str">
        <f t="shared" si="442"/>
        <v/>
      </c>
      <c r="B4068" s="83" t="str">
        <f t="shared" si="448"/>
        <v/>
      </c>
      <c r="U4068" s="83" t="str">
        <f t="shared" si="443"/>
        <v/>
      </c>
      <c r="V4068" s="83" t="str">
        <f t="shared" si="444"/>
        <v/>
      </c>
      <c r="AA4068" s="60">
        <f t="shared" si="445"/>
        <v>0</v>
      </c>
      <c r="AB4068" s="49">
        <f t="shared" si="446"/>
        <v>0</v>
      </c>
      <c r="AC4068" s="60">
        <f t="shared" si="447"/>
        <v>0</v>
      </c>
    </row>
    <row r="4069" spans="1:29">
      <c r="A4069" s="83" t="str">
        <f t="shared" si="442"/>
        <v/>
      </c>
      <c r="B4069" s="83" t="str">
        <f t="shared" si="448"/>
        <v/>
      </c>
      <c r="U4069" s="83" t="str">
        <f t="shared" si="443"/>
        <v/>
      </c>
      <c r="V4069" s="83" t="str">
        <f t="shared" si="444"/>
        <v/>
      </c>
      <c r="AA4069" s="60">
        <f t="shared" si="445"/>
        <v>0</v>
      </c>
      <c r="AB4069" s="49">
        <f t="shared" si="446"/>
        <v>0</v>
      </c>
      <c r="AC4069" s="60">
        <f t="shared" si="447"/>
        <v>0</v>
      </c>
    </row>
    <row r="4070" spans="1:29">
      <c r="A4070" s="83" t="str">
        <f t="shared" si="442"/>
        <v/>
      </c>
      <c r="B4070" s="83" t="str">
        <f t="shared" si="448"/>
        <v/>
      </c>
      <c r="U4070" s="83" t="str">
        <f t="shared" si="443"/>
        <v/>
      </c>
      <c r="V4070" s="83" t="str">
        <f t="shared" si="444"/>
        <v/>
      </c>
      <c r="AA4070" s="60">
        <f t="shared" si="445"/>
        <v>0</v>
      </c>
      <c r="AB4070" s="49">
        <f t="shared" si="446"/>
        <v>0</v>
      </c>
      <c r="AC4070" s="60">
        <f t="shared" si="447"/>
        <v>0</v>
      </c>
    </row>
    <row r="4071" spans="1:29">
      <c r="A4071" s="83" t="str">
        <f t="shared" si="442"/>
        <v/>
      </c>
      <c r="B4071" s="83" t="str">
        <f t="shared" si="448"/>
        <v/>
      </c>
      <c r="U4071" s="83" t="str">
        <f t="shared" si="443"/>
        <v/>
      </c>
      <c r="V4071" s="83" t="str">
        <f t="shared" si="444"/>
        <v/>
      </c>
      <c r="AA4071" s="60">
        <f t="shared" si="445"/>
        <v>0</v>
      </c>
      <c r="AB4071" s="49">
        <f t="shared" si="446"/>
        <v>0</v>
      </c>
      <c r="AC4071" s="60">
        <f t="shared" si="447"/>
        <v>0</v>
      </c>
    </row>
    <row r="4072" spans="1:29">
      <c r="A4072" s="83" t="str">
        <f t="shared" si="442"/>
        <v/>
      </c>
      <c r="B4072" s="83" t="str">
        <f t="shared" si="448"/>
        <v/>
      </c>
      <c r="U4072" s="83" t="str">
        <f t="shared" si="443"/>
        <v/>
      </c>
      <c r="V4072" s="83" t="str">
        <f t="shared" si="444"/>
        <v/>
      </c>
      <c r="AA4072" s="60">
        <f t="shared" si="445"/>
        <v>0</v>
      </c>
      <c r="AB4072" s="49">
        <f t="shared" si="446"/>
        <v>0</v>
      </c>
      <c r="AC4072" s="60">
        <f t="shared" si="447"/>
        <v>0</v>
      </c>
    </row>
    <row r="4073" spans="1:29">
      <c r="A4073" s="83" t="str">
        <f t="shared" si="442"/>
        <v/>
      </c>
      <c r="B4073" s="83" t="str">
        <f t="shared" si="448"/>
        <v/>
      </c>
      <c r="U4073" s="83" t="str">
        <f t="shared" si="443"/>
        <v/>
      </c>
      <c r="V4073" s="83" t="str">
        <f t="shared" si="444"/>
        <v/>
      </c>
      <c r="AA4073" s="60">
        <f t="shared" si="445"/>
        <v>0</v>
      </c>
      <c r="AB4073" s="49">
        <f t="shared" si="446"/>
        <v>0</v>
      </c>
      <c r="AC4073" s="60">
        <f t="shared" si="447"/>
        <v>0</v>
      </c>
    </row>
    <row r="4074" spans="1:29">
      <c r="A4074" s="83" t="str">
        <f t="shared" si="442"/>
        <v/>
      </c>
      <c r="B4074" s="83" t="str">
        <f t="shared" si="448"/>
        <v/>
      </c>
      <c r="U4074" s="83" t="str">
        <f t="shared" si="443"/>
        <v/>
      </c>
      <c r="V4074" s="83" t="str">
        <f t="shared" si="444"/>
        <v/>
      </c>
      <c r="AA4074" s="60">
        <f t="shared" si="445"/>
        <v>0</v>
      </c>
      <c r="AB4074" s="49">
        <f t="shared" si="446"/>
        <v>0</v>
      </c>
      <c r="AC4074" s="60">
        <f t="shared" si="447"/>
        <v>0</v>
      </c>
    </row>
    <row r="4075" spans="1:29">
      <c r="A4075" s="83" t="str">
        <f t="shared" si="442"/>
        <v/>
      </c>
      <c r="B4075" s="83" t="str">
        <f t="shared" si="448"/>
        <v/>
      </c>
      <c r="U4075" s="83" t="str">
        <f t="shared" si="443"/>
        <v/>
      </c>
      <c r="V4075" s="83" t="str">
        <f t="shared" si="444"/>
        <v/>
      </c>
      <c r="AA4075" s="60">
        <f t="shared" si="445"/>
        <v>0</v>
      </c>
      <c r="AB4075" s="49">
        <f t="shared" si="446"/>
        <v>0</v>
      </c>
      <c r="AC4075" s="60">
        <f t="shared" si="447"/>
        <v>0</v>
      </c>
    </row>
    <row r="4076" spans="1:29">
      <c r="A4076" s="83" t="str">
        <f t="shared" si="442"/>
        <v/>
      </c>
      <c r="B4076" s="83" t="str">
        <f t="shared" si="448"/>
        <v/>
      </c>
      <c r="U4076" s="83" t="str">
        <f t="shared" si="443"/>
        <v/>
      </c>
      <c r="V4076" s="83" t="str">
        <f t="shared" si="444"/>
        <v/>
      </c>
      <c r="AA4076" s="60">
        <f t="shared" si="445"/>
        <v>0</v>
      </c>
      <c r="AB4076" s="49">
        <f t="shared" si="446"/>
        <v>0</v>
      </c>
      <c r="AC4076" s="60">
        <f t="shared" si="447"/>
        <v>0</v>
      </c>
    </row>
    <row r="4077" spans="1:29">
      <c r="A4077" s="83" t="str">
        <f t="shared" si="442"/>
        <v/>
      </c>
      <c r="B4077" s="83" t="str">
        <f t="shared" si="448"/>
        <v/>
      </c>
      <c r="U4077" s="83" t="str">
        <f t="shared" si="443"/>
        <v/>
      </c>
      <c r="V4077" s="83" t="str">
        <f t="shared" si="444"/>
        <v/>
      </c>
      <c r="AA4077" s="60">
        <f t="shared" si="445"/>
        <v>0</v>
      </c>
      <c r="AB4077" s="49">
        <f t="shared" si="446"/>
        <v>0</v>
      </c>
      <c r="AC4077" s="60">
        <f t="shared" si="447"/>
        <v>0</v>
      </c>
    </row>
    <row r="4078" spans="1:29">
      <c r="A4078" s="83" t="str">
        <f t="shared" si="442"/>
        <v/>
      </c>
      <c r="B4078" s="83" t="str">
        <f t="shared" si="448"/>
        <v/>
      </c>
      <c r="U4078" s="83" t="str">
        <f t="shared" si="443"/>
        <v/>
      </c>
      <c r="V4078" s="83" t="str">
        <f t="shared" si="444"/>
        <v/>
      </c>
      <c r="AA4078" s="60">
        <f t="shared" si="445"/>
        <v>0</v>
      </c>
      <c r="AB4078" s="49">
        <f t="shared" si="446"/>
        <v>0</v>
      </c>
      <c r="AC4078" s="60">
        <f t="shared" si="447"/>
        <v>0</v>
      </c>
    </row>
    <row r="4079" spans="1:29">
      <c r="A4079" s="83" t="str">
        <f t="shared" si="442"/>
        <v/>
      </c>
      <c r="B4079" s="83" t="str">
        <f t="shared" si="448"/>
        <v/>
      </c>
      <c r="U4079" s="83" t="str">
        <f t="shared" si="443"/>
        <v/>
      </c>
      <c r="V4079" s="83" t="str">
        <f t="shared" si="444"/>
        <v/>
      </c>
      <c r="AA4079" s="60">
        <f t="shared" si="445"/>
        <v>0</v>
      </c>
      <c r="AB4079" s="49">
        <f t="shared" si="446"/>
        <v>0</v>
      </c>
      <c r="AC4079" s="60">
        <f t="shared" si="447"/>
        <v>0</v>
      </c>
    </row>
    <row r="4080" spans="1:29">
      <c r="A4080" s="83" t="str">
        <f t="shared" si="442"/>
        <v/>
      </c>
      <c r="B4080" s="83" t="str">
        <f t="shared" si="448"/>
        <v/>
      </c>
      <c r="U4080" s="83" t="str">
        <f t="shared" si="443"/>
        <v/>
      </c>
      <c r="V4080" s="83" t="str">
        <f t="shared" si="444"/>
        <v/>
      </c>
      <c r="AA4080" s="60">
        <f t="shared" si="445"/>
        <v>0</v>
      </c>
      <c r="AB4080" s="49">
        <f t="shared" si="446"/>
        <v>0</v>
      </c>
      <c r="AC4080" s="60">
        <f t="shared" si="447"/>
        <v>0</v>
      </c>
    </row>
    <row r="4081" spans="1:29">
      <c r="A4081" s="83" t="str">
        <f t="shared" si="442"/>
        <v/>
      </c>
      <c r="B4081" s="83" t="str">
        <f t="shared" si="448"/>
        <v/>
      </c>
      <c r="U4081" s="83" t="str">
        <f t="shared" si="443"/>
        <v/>
      </c>
      <c r="V4081" s="83" t="str">
        <f t="shared" si="444"/>
        <v/>
      </c>
      <c r="AA4081" s="60">
        <f t="shared" si="445"/>
        <v>0</v>
      </c>
      <c r="AB4081" s="49">
        <f t="shared" si="446"/>
        <v>0</v>
      </c>
      <c r="AC4081" s="60">
        <f t="shared" si="447"/>
        <v>0</v>
      </c>
    </row>
    <row r="4082" spans="1:29">
      <c r="A4082" s="83" t="str">
        <f t="shared" si="442"/>
        <v/>
      </c>
      <c r="B4082" s="83" t="str">
        <f t="shared" si="448"/>
        <v/>
      </c>
      <c r="U4082" s="83" t="str">
        <f t="shared" si="443"/>
        <v/>
      </c>
      <c r="V4082" s="83" t="str">
        <f t="shared" si="444"/>
        <v/>
      </c>
      <c r="AA4082" s="60">
        <f t="shared" si="445"/>
        <v>0</v>
      </c>
      <c r="AB4082" s="49">
        <f t="shared" si="446"/>
        <v>0</v>
      </c>
      <c r="AC4082" s="60">
        <f t="shared" si="447"/>
        <v>0</v>
      </c>
    </row>
    <row r="4083" spans="1:29">
      <c r="A4083" s="83" t="str">
        <f t="shared" si="442"/>
        <v/>
      </c>
      <c r="B4083" s="83" t="str">
        <f t="shared" si="448"/>
        <v/>
      </c>
      <c r="U4083" s="83" t="str">
        <f t="shared" si="443"/>
        <v/>
      </c>
      <c r="V4083" s="83" t="str">
        <f t="shared" si="444"/>
        <v/>
      </c>
      <c r="AA4083" s="60">
        <f t="shared" si="445"/>
        <v>0</v>
      </c>
      <c r="AB4083" s="49">
        <f t="shared" si="446"/>
        <v>0</v>
      </c>
      <c r="AC4083" s="60">
        <f t="shared" si="447"/>
        <v>0</v>
      </c>
    </row>
    <row r="4084" spans="1:29">
      <c r="A4084" s="83" t="str">
        <f t="shared" si="442"/>
        <v/>
      </c>
      <c r="B4084" s="83" t="str">
        <f t="shared" si="448"/>
        <v/>
      </c>
      <c r="U4084" s="83" t="str">
        <f t="shared" si="443"/>
        <v/>
      </c>
      <c r="V4084" s="83" t="str">
        <f t="shared" si="444"/>
        <v/>
      </c>
      <c r="AA4084" s="60">
        <f t="shared" si="445"/>
        <v>0</v>
      </c>
      <c r="AB4084" s="49">
        <f t="shared" si="446"/>
        <v>0</v>
      </c>
      <c r="AC4084" s="60">
        <f t="shared" si="447"/>
        <v>0</v>
      </c>
    </row>
    <row r="4085" spans="1:29">
      <c r="A4085" s="83" t="str">
        <f t="shared" si="442"/>
        <v/>
      </c>
      <c r="B4085" s="83" t="str">
        <f t="shared" si="448"/>
        <v/>
      </c>
      <c r="U4085" s="83" t="str">
        <f t="shared" si="443"/>
        <v/>
      </c>
      <c r="V4085" s="83" t="str">
        <f t="shared" si="444"/>
        <v/>
      </c>
      <c r="AA4085" s="60">
        <f t="shared" si="445"/>
        <v>0</v>
      </c>
      <c r="AB4085" s="49">
        <f t="shared" si="446"/>
        <v>0</v>
      </c>
      <c r="AC4085" s="60">
        <f t="shared" si="447"/>
        <v>0</v>
      </c>
    </row>
    <row r="4086" spans="1:29">
      <c r="A4086" s="83" t="str">
        <f t="shared" si="442"/>
        <v/>
      </c>
      <c r="B4086" s="83" t="str">
        <f t="shared" si="448"/>
        <v/>
      </c>
      <c r="U4086" s="83" t="str">
        <f t="shared" si="443"/>
        <v/>
      </c>
      <c r="V4086" s="83" t="str">
        <f t="shared" si="444"/>
        <v/>
      </c>
      <c r="AA4086" s="60">
        <f t="shared" si="445"/>
        <v>0</v>
      </c>
      <c r="AB4086" s="49">
        <f t="shared" si="446"/>
        <v>0</v>
      </c>
      <c r="AC4086" s="60">
        <f t="shared" si="447"/>
        <v>0</v>
      </c>
    </row>
    <row r="4087" spans="1:29">
      <c r="A4087" s="83" t="str">
        <f t="shared" si="442"/>
        <v/>
      </c>
      <c r="B4087" s="83" t="str">
        <f t="shared" si="448"/>
        <v/>
      </c>
      <c r="U4087" s="83" t="str">
        <f t="shared" si="443"/>
        <v/>
      </c>
      <c r="V4087" s="83" t="str">
        <f t="shared" si="444"/>
        <v/>
      </c>
      <c r="AA4087" s="60">
        <f t="shared" si="445"/>
        <v>0</v>
      </c>
      <c r="AB4087" s="49">
        <f t="shared" si="446"/>
        <v>0</v>
      </c>
      <c r="AC4087" s="60">
        <f t="shared" si="447"/>
        <v>0</v>
      </c>
    </row>
    <row r="4088" spans="1:29">
      <c r="A4088" s="83" t="str">
        <f t="shared" si="442"/>
        <v/>
      </c>
      <c r="B4088" s="83" t="str">
        <f t="shared" si="448"/>
        <v/>
      </c>
      <c r="U4088" s="83" t="str">
        <f t="shared" si="443"/>
        <v/>
      </c>
      <c r="V4088" s="83" t="str">
        <f t="shared" si="444"/>
        <v/>
      </c>
      <c r="AA4088" s="60">
        <f t="shared" si="445"/>
        <v>0</v>
      </c>
      <c r="AB4088" s="49">
        <f t="shared" si="446"/>
        <v>0</v>
      </c>
      <c r="AC4088" s="60">
        <f t="shared" si="447"/>
        <v>0</v>
      </c>
    </row>
    <row r="4089" spans="1:29">
      <c r="A4089" s="83" t="str">
        <f t="shared" si="442"/>
        <v/>
      </c>
      <c r="B4089" s="83" t="str">
        <f t="shared" si="448"/>
        <v/>
      </c>
      <c r="U4089" s="83" t="str">
        <f t="shared" si="443"/>
        <v/>
      </c>
      <c r="V4089" s="83" t="str">
        <f t="shared" si="444"/>
        <v/>
      </c>
      <c r="AA4089" s="60">
        <f t="shared" si="445"/>
        <v>0</v>
      </c>
      <c r="AB4089" s="49">
        <f t="shared" si="446"/>
        <v>0</v>
      </c>
      <c r="AC4089" s="60">
        <f t="shared" si="447"/>
        <v>0</v>
      </c>
    </row>
    <row r="4090" spans="1:29">
      <c r="A4090" s="83" t="str">
        <f t="shared" si="442"/>
        <v/>
      </c>
      <c r="B4090" s="83" t="str">
        <f t="shared" si="448"/>
        <v/>
      </c>
      <c r="U4090" s="83" t="str">
        <f t="shared" si="443"/>
        <v/>
      </c>
      <c r="V4090" s="83" t="str">
        <f t="shared" si="444"/>
        <v/>
      </c>
      <c r="AA4090" s="60">
        <f t="shared" si="445"/>
        <v>0</v>
      </c>
      <c r="AB4090" s="49">
        <f t="shared" si="446"/>
        <v>0</v>
      </c>
      <c r="AC4090" s="60">
        <f t="shared" si="447"/>
        <v>0</v>
      </c>
    </row>
    <row r="4091" spans="1:29">
      <c r="A4091" s="83" t="str">
        <f t="shared" si="442"/>
        <v/>
      </c>
      <c r="B4091" s="83" t="str">
        <f t="shared" si="448"/>
        <v/>
      </c>
      <c r="U4091" s="83" t="str">
        <f t="shared" si="443"/>
        <v/>
      </c>
      <c r="V4091" s="83" t="str">
        <f t="shared" si="444"/>
        <v/>
      </c>
      <c r="AA4091" s="60">
        <f t="shared" si="445"/>
        <v>0</v>
      </c>
      <c r="AB4091" s="49">
        <f t="shared" si="446"/>
        <v>0</v>
      </c>
      <c r="AC4091" s="60">
        <f t="shared" si="447"/>
        <v>0</v>
      </c>
    </row>
    <row r="4092" spans="1:29">
      <c r="A4092" s="83" t="str">
        <f t="shared" si="442"/>
        <v/>
      </c>
      <c r="B4092" s="83" t="str">
        <f t="shared" si="448"/>
        <v/>
      </c>
      <c r="U4092" s="83" t="str">
        <f t="shared" si="443"/>
        <v/>
      </c>
      <c r="V4092" s="83" t="str">
        <f t="shared" si="444"/>
        <v/>
      </c>
      <c r="AA4092" s="60">
        <f t="shared" si="445"/>
        <v>0</v>
      </c>
      <c r="AB4092" s="49">
        <f t="shared" si="446"/>
        <v>0</v>
      </c>
      <c r="AC4092" s="60">
        <f t="shared" si="447"/>
        <v>0</v>
      </c>
    </row>
    <row r="4093" spans="1:29">
      <c r="A4093" s="83" t="str">
        <f t="shared" si="442"/>
        <v/>
      </c>
      <c r="B4093" s="83" t="str">
        <f t="shared" si="448"/>
        <v/>
      </c>
      <c r="U4093" s="83" t="str">
        <f t="shared" si="443"/>
        <v/>
      </c>
      <c r="V4093" s="83" t="str">
        <f t="shared" si="444"/>
        <v/>
      </c>
      <c r="AA4093" s="60">
        <f t="shared" si="445"/>
        <v>0</v>
      </c>
      <c r="AB4093" s="49">
        <f t="shared" si="446"/>
        <v>0</v>
      </c>
      <c r="AC4093" s="60">
        <f t="shared" si="447"/>
        <v>0</v>
      </c>
    </row>
    <row r="4094" spans="1:29">
      <c r="A4094" s="83" t="str">
        <f t="shared" si="442"/>
        <v/>
      </c>
      <c r="B4094" s="83" t="str">
        <f t="shared" si="448"/>
        <v/>
      </c>
      <c r="U4094" s="83" t="str">
        <f t="shared" si="443"/>
        <v/>
      </c>
      <c r="V4094" s="83" t="str">
        <f t="shared" si="444"/>
        <v/>
      </c>
      <c r="AA4094" s="60">
        <f t="shared" si="445"/>
        <v>0</v>
      </c>
      <c r="AB4094" s="49">
        <f t="shared" si="446"/>
        <v>0</v>
      </c>
      <c r="AC4094" s="60">
        <f t="shared" si="447"/>
        <v>0</v>
      </c>
    </row>
    <row r="4095" spans="1:29">
      <c r="A4095" s="83" t="str">
        <f t="shared" si="442"/>
        <v/>
      </c>
      <c r="B4095" s="83" t="str">
        <f t="shared" si="448"/>
        <v/>
      </c>
      <c r="U4095" s="83" t="str">
        <f t="shared" si="443"/>
        <v/>
      </c>
      <c r="V4095" s="83" t="str">
        <f t="shared" si="444"/>
        <v/>
      </c>
      <c r="AA4095" s="60">
        <f t="shared" si="445"/>
        <v>0</v>
      </c>
      <c r="AB4095" s="49">
        <f t="shared" si="446"/>
        <v>0</v>
      </c>
      <c r="AC4095" s="60">
        <f t="shared" si="447"/>
        <v>0</v>
      </c>
    </row>
    <row r="4096" spans="1:29">
      <c r="A4096" s="83" t="str">
        <f t="shared" si="442"/>
        <v/>
      </c>
      <c r="B4096" s="83" t="str">
        <f t="shared" si="448"/>
        <v/>
      </c>
      <c r="U4096" s="83" t="str">
        <f t="shared" si="443"/>
        <v/>
      </c>
      <c r="V4096" s="83" t="str">
        <f t="shared" si="444"/>
        <v/>
      </c>
      <c r="AA4096" s="60">
        <f t="shared" si="445"/>
        <v>0</v>
      </c>
      <c r="AB4096" s="49">
        <f t="shared" si="446"/>
        <v>0</v>
      </c>
      <c r="AC4096" s="60">
        <f t="shared" si="447"/>
        <v>0</v>
      </c>
    </row>
    <row r="4097" spans="1:29">
      <c r="A4097" s="83" t="str">
        <f t="shared" si="442"/>
        <v/>
      </c>
      <c r="B4097" s="83" t="str">
        <f t="shared" si="448"/>
        <v/>
      </c>
      <c r="U4097" s="83" t="str">
        <f t="shared" si="443"/>
        <v/>
      </c>
      <c r="V4097" s="83" t="str">
        <f t="shared" si="444"/>
        <v/>
      </c>
      <c r="AA4097" s="60">
        <f t="shared" si="445"/>
        <v>0</v>
      </c>
      <c r="AB4097" s="49">
        <f t="shared" si="446"/>
        <v>0</v>
      </c>
      <c r="AC4097" s="60">
        <f t="shared" si="447"/>
        <v>0</v>
      </c>
    </row>
    <row r="4098" spans="1:29">
      <c r="A4098" s="83" t="str">
        <f t="shared" si="442"/>
        <v/>
      </c>
      <c r="B4098" s="83" t="str">
        <f t="shared" si="448"/>
        <v/>
      </c>
      <c r="U4098" s="83" t="str">
        <f t="shared" si="443"/>
        <v/>
      </c>
      <c r="V4098" s="83" t="str">
        <f t="shared" si="444"/>
        <v/>
      </c>
      <c r="AA4098" s="60">
        <f t="shared" si="445"/>
        <v>0</v>
      </c>
      <c r="AB4098" s="49">
        <f t="shared" si="446"/>
        <v>0</v>
      </c>
      <c r="AC4098" s="60">
        <f t="shared" si="447"/>
        <v>0</v>
      </c>
    </row>
    <row r="4099" spans="1:29">
      <c r="A4099" s="83" t="str">
        <f t="shared" ref="A4099:A4162" si="449">IF(G4099&amp;Q4099&lt;&gt;"",U4099&amp;Q4099,"")</f>
        <v/>
      </c>
      <c r="B4099" s="83" t="str">
        <f t="shared" si="448"/>
        <v/>
      </c>
      <c r="U4099" s="83" t="str">
        <f t="shared" ref="U4099:U4162" si="450">IF(G4099&lt;&gt;"",IF(StyleSpaceSplit,IFERROR(IF(FIND(" ",G4099)&gt;=1,MID(G4099,1,FIND(" ",G4099)-1),G4099),G4099),G4099),"")</f>
        <v/>
      </c>
      <c r="V4099" s="83" t="str">
        <f t="shared" ref="V4099:V4162" si="451">IF(A4099&lt;&gt;"",IFERROR(IF(FIND(" ",G4099)&gt;=1,MID(G4099,FIND(" ",G4099)+1,LEN(G4099)),""),G4099),"")</f>
        <v/>
      </c>
      <c r="AA4099" s="60">
        <f t="shared" ref="AA4099:AA4162" si="452">IFERROR(VALUE(MID($C4099,1,2)),0)</f>
        <v>0</v>
      </c>
      <c r="AB4099" s="49">
        <f t="shared" ref="AB4099:AB4162" si="453">IFERROR(VALUE(MID($C4099,4,3)),0)</f>
        <v>0</v>
      </c>
      <c r="AC4099" s="60">
        <f t="shared" ref="AC4099:AC4162" si="454">VALUE(RIGHT("00"&amp;AA4099,2)&amp;RIGHT("000"&amp;AB4099,3))</f>
        <v>0</v>
      </c>
    </row>
    <row r="4100" spans="1:29">
      <c r="A4100" s="83" t="str">
        <f t="shared" si="449"/>
        <v/>
      </c>
      <c r="B4100" s="83" t="str">
        <f t="shared" si="448"/>
        <v/>
      </c>
      <c r="U4100" s="83" t="str">
        <f t="shared" si="450"/>
        <v/>
      </c>
      <c r="V4100" s="83" t="str">
        <f t="shared" si="451"/>
        <v/>
      </c>
      <c r="AA4100" s="60">
        <f t="shared" si="452"/>
        <v>0</v>
      </c>
      <c r="AB4100" s="49">
        <f t="shared" si="453"/>
        <v>0</v>
      </c>
      <c r="AC4100" s="60">
        <f t="shared" si="454"/>
        <v>0</v>
      </c>
    </row>
    <row r="4101" spans="1:29">
      <c r="A4101" s="83" t="str">
        <f t="shared" si="449"/>
        <v/>
      </c>
      <c r="B4101" s="83" t="str">
        <f t="shared" si="448"/>
        <v/>
      </c>
      <c r="U4101" s="83" t="str">
        <f t="shared" si="450"/>
        <v/>
      </c>
      <c r="V4101" s="83" t="str">
        <f t="shared" si="451"/>
        <v/>
      </c>
      <c r="AA4101" s="60">
        <f t="shared" si="452"/>
        <v>0</v>
      </c>
      <c r="AB4101" s="49">
        <f t="shared" si="453"/>
        <v>0</v>
      </c>
      <c r="AC4101" s="60">
        <f t="shared" si="454"/>
        <v>0</v>
      </c>
    </row>
    <row r="4102" spans="1:29">
      <c r="A4102" s="83" t="str">
        <f t="shared" si="449"/>
        <v/>
      </c>
      <c r="B4102" s="83" t="str">
        <f t="shared" si="448"/>
        <v/>
      </c>
      <c r="U4102" s="83" t="str">
        <f t="shared" si="450"/>
        <v/>
      </c>
      <c r="V4102" s="83" t="str">
        <f t="shared" si="451"/>
        <v/>
      </c>
      <c r="AA4102" s="60">
        <f t="shared" si="452"/>
        <v>0</v>
      </c>
      <c r="AB4102" s="49">
        <f t="shared" si="453"/>
        <v>0</v>
      </c>
      <c r="AC4102" s="60">
        <f t="shared" si="454"/>
        <v>0</v>
      </c>
    </row>
    <row r="4103" spans="1:29">
      <c r="A4103" s="83" t="str">
        <f t="shared" si="449"/>
        <v/>
      </c>
      <c r="B4103" s="83" t="str">
        <f t="shared" si="448"/>
        <v/>
      </c>
      <c r="U4103" s="83" t="str">
        <f t="shared" si="450"/>
        <v/>
      </c>
      <c r="V4103" s="83" t="str">
        <f t="shared" si="451"/>
        <v/>
      </c>
      <c r="AA4103" s="60">
        <f t="shared" si="452"/>
        <v>0</v>
      </c>
      <c r="AB4103" s="49">
        <f t="shared" si="453"/>
        <v>0</v>
      </c>
      <c r="AC4103" s="60">
        <f t="shared" si="454"/>
        <v>0</v>
      </c>
    </row>
    <row r="4104" spans="1:29">
      <c r="A4104" s="83" t="str">
        <f t="shared" si="449"/>
        <v/>
      </c>
      <c r="B4104" s="83" t="str">
        <f t="shared" si="448"/>
        <v/>
      </c>
      <c r="U4104" s="83" t="str">
        <f t="shared" si="450"/>
        <v/>
      </c>
      <c r="V4104" s="83" t="str">
        <f t="shared" si="451"/>
        <v/>
      </c>
      <c r="AA4104" s="60">
        <f t="shared" si="452"/>
        <v>0</v>
      </c>
      <c r="AB4104" s="49">
        <f t="shared" si="453"/>
        <v>0</v>
      </c>
      <c r="AC4104" s="60">
        <f t="shared" si="454"/>
        <v>0</v>
      </c>
    </row>
    <row r="4105" spans="1:29">
      <c r="A4105" s="83" t="str">
        <f t="shared" si="449"/>
        <v/>
      </c>
      <c r="B4105" s="83" t="str">
        <f t="shared" si="448"/>
        <v/>
      </c>
      <c r="U4105" s="83" t="str">
        <f t="shared" si="450"/>
        <v/>
      </c>
      <c r="V4105" s="83" t="str">
        <f t="shared" si="451"/>
        <v/>
      </c>
      <c r="AA4105" s="60">
        <f t="shared" si="452"/>
        <v>0</v>
      </c>
      <c r="AB4105" s="49">
        <f t="shared" si="453"/>
        <v>0</v>
      </c>
      <c r="AC4105" s="60">
        <f t="shared" si="454"/>
        <v>0</v>
      </c>
    </row>
    <row r="4106" spans="1:29">
      <c r="A4106" s="83" t="str">
        <f t="shared" si="449"/>
        <v/>
      </c>
      <c r="B4106" s="83" t="str">
        <f t="shared" si="448"/>
        <v/>
      </c>
      <c r="U4106" s="83" t="str">
        <f t="shared" si="450"/>
        <v/>
      </c>
      <c r="V4106" s="83" t="str">
        <f t="shared" si="451"/>
        <v/>
      </c>
      <c r="AA4106" s="60">
        <f t="shared" si="452"/>
        <v>0</v>
      </c>
      <c r="AB4106" s="49">
        <f t="shared" si="453"/>
        <v>0</v>
      </c>
      <c r="AC4106" s="60">
        <f t="shared" si="454"/>
        <v>0</v>
      </c>
    </row>
    <row r="4107" spans="1:29">
      <c r="A4107" s="83" t="str">
        <f t="shared" si="449"/>
        <v/>
      </c>
      <c r="B4107" s="83" t="str">
        <f t="shared" si="448"/>
        <v/>
      </c>
      <c r="U4107" s="83" t="str">
        <f t="shared" si="450"/>
        <v/>
      </c>
      <c r="V4107" s="83" t="str">
        <f t="shared" si="451"/>
        <v/>
      </c>
      <c r="AA4107" s="60">
        <f t="shared" si="452"/>
        <v>0</v>
      </c>
      <c r="AB4107" s="49">
        <f t="shared" si="453"/>
        <v>0</v>
      </c>
      <c r="AC4107" s="60">
        <f t="shared" si="454"/>
        <v>0</v>
      </c>
    </row>
    <row r="4108" spans="1:29">
      <c r="A4108" s="83" t="str">
        <f t="shared" si="449"/>
        <v/>
      </c>
      <c r="B4108" s="83" t="str">
        <f t="shared" si="448"/>
        <v/>
      </c>
      <c r="U4108" s="83" t="str">
        <f t="shared" si="450"/>
        <v/>
      </c>
      <c r="V4108" s="83" t="str">
        <f t="shared" si="451"/>
        <v/>
      </c>
      <c r="AA4108" s="60">
        <f t="shared" si="452"/>
        <v>0</v>
      </c>
      <c r="AB4108" s="49">
        <f t="shared" si="453"/>
        <v>0</v>
      </c>
      <c r="AC4108" s="60">
        <f t="shared" si="454"/>
        <v>0</v>
      </c>
    </row>
    <row r="4109" spans="1:29">
      <c r="A4109" s="83" t="str">
        <f t="shared" si="449"/>
        <v/>
      </c>
      <c r="B4109" s="83" t="str">
        <f t="shared" si="448"/>
        <v/>
      </c>
      <c r="U4109" s="83" t="str">
        <f t="shared" si="450"/>
        <v/>
      </c>
      <c r="V4109" s="83" t="str">
        <f t="shared" si="451"/>
        <v/>
      </c>
      <c r="AA4109" s="60">
        <f t="shared" si="452"/>
        <v>0</v>
      </c>
      <c r="AB4109" s="49">
        <f t="shared" si="453"/>
        <v>0</v>
      </c>
      <c r="AC4109" s="60">
        <f t="shared" si="454"/>
        <v>0</v>
      </c>
    </row>
    <row r="4110" spans="1:29">
      <c r="A4110" s="83" t="str">
        <f t="shared" si="449"/>
        <v/>
      </c>
      <c r="B4110" s="83" t="str">
        <f t="shared" si="448"/>
        <v/>
      </c>
      <c r="U4110" s="83" t="str">
        <f t="shared" si="450"/>
        <v/>
      </c>
      <c r="V4110" s="83" t="str">
        <f t="shared" si="451"/>
        <v/>
      </c>
      <c r="AA4110" s="60">
        <f t="shared" si="452"/>
        <v>0</v>
      </c>
      <c r="AB4110" s="49">
        <f t="shared" si="453"/>
        <v>0</v>
      </c>
      <c r="AC4110" s="60">
        <f t="shared" si="454"/>
        <v>0</v>
      </c>
    </row>
    <row r="4111" spans="1:29">
      <c r="A4111" s="83" t="str">
        <f t="shared" si="449"/>
        <v/>
      </c>
      <c r="B4111" s="83" t="str">
        <f t="shared" si="448"/>
        <v/>
      </c>
      <c r="U4111" s="83" t="str">
        <f t="shared" si="450"/>
        <v/>
      </c>
      <c r="V4111" s="83" t="str">
        <f t="shared" si="451"/>
        <v/>
      </c>
      <c r="AA4111" s="60">
        <f t="shared" si="452"/>
        <v>0</v>
      </c>
      <c r="AB4111" s="49">
        <f t="shared" si="453"/>
        <v>0</v>
      </c>
      <c r="AC4111" s="60">
        <f t="shared" si="454"/>
        <v>0</v>
      </c>
    </row>
    <row r="4112" spans="1:29">
      <c r="A4112" s="83" t="str">
        <f t="shared" si="449"/>
        <v/>
      </c>
      <c r="B4112" s="83" t="str">
        <f t="shared" si="448"/>
        <v/>
      </c>
      <c r="U4112" s="83" t="str">
        <f t="shared" si="450"/>
        <v/>
      </c>
      <c r="V4112" s="83" t="str">
        <f t="shared" si="451"/>
        <v/>
      </c>
      <c r="AA4112" s="60">
        <f t="shared" si="452"/>
        <v>0</v>
      </c>
      <c r="AB4112" s="49">
        <f t="shared" si="453"/>
        <v>0</v>
      </c>
      <c r="AC4112" s="60">
        <f t="shared" si="454"/>
        <v>0</v>
      </c>
    </row>
    <row r="4113" spans="1:29">
      <c r="A4113" s="83" t="str">
        <f t="shared" si="449"/>
        <v/>
      </c>
      <c r="B4113" s="83" t="str">
        <f t="shared" si="448"/>
        <v/>
      </c>
      <c r="U4113" s="83" t="str">
        <f t="shared" si="450"/>
        <v/>
      </c>
      <c r="V4113" s="83" t="str">
        <f t="shared" si="451"/>
        <v/>
      </c>
      <c r="AA4113" s="60">
        <f t="shared" si="452"/>
        <v>0</v>
      </c>
      <c r="AB4113" s="49">
        <f t="shared" si="453"/>
        <v>0</v>
      </c>
      <c r="AC4113" s="60">
        <f t="shared" si="454"/>
        <v>0</v>
      </c>
    </row>
    <row r="4114" spans="1:29">
      <c r="A4114" s="83" t="str">
        <f t="shared" si="449"/>
        <v/>
      </c>
      <c r="B4114" s="83" t="str">
        <f t="shared" si="448"/>
        <v/>
      </c>
      <c r="U4114" s="83" t="str">
        <f t="shared" si="450"/>
        <v/>
      </c>
      <c r="V4114" s="83" t="str">
        <f t="shared" si="451"/>
        <v/>
      </c>
      <c r="AA4114" s="60">
        <f t="shared" si="452"/>
        <v>0</v>
      </c>
      <c r="AB4114" s="49">
        <f t="shared" si="453"/>
        <v>0</v>
      </c>
      <c r="AC4114" s="60">
        <f t="shared" si="454"/>
        <v>0</v>
      </c>
    </row>
    <row r="4115" spans="1:29">
      <c r="A4115" s="83" t="str">
        <f t="shared" si="449"/>
        <v/>
      </c>
      <c r="B4115" s="83" t="str">
        <f t="shared" si="448"/>
        <v/>
      </c>
      <c r="U4115" s="83" t="str">
        <f t="shared" si="450"/>
        <v/>
      </c>
      <c r="V4115" s="83" t="str">
        <f t="shared" si="451"/>
        <v/>
      </c>
      <c r="AA4115" s="60">
        <f t="shared" si="452"/>
        <v>0</v>
      </c>
      <c r="AB4115" s="49">
        <f t="shared" si="453"/>
        <v>0</v>
      </c>
      <c r="AC4115" s="60">
        <f t="shared" si="454"/>
        <v>0</v>
      </c>
    </row>
    <row r="4116" spans="1:29">
      <c r="A4116" s="83" t="str">
        <f t="shared" si="449"/>
        <v/>
      </c>
      <c r="B4116" s="83" t="str">
        <f t="shared" si="448"/>
        <v/>
      </c>
      <c r="U4116" s="83" t="str">
        <f t="shared" si="450"/>
        <v/>
      </c>
      <c r="V4116" s="83" t="str">
        <f t="shared" si="451"/>
        <v/>
      </c>
      <c r="AA4116" s="60">
        <f t="shared" si="452"/>
        <v>0</v>
      </c>
      <c r="AB4116" s="49">
        <f t="shared" si="453"/>
        <v>0</v>
      </c>
      <c r="AC4116" s="60">
        <f t="shared" si="454"/>
        <v>0</v>
      </c>
    </row>
    <row r="4117" spans="1:29">
      <c r="A4117" s="83" t="str">
        <f t="shared" si="449"/>
        <v/>
      </c>
      <c r="B4117" s="83" t="str">
        <f t="shared" si="448"/>
        <v/>
      </c>
      <c r="U4117" s="83" t="str">
        <f t="shared" si="450"/>
        <v/>
      </c>
      <c r="V4117" s="83" t="str">
        <f t="shared" si="451"/>
        <v/>
      </c>
      <c r="AA4117" s="60">
        <f t="shared" si="452"/>
        <v>0</v>
      </c>
      <c r="AB4117" s="49">
        <f t="shared" si="453"/>
        <v>0</v>
      </c>
      <c r="AC4117" s="60">
        <f t="shared" si="454"/>
        <v>0</v>
      </c>
    </row>
    <row r="4118" spans="1:29">
      <c r="A4118" s="83" t="str">
        <f t="shared" si="449"/>
        <v/>
      </c>
      <c r="B4118" s="83" t="str">
        <f t="shared" si="448"/>
        <v/>
      </c>
      <c r="U4118" s="83" t="str">
        <f t="shared" si="450"/>
        <v/>
      </c>
      <c r="V4118" s="83" t="str">
        <f t="shared" si="451"/>
        <v/>
      </c>
      <c r="AA4118" s="60">
        <f t="shared" si="452"/>
        <v>0</v>
      </c>
      <c r="AB4118" s="49">
        <f t="shared" si="453"/>
        <v>0</v>
      </c>
      <c r="AC4118" s="60">
        <f t="shared" si="454"/>
        <v>0</v>
      </c>
    </row>
    <row r="4119" spans="1:29">
      <c r="A4119" s="83" t="str">
        <f t="shared" si="449"/>
        <v/>
      </c>
      <c r="B4119" s="83" t="str">
        <f t="shared" si="448"/>
        <v/>
      </c>
      <c r="U4119" s="83" t="str">
        <f t="shared" si="450"/>
        <v/>
      </c>
      <c r="V4119" s="83" t="str">
        <f t="shared" si="451"/>
        <v/>
      </c>
      <c r="AA4119" s="60">
        <f t="shared" si="452"/>
        <v>0</v>
      </c>
      <c r="AB4119" s="49">
        <f t="shared" si="453"/>
        <v>0</v>
      </c>
      <c r="AC4119" s="60">
        <f t="shared" si="454"/>
        <v>0</v>
      </c>
    </row>
    <row r="4120" spans="1:29">
      <c r="A4120" s="83" t="str">
        <f t="shared" si="449"/>
        <v/>
      </c>
      <c r="B4120" s="83" t="str">
        <f t="shared" si="448"/>
        <v/>
      </c>
      <c r="U4120" s="83" t="str">
        <f t="shared" si="450"/>
        <v/>
      </c>
      <c r="V4120" s="83" t="str">
        <f t="shared" si="451"/>
        <v/>
      </c>
      <c r="AA4120" s="60">
        <f t="shared" si="452"/>
        <v>0</v>
      </c>
      <c r="AB4120" s="49">
        <f t="shared" si="453"/>
        <v>0</v>
      </c>
      <c r="AC4120" s="60">
        <f t="shared" si="454"/>
        <v>0</v>
      </c>
    </row>
    <row r="4121" spans="1:29">
      <c r="A4121" s="83" t="str">
        <f t="shared" si="449"/>
        <v/>
      </c>
      <c r="B4121" s="83" t="str">
        <f t="shared" si="448"/>
        <v/>
      </c>
      <c r="U4121" s="83" t="str">
        <f t="shared" si="450"/>
        <v/>
      </c>
      <c r="V4121" s="83" t="str">
        <f t="shared" si="451"/>
        <v/>
      </c>
      <c r="AA4121" s="60">
        <f t="shared" si="452"/>
        <v>0</v>
      </c>
      <c r="AB4121" s="49">
        <f t="shared" si="453"/>
        <v>0</v>
      </c>
      <c r="AC4121" s="60">
        <f t="shared" si="454"/>
        <v>0</v>
      </c>
    </row>
    <row r="4122" spans="1:29">
      <c r="A4122" s="83" t="str">
        <f t="shared" si="449"/>
        <v/>
      </c>
      <c r="B4122" s="83" t="str">
        <f t="shared" si="448"/>
        <v/>
      </c>
      <c r="U4122" s="83" t="str">
        <f t="shared" si="450"/>
        <v/>
      </c>
      <c r="V4122" s="83" t="str">
        <f t="shared" si="451"/>
        <v/>
      </c>
      <c r="AA4122" s="60">
        <f t="shared" si="452"/>
        <v>0</v>
      </c>
      <c r="AB4122" s="49">
        <f t="shared" si="453"/>
        <v>0</v>
      </c>
      <c r="AC4122" s="60">
        <f t="shared" si="454"/>
        <v>0</v>
      </c>
    </row>
    <row r="4123" spans="1:29">
      <c r="A4123" s="83" t="str">
        <f t="shared" si="449"/>
        <v/>
      </c>
      <c r="B4123" s="83" t="str">
        <f t="shared" si="448"/>
        <v/>
      </c>
      <c r="U4123" s="83" t="str">
        <f t="shared" si="450"/>
        <v/>
      </c>
      <c r="V4123" s="83" t="str">
        <f t="shared" si="451"/>
        <v/>
      </c>
      <c r="AA4123" s="60">
        <f t="shared" si="452"/>
        <v>0</v>
      </c>
      <c r="AB4123" s="49">
        <f t="shared" si="453"/>
        <v>0</v>
      </c>
      <c r="AC4123" s="60">
        <f t="shared" si="454"/>
        <v>0</v>
      </c>
    </row>
    <row r="4124" spans="1:29">
      <c r="A4124" s="83" t="str">
        <f t="shared" si="449"/>
        <v/>
      </c>
      <c r="B4124" s="83" t="str">
        <f t="shared" si="448"/>
        <v/>
      </c>
      <c r="U4124" s="83" t="str">
        <f t="shared" si="450"/>
        <v/>
      </c>
      <c r="V4124" s="83" t="str">
        <f t="shared" si="451"/>
        <v/>
      </c>
      <c r="AA4124" s="60">
        <f t="shared" si="452"/>
        <v>0</v>
      </c>
      <c r="AB4124" s="49">
        <f t="shared" si="453"/>
        <v>0</v>
      </c>
      <c r="AC4124" s="60">
        <f t="shared" si="454"/>
        <v>0</v>
      </c>
    </row>
    <row r="4125" spans="1:29">
      <c r="A4125" s="83" t="str">
        <f t="shared" si="449"/>
        <v/>
      </c>
      <c r="B4125" s="83" t="str">
        <f t="shared" si="448"/>
        <v/>
      </c>
      <c r="U4125" s="83" t="str">
        <f t="shared" si="450"/>
        <v/>
      </c>
      <c r="V4125" s="83" t="str">
        <f t="shared" si="451"/>
        <v/>
      </c>
      <c r="AA4125" s="60">
        <f t="shared" si="452"/>
        <v>0</v>
      </c>
      <c r="AB4125" s="49">
        <f t="shared" si="453"/>
        <v>0</v>
      </c>
      <c r="AC4125" s="60">
        <f t="shared" si="454"/>
        <v>0</v>
      </c>
    </row>
    <row r="4126" spans="1:29">
      <c r="A4126" s="83" t="str">
        <f t="shared" si="449"/>
        <v/>
      </c>
      <c r="B4126" s="83" t="str">
        <f t="shared" si="448"/>
        <v/>
      </c>
      <c r="U4126" s="83" t="str">
        <f t="shared" si="450"/>
        <v/>
      </c>
      <c r="V4126" s="83" t="str">
        <f t="shared" si="451"/>
        <v/>
      </c>
      <c r="AA4126" s="60">
        <f t="shared" si="452"/>
        <v>0</v>
      </c>
      <c r="AB4126" s="49">
        <f t="shared" si="453"/>
        <v>0</v>
      </c>
      <c r="AC4126" s="60">
        <f t="shared" si="454"/>
        <v>0</v>
      </c>
    </row>
    <row r="4127" spans="1:29">
      <c r="A4127" s="83" t="str">
        <f t="shared" si="449"/>
        <v/>
      </c>
      <c r="B4127" s="83" t="str">
        <f t="shared" si="448"/>
        <v/>
      </c>
      <c r="U4127" s="83" t="str">
        <f t="shared" si="450"/>
        <v/>
      </c>
      <c r="V4127" s="83" t="str">
        <f t="shared" si="451"/>
        <v/>
      </c>
      <c r="AA4127" s="60">
        <f t="shared" si="452"/>
        <v>0</v>
      </c>
      <c r="AB4127" s="49">
        <f t="shared" si="453"/>
        <v>0</v>
      </c>
      <c r="AC4127" s="60">
        <f t="shared" si="454"/>
        <v>0</v>
      </c>
    </row>
    <row r="4128" spans="1:29">
      <c r="A4128" s="83" t="str">
        <f t="shared" si="449"/>
        <v/>
      </c>
      <c r="B4128" s="83" t="str">
        <f t="shared" si="448"/>
        <v/>
      </c>
      <c r="U4128" s="83" t="str">
        <f t="shared" si="450"/>
        <v/>
      </c>
      <c r="V4128" s="83" t="str">
        <f t="shared" si="451"/>
        <v/>
      </c>
      <c r="AA4128" s="60">
        <f t="shared" si="452"/>
        <v>0</v>
      </c>
      <c r="AB4128" s="49">
        <f t="shared" si="453"/>
        <v>0</v>
      </c>
      <c r="AC4128" s="60">
        <f t="shared" si="454"/>
        <v>0</v>
      </c>
    </row>
    <row r="4129" spans="1:29">
      <c r="A4129" s="83" t="str">
        <f t="shared" si="449"/>
        <v/>
      </c>
      <c r="B4129" s="83" t="str">
        <f t="shared" ref="B4129:B4192" si="455">IF(C4129&lt;&gt;"",LEFT(C4129,9),"")</f>
        <v/>
      </c>
      <c r="U4129" s="83" t="str">
        <f t="shared" si="450"/>
        <v/>
      </c>
      <c r="V4129" s="83" t="str">
        <f t="shared" si="451"/>
        <v/>
      </c>
      <c r="AA4129" s="60">
        <f t="shared" si="452"/>
        <v>0</v>
      </c>
      <c r="AB4129" s="49">
        <f t="shared" si="453"/>
        <v>0</v>
      </c>
      <c r="AC4129" s="60">
        <f t="shared" si="454"/>
        <v>0</v>
      </c>
    </row>
    <row r="4130" spans="1:29">
      <c r="A4130" s="83" t="str">
        <f t="shared" si="449"/>
        <v/>
      </c>
      <c r="B4130" s="83" t="str">
        <f t="shared" si="455"/>
        <v/>
      </c>
      <c r="U4130" s="83" t="str">
        <f t="shared" si="450"/>
        <v/>
      </c>
      <c r="V4130" s="83" t="str">
        <f t="shared" si="451"/>
        <v/>
      </c>
      <c r="AA4130" s="60">
        <f t="shared" si="452"/>
        <v>0</v>
      </c>
      <c r="AB4130" s="49">
        <f t="shared" si="453"/>
        <v>0</v>
      </c>
      <c r="AC4130" s="60">
        <f t="shared" si="454"/>
        <v>0</v>
      </c>
    </row>
    <row r="4131" spans="1:29">
      <c r="A4131" s="83" t="str">
        <f t="shared" si="449"/>
        <v/>
      </c>
      <c r="B4131" s="83" t="str">
        <f t="shared" si="455"/>
        <v/>
      </c>
      <c r="U4131" s="83" t="str">
        <f t="shared" si="450"/>
        <v/>
      </c>
      <c r="V4131" s="83" t="str">
        <f t="shared" si="451"/>
        <v/>
      </c>
      <c r="AA4131" s="60">
        <f t="shared" si="452"/>
        <v>0</v>
      </c>
      <c r="AB4131" s="49">
        <f t="shared" si="453"/>
        <v>0</v>
      </c>
      <c r="AC4131" s="60">
        <f t="shared" si="454"/>
        <v>0</v>
      </c>
    </row>
    <row r="4132" spans="1:29">
      <c r="A4132" s="83" t="str">
        <f t="shared" si="449"/>
        <v/>
      </c>
      <c r="B4132" s="83" t="str">
        <f t="shared" si="455"/>
        <v/>
      </c>
      <c r="U4132" s="83" t="str">
        <f t="shared" si="450"/>
        <v/>
      </c>
      <c r="V4132" s="83" t="str">
        <f t="shared" si="451"/>
        <v/>
      </c>
      <c r="AA4132" s="60">
        <f t="shared" si="452"/>
        <v>0</v>
      </c>
      <c r="AB4132" s="49">
        <f t="shared" si="453"/>
        <v>0</v>
      </c>
      <c r="AC4132" s="60">
        <f t="shared" si="454"/>
        <v>0</v>
      </c>
    </row>
    <row r="4133" spans="1:29">
      <c r="A4133" s="83" t="str">
        <f t="shared" si="449"/>
        <v/>
      </c>
      <c r="B4133" s="83" t="str">
        <f t="shared" si="455"/>
        <v/>
      </c>
      <c r="U4133" s="83" t="str">
        <f t="shared" si="450"/>
        <v/>
      </c>
      <c r="V4133" s="83" t="str">
        <f t="shared" si="451"/>
        <v/>
      </c>
      <c r="AA4133" s="60">
        <f t="shared" si="452"/>
        <v>0</v>
      </c>
      <c r="AB4133" s="49">
        <f t="shared" si="453"/>
        <v>0</v>
      </c>
      <c r="AC4133" s="60">
        <f t="shared" si="454"/>
        <v>0</v>
      </c>
    </row>
    <row r="4134" spans="1:29">
      <c r="A4134" s="83" t="str">
        <f t="shared" si="449"/>
        <v/>
      </c>
      <c r="B4134" s="83" t="str">
        <f t="shared" si="455"/>
        <v/>
      </c>
      <c r="U4134" s="83" t="str">
        <f t="shared" si="450"/>
        <v/>
      </c>
      <c r="V4134" s="83" t="str">
        <f t="shared" si="451"/>
        <v/>
      </c>
      <c r="AA4134" s="60">
        <f t="shared" si="452"/>
        <v>0</v>
      </c>
      <c r="AB4134" s="49">
        <f t="shared" si="453"/>
        <v>0</v>
      </c>
      <c r="AC4134" s="60">
        <f t="shared" si="454"/>
        <v>0</v>
      </c>
    </row>
    <row r="4135" spans="1:29">
      <c r="A4135" s="83" t="str">
        <f t="shared" si="449"/>
        <v/>
      </c>
      <c r="B4135" s="83" t="str">
        <f t="shared" si="455"/>
        <v/>
      </c>
      <c r="U4135" s="83" t="str">
        <f t="shared" si="450"/>
        <v/>
      </c>
      <c r="V4135" s="83" t="str">
        <f t="shared" si="451"/>
        <v/>
      </c>
      <c r="AA4135" s="60">
        <f t="shared" si="452"/>
        <v>0</v>
      </c>
      <c r="AB4135" s="49">
        <f t="shared" si="453"/>
        <v>0</v>
      </c>
      <c r="AC4135" s="60">
        <f t="shared" si="454"/>
        <v>0</v>
      </c>
    </row>
    <row r="4136" spans="1:29">
      <c r="A4136" s="83" t="str">
        <f t="shared" si="449"/>
        <v/>
      </c>
      <c r="B4136" s="83" t="str">
        <f t="shared" si="455"/>
        <v/>
      </c>
      <c r="U4136" s="83" t="str">
        <f t="shared" si="450"/>
        <v/>
      </c>
      <c r="V4136" s="83" t="str">
        <f t="shared" si="451"/>
        <v/>
      </c>
      <c r="AA4136" s="60">
        <f t="shared" si="452"/>
        <v>0</v>
      </c>
      <c r="AB4136" s="49">
        <f t="shared" si="453"/>
        <v>0</v>
      </c>
      <c r="AC4136" s="60">
        <f t="shared" si="454"/>
        <v>0</v>
      </c>
    </row>
    <row r="4137" spans="1:29">
      <c r="A4137" s="83" t="str">
        <f t="shared" si="449"/>
        <v/>
      </c>
      <c r="B4137" s="83" t="str">
        <f t="shared" si="455"/>
        <v/>
      </c>
      <c r="U4137" s="83" t="str">
        <f t="shared" si="450"/>
        <v/>
      </c>
      <c r="V4137" s="83" t="str">
        <f t="shared" si="451"/>
        <v/>
      </c>
      <c r="AA4137" s="60">
        <f t="shared" si="452"/>
        <v>0</v>
      </c>
      <c r="AB4137" s="49">
        <f t="shared" si="453"/>
        <v>0</v>
      </c>
      <c r="AC4137" s="60">
        <f t="shared" si="454"/>
        <v>0</v>
      </c>
    </row>
    <row r="4138" spans="1:29">
      <c r="A4138" s="83" t="str">
        <f t="shared" si="449"/>
        <v/>
      </c>
      <c r="B4138" s="83" t="str">
        <f t="shared" si="455"/>
        <v/>
      </c>
      <c r="U4138" s="83" t="str">
        <f t="shared" si="450"/>
        <v/>
      </c>
      <c r="V4138" s="83" t="str">
        <f t="shared" si="451"/>
        <v/>
      </c>
      <c r="AA4138" s="60">
        <f t="shared" si="452"/>
        <v>0</v>
      </c>
      <c r="AB4138" s="49">
        <f t="shared" si="453"/>
        <v>0</v>
      </c>
      <c r="AC4138" s="60">
        <f t="shared" si="454"/>
        <v>0</v>
      </c>
    </row>
    <row r="4139" spans="1:29">
      <c r="A4139" s="83" t="str">
        <f t="shared" si="449"/>
        <v/>
      </c>
      <c r="B4139" s="83" t="str">
        <f t="shared" si="455"/>
        <v/>
      </c>
      <c r="U4139" s="83" t="str">
        <f t="shared" si="450"/>
        <v/>
      </c>
      <c r="V4139" s="83" t="str">
        <f t="shared" si="451"/>
        <v/>
      </c>
      <c r="AA4139" s="60">
        <f t="shared" si="452"/>
        <v>0</v>
      </c>
      <c r="AB4139" s="49">
        <f t="shared" si="453"/>
        <v>0</v>
      </c>
      <c r="AC4139" s="60">
        <f t="shared" si="454"/>
        <v>0</v>
      </c>
    </row>
    <row r="4140" spans="1:29">
      <c r="A4140" s="83" t="str">
        <f t="shared" si="449"/>
        <v/>
      </c>
      <c r="B4140" s="83" t="str">
        <f t="shared" si="455"/>
        <v/>
      </c>
      <c r="U4140" s="83" t="str">
        <f t="shared" si="450"/>
        <v/>
      </c>
      <c r="V4140" s="83" t="str">
        <f t="shared" si="451"/>
        <v/>
      </c>
      <c r="AA4140" s="60">
        <f t="shared" si="452"/>
        <v>0</v>
      </c>
      <c r="AB4140" s="49">
        <f t="shared" si="453"/>
        <v>0</v>
      </c>
      <c r="AC4140" s="60">
        <f t="shared" si="454"/>
        <v>0</v>
      </c>
    </row>
    <row r="4141" spans="1:29">
      <c r="A4141" s="83" t="str">
        <f t="shared" si="449"/>
        <v/>
      </c>
      <c r="B4141" s="83" t="str">
        <f t="shared" si="455"/>
        <v/>
      </c>
      <c r="U4141" s="83" t="str">
        <f t="shared" si="450"/>
        <v/>
      </c>
      <c r="V4141" s="83" t="str">
        <f t="shared" si="451"/>
        <v/>
      </c>
      <c r="AA4141" s="60">
        <f t="shared" si="452"/>
        <v>0</v>
      </c>
      <c r="AB4141" s="49">
        <f t="shared" si="453"/>
        <v>0</v>
      </c>
      <c r="AC4141" s="60">
        <f t="shared" si="454"/>
        <v>0</v>
      </c>
    </row>
    <row r="4142" spans="1:29">
      <c r="A4142" s="83" t="str">
        <f t="shared" si="449"/>
        <v/>
      </c>
      <c r="B4142" s="83" t="str">
        <f t="shared" si="455"/>
        <v/>
      </c>
      <c r="U4142" s="83" t="str">
        <f t="shared" si="450"/>
        <v/>
      </c>
      <c r="V4142" s="83" t="str">
        <f t="shared" si="451"/>
        <v/>
      </c>
      <c r="AA4142" s="60">
        <f t="shared" si="452"/>
        <v>0</v>
      </c>
      <c r="AB4142" s="49">
        <f t="shared" si="453"/>
        <v>0</v>
      </c>
      <c r="AC4142" s="60">
        <f t="shared" si="454"/>
        <v>0</v>
      </c>
    </row>
    <row r="4143" spans="1:29">
      <c r="A4143" s="83" t="str">
        <f t="shared" si="449"/>
        <v/>
      </c>
      <c r="B4143" s="83" t="str">
        <f t="shared" si="455"/>
        <v/>
      </c>
      <c r="U4143" s="83" t="str">
        <f t="shared" si="450"/>
        <v/>
      </c>
      <c r="V4143" s="83" t="str">
        <f t="shared" si="451"/>
        <v/>
      </c>
      <c r="AA4143" s="60">
        <f t="shared" si="452"/>
        <v>0</v>
      </c>
      <c r="AB4143" s="49">
        <f t="shared" si="453"/>
        <v>0</v>
      </c>
      <c r="AC4143" s="60">
        <f t="shared" si="454"/>
        <v>0</v>
      </c>
    </row>
    <row r="4144" spans="1:29">
      <c r="A4144" s="83" t="str">
        <f t="shared" si="449"/>
        <v/>
      </c>
      <c r="B4144" s="83" t="str">
        <f t="shared" si="455"/>
        <v/>
      </c>
      <c r="U4144" s="83" t="str">
        <f t="shared" si="450"/>
        <v/>
      </c>
      <c r="V4144" s="83" t="str">
        <f t="shared" si="451"/>
        <v/>
      </c>
      <c r="AA4144" s="60">
        <f t="shared" si="452"/>
        <v>0</v>
      </c>
      <c r="AB4144" s="49">
        <f t="shared" si="453"/>
        <v>0</v>
      </c>
      <c r="AC4144" s="60">
        <f t="shared" si="454"/>
        <v>0</v>
      </c>
    </row>
    <row r="4145" spans="1:29">
      <c r="A4145" s="83" t="str">
        <f t="shared" si="449"/>
        <v/>
      </c>
      <c r="B4145" s="83" t="str">
        <f t="shared" si="455"/>
        <v/>
      </c>
      <c r="U4145" s="83" t="str">
        <f t="shared" si="450"/>
        <v/>
      </c>
      <c r="V4145" s="83" t="str">
        <f t="shared" si="451"/>
        <v/>
      </c>
      <c r="AA4145" s="60">
        <f t="shared" si="452"/>
        <v>0</v>
      </c>
      <c r="AB4145" s="49">
        <f t="shared" si="453"/>
        <v>0</v>
      </c>
      <c r="AC4145" s="60">
        <f t="shared" si="454"/>
        <v>0</v>
      </c>
    </row>
    <row r="4146" spans="1:29">
      <c r="A4146" s="83" t="str">
        <f t="shared" si="449"/>
        <v/>
      </c>
      <c r="B4146" s="83" t="str">
        <f t="shared" si="455"/>
        <v/>
      </c>
      <c r="U4146" s="83" t="str">
        <f t="shared" si="450"/>
        <v/>
      </c>
      <c r="V4146" s="83" t="str">
        <f t="shared" si="451"/>
        <v/>
      </c>
      <c r="AA4146" s="60">
        <f t="shared" si="452"/>
        <v>0</v>
      </c>
      <c r="AB4146" s="49">
        <f t="shared" si="453"/>
        <v>0</v>
      </c>
      <c r="AC4146" s="60">
        <f t="shared" si="454"/>
        <v>0</v>
      </c>
    </row>
    <row r="4147" spans="1:29">
      <c r="A4147" s="83" t="str">
        <f t="shared" si="449"/>
        <v/>
      </c>
      <c r="B4147" s="83" t="str">
        <f t="shared" si="455"/>
        <v/>
      </c>
      <c r="U4147" s="83" t="str">
        <f t="shared" si="450"/>
        <v/>
      </c>
      <c r="V4147" s="83" t="str">
        <f t="shared" si="451"/>
        <v/>
      </c>
      <c r="AA4147" s="60">
        <f t="shared" si="452"/>
        <v>0</v>
      </c>
      <c r="AB4147" s="49">
        <f t="shared" si="453"/>
        <v>0</v>
      </c>
      <c r="AC4147" s="60">
        <f t="shared" si="454"/>
        <v>0</v>
      </c>
    </row>
    <row r="4148" spans="1:29">
      <c r="A4148" s="83" t="str">
        <f t="shared" si="449"/>
        <v/>
      </c>
      <c r="B4148" s="83" t="str">
        <f t="shared" si="455"/>
        <v/>
      </c>
      <c r="U4148" s="83" t="str">
        <f t="shared" si="450"/>
        <v/>
      </c>
      <c r="V4148" s="83" t="str">
        <f t="shared" si="451"/>
        <v/>
      </c>
      <c r="AA4148" s="60">
        <f t="shared" si="452"/>
        <v>0</v>
      </c>
      <c r="AB4148" s="49">
        <f t="shared" si="453"/>
        <v>0</v>
      </c>
      <c r="AC4148" s="60">
        <f t="shared" si="454"/>
        <v>0</v>
      </c>
    </row>
    <row r="4149" spans="1:29">
      <c r="A4149" s="83" t="str">
        <f t="shared" si="449"/>
        <v/>
      </c>
      <c r="B4149" s="83" t="str">
        <f t="shared" si="455"/>
        <v/>
      </c>
      <c r="U4149" s="83" t="str">
        <f t="shared" si="450"/>
        <v/>
      </c>
      <c r="V4149" s="83" t="str">
        <f t="shared" si="451"/>
        <v/>
      </c>
      <c r="AA4149" s="60">
        <f t="shared" si="452"/>
        <v>0</v>
      </c>
      <c r="AB4149" s="49">
        <f t="shared" si="453"/>
        <v>0</v>
      </c>
      <c r="AC4149" s="60">
        <f t="shared" si="454"/>
        <v>0</v>
      </c>
    </row>
    <row r="4150" spans="1:29">
      <c r="A4150" s="83" t="str">
        <f t="shared" si="449"/>
        <v/>
      </c>
      <c r="B4150" s="83" t="str">
        <f t="shared" si="455"/>
        <v/>
      </c>
      <c r="U4150" s="83" t="str">
        <f t="shared" si="450"/>
        <v/>
      </c>
      <c r="V4150" s="83" t="str">
        <f t="shared" si="451"/>
        <v/>
      </c>
      <c r="AA4150" s="60">
        <f t="shared" si="452"/>
        <v>0</v>
      </c>
      <c r="AB4150" s="49">
        <f t="shared" si="453"/>
        <v>0</v>
      </c>
      <c r="AC4150" s="60">
        <f t="shared" si="454"/>
        <v>0</v>
      </c>
    </row>
    <row r="4151" spans="1:29">
      <c r="A4151" s="83" t="str">
        <f t="shared" si="449"/>
        <v/>
      </c>
      <c r="B4151" s="83" t="str">
        <f t="shared" si="455"/>
        <v/>
      </c>
      <c r="U4151" s="83" t="str">
        <f t="shared" si="450"/>
        <v/>
      </c>
      <c r="V4151" s="83" t="str">
        <f t="shared" si="451"/>
        <v/>
      </c>
      <c r="AA4151" s="60">
        <f t="shared" si="452"/>
        <v>0</v>
      </c>
      <c r="AB4151" s="49">
        <f t="shared" si="453"/>
        <v>0</v>
      </c>
      <c r="AC4151" s="60">
        <f t="shared" si="454"/>
        <v>0</v>
      </c>
    </row>
    <row r="4152" spans="1:29">
      <c r="A4152" s="83" t="str">
        <f t="shared" si="449"/>
        <v/>
      </c>
      <c r="B4152" s="83" t="str">
        <f t="shared" si="455"/>
        <v/>
      </c>
      <c r="U4152" s="83" t="str">
        <f t="shared" si="450"/>
        <v/>
      </c>
      <c r="V4152" s="83" t="str">
        <f t="shared" si="451"/>
        <v/>
      </c>
      <c r="AA4152" s="60">
        <f t="shared" si="452"/>
        <v>0</v>
      </c>
      <c r="AB4152" s="49">
        <f t="shared" si="453"/>
        <v>0</v>
      </c>
      <c r="AC4152" s="60">
        <f t="shared" si="454"/>
        <v>0</v>
      </c>
    </row>
    <row r="4153" spans="1:29">
      <c r="A4153" s="83" t="str">
        <f t="shared" si="449"/>
        <v/>
      </c>
      <c r="B4153" s="83" t="str">
        <f t="shared" si="455"/>
        <v/>
      </c>
      <c r="U4153" s="83" t="str">
        <f t="shared" si="450"/>
        <v/>
      </c>
      <c r="V4153" s="83" t="str">
        <f t="shared" si="451"/>
        <v/>
      </c>
      <c r="AA4153" s="60">
        <f t="shared" si="452"/>
        <v>0</v>
      </c>
      <c r="AB4153" s="49">
        <f t="shared" si="453"/>
        <v>0</v>
      </c>
      <c r="AC4153" s="60">
        <f t="shared" si="454"/>
        <v>0</v>
      </c>
    </row>
    <row r="4154" spans="1:29">
      <c r="A4154" s="83" t="str">
        <f t="shared" si="449"/>
        <v/>
      </c>
      <c r="B4154" s="83" t="str">
        <f t="shared" si="455"/>
        <v/>
      </c>
      <c r="U4154" s="83" t="str">
        <f t="shared" si="450"/>
        <v/>
      </c>
      <c r="V4154" s="83" t="str">
        <f t="shared" si="451"/>
        <v/>
      </c>
      <c r="AA4154" s="60">
        <f t="shared" si="452"/>
        <v>0</v>
      </c>
      <c r="AB4154" s="49">
        <f t="shared" si="453"/>
        <v>0</v>
      </c>
      <c r="AC4154" s="60">
        <f t="shared" si="454"/>
        <v>0</v>
      </c>
    </row>
    <row r="4155" spans="1:29">
      <c r="A4155" s="83" t="str">
        <f t="shared" si="449"/>
        <v/>
      </c>
      <c r="B4155" s="83" t="str">
        <f t="shared" si="455"/>
        <v/>
      </c>
      <c r="U4155" s="83" t="str">
        <f t="shared" si="450"/>
        <v/>
      </c>
      <c r="V4155" s="83" t="str">
        <f t="shared" si="451"/>
        <v/>
      </c>
      <c r="AA4155" s="60">
        <f t="shared" si="452"/>
        <v>0</v>
      </c>
      <c r="AB4155" s="49">
        <f t="shared" si="453"/>
        <v>0</v>
      </c>
      <c r="AC4155" s="60">
        <f t="shared" si="454"/>
        <v>0</v>
      </c>
    </row>
    <row r="4156" spans="1:29">
      <c r="A4156" s="83" t="str">
        <f t="shared" si="449"/>
        <v/>
      </c>
      <c r="B4156" s="83" t="str">
        <f t="shared" si="455"/>
        <v/>
      </c>
      <c r="U4156" s="83" t="str">
        <f t="shared" si="450"/>
        <v/>
      </c>
      <c r="V4156" s="83" t="str">
        <f t="shared" si="451"/>
        <v/>
      </c>
      <c r="AA4156" s="60">
        <f t="shared" si="452"/>
        <v>0</v>
      </c>
      <c r="AB4156" s="49">
        <f t="shared" si="453"/>
        <v>0</v>
      </c>
      <c r="AC4156" s="60">
        <f t="shared" si="454"/>
        <v>0</v>
      </c>
    </row>
    <row r="4157" spans="1:29">
      <c r="A4157" s="83" t="str">
        <f t="shared" si="449"/>
        <v/>
      </c>
      <c r="B4157" s="83" t="str">
        <f t="shared" si="455"/>
        <v/>
      </c>
      <c r="U4157" s="83" t="str">
        <f t="shared" si="450"/>
        <v/>
      </c>
      <c r="V4157" s="83" t="str">
        <f t="shared" si="451"/>
        <v/>
      </c>
      <c r="AA4157" s="60">
        <f t="shared" si="452"/>
        <v>0</v>
      </c>
      <c r="AB4157" s="49">
        <f t="shared" si="453"/>
        <v>0</v>
      </c>
      <c r="AC4157" s="60">
        <f t="shared" si="454"/>
        <v>0</v>
      </c>
    </row>
    <row r="4158" spans="1:29">
      <c r="A4158" s="83" t="str">
        <f t="shared" si="449"/>
        <v/>
      </c>
      <c r="B4158" s="83" t="str">
        <f t="shared" si="455"/>
        <v/>
      </c>
      <c r="U4158" s="83" t="str">
        <f t="shared" si="450"/>
        <v/>
      </c>
      <c r="V4158" s="83" t="str">
        <f t="shared" si="451"/>
        <v/>
      </c>
      <c r="AA4158" s="60">
        <f t="shared" si="452"/>
        <v>0</v>
      </c>
      <c r="AB4158" s="49">
        <f t="shared" si="453"/>
        <v>0</v>
      </c>
      <c r="AC4158" s="60">
        <f t="shared" si="454"/>
        <v>0</v>
      </c>
    </row>
    <row r="4159" spans="1:29">
      <c r="A4159" s="83" t="str">
        <f t="shared" si="449"/>
        <v/>
      </c>
      <c r="B4159" s="83" t="str">
        <f t="shared" si="455"/>
        <v/>
      </c>
      <c r="U4159" s="83" t="str">
        <f t="shared" si="450"/>
        <v/>
      </c>
      <c r="V4159" s="83" t="str">
        <f t="shared" si="451"/>
        <v/>
      </c>
      <c r="AA4159" s="60">
        <f t="shared" si="452"/>
        <v>0</v>
      </c>
      <c r="AB4159" s="49">
        <f t="shared" si="453"/>
        <v>0</v>
      </c>
      <c r="AC4159" s="60">
        <f t="shared" si="454"/>
        <v>0</v>
      </c>
    </row>
    <row r="4160" spans="1:29">
      <c r="A4160" s="83" t="str">
        <f t="shared" si="449"/>
        <v/>
      </c>
      <c r="B4160" s="83" t="str">
        <f t="shared" si="455"/>
        <v/>
      </c>
      <c r="U4160" s="83" t="str">
        <f t="shared" si="450"/>
        <v/>
      </c>
      <c r="V4160" s="83" t="str">
        <f t="shared" si="451"/>
        <v/>
      </c>
      <c r="AA4160" s="60">
        <f t="shared" si="452"/>
        <v>0</v>
      </c>
      <c r="AB4160" s="49">
        <f t="shared" si="453"/>
        <v>0</v>
      </c>
      <c r="AC4160" s="60">
        <f t="shared" si="454"/>
        <v>0</v>
      </c>
    </row>
    <row r="4161" spans="1:29">
      <c r="A4161" s="83" t="str">
        <f t="shared" si="449"/>
        <v/>
      </c>
      <c r="B4161" s="83" t="str">
        <f t="shared" si="455"/>
        <v/>
      </c>
      <c r="U4161" s="83" t="str">
        <f t="shared" si="450"/>
        <v/>
      </c>
      <c r="V4161" s="83" t="str">
        <f t="shared" si="451"/>
        <v/>
      </c>
      <c r="AA4161" s="60">
        <f t="shared" si="452"/>
        <v>0</v>
      </c>
      <c r="AB4161" s="49">
        <f t="shared" si="453"/>
        <v>0</v>
      </c>
      <c r="AC4161" s="60">
        <f t="shared" si="454"/>
        <v>0</v>
      </c>
    </row>
    <row r="4162" spans="1:29">
      <c r="A4162" s="83" t="str">
        <f t="shared" si="449"/>
        <v/>
      </c>
      <c r="B4162" s="83" t="str">
        <f t="shared" si="455"/>
        <v/>
      </c>
      <c r="U4162" s="83" t="str">
        <f t="shared" si="450"/>
        <v/>
      </c>
      <c r="V4162" s="83" t="str">
        <f t="shared" si="451"/>
        <v/>
      </c>
      <c r="AA4162" s="60">
        <f t="shared" si="452"/>
        <v>0</v>
      </c>
      <c r="AB4162" s="49">
        <f t="shared" si="453"/>
        <v>0</v>
      </c>
      <c r="AC4162" s="60">
        <f t="shared" si="454"/>
        <v>0</v>
      </c>
    </row>
    <row r="4163" spans="1:29">
      <c r="A4163" s="83" t="str">
        <f t="shared" ref="A4163:A4226" si="456">IF(G4163&amp;Q4163&lt;&gt;"",U4163&amp;Q4163,"")</f>
        <v/>
      </c>
      <c r="B4163" s="83" t="str">
        <f t="shared" si="455"/>
        <v/>
      </c>
      <c r="U4163" s="83" t="str">
        <f t="shared" ref="U4163:U4226" si="457">IF(G4163&lt;&gt;"",IF(StyleSpaceSplit,IFERROR(IF(FIND(" ",G4163)&gt;=1,MID(G4163,1,FIND(" ",G4163)-1),G4163),G4163),G4163),"")</f>
        <v/>
      </c>
      <c r="V4163" s="83" t="str">
        <f t="shared" ref="V4163:V4226" si="458">IF(A4163&lt;&gt;"",IFERROR(IF(FIND(" ",G4163)&gt;=1,MID(G4163,FIND(" ",G4163)+1,LEN(G4163)),""),G4163),"")</f>
        <v/>
      </c>
      <c r="AA4163" s="60">
        <f t="shared" ref="AA4163:AA4226" si="459">IFERROR(VALUE(MID($C4163,1,2)),0)</f>
        <v>0</v>
      </c>
      <c r="AB4163" s="49">
        <f t="shared" ref="AB4163:AB4226" si="460">IFERROR(VALUE(MID($C4163,4,3)),0)</f>
        <v>0</v>
      </c>
      <c r="AC4163" s="60">
        <f t="shared" ref="AC4163:AC4226" si="461">VALUE(RIGHT("00"&amp;AA4163,2)&amp;RIGHT("000"&amp;AB4163,3))</f>
        <v>0</v>
      </c>
    </row>
    <row r="4164" spans="1:29">
      <c r="A4164" s="83" t="str">
        <f t="shared" si="456"/>
        <v/>
      </c>
      <c r="B4164" s="83" t="str">
        <f t="shared" si="455"/>
        <v/>
      </c>
      <c r="U4164" s="83" t="str">
        <f t="shared" si="457"/>
        <v/>
      </c>
      <c r="V4164" s="83" t="str">
        <f t="shared" si="458"/>
        <v/>
      </c>
      <c r="AA4164" s="60">
        <f t="shared" si="459"/>
        <v>0</v>
      </c>
      <c r="AB4164" s="49">
        <f t="shared" si="460"/>
        <v>0</v>
      </c>
      <c r="AC4164" s="60">
        <f t="shared" si="461"/>
        <v>0</v>
      </c>
    </row>
    <row r="4165" spans="1:29">
      <c r="A4165" s="83" t="str">
        <f t="shared" si="456"/>
        <v/>
      </c>
      <c r="B4165" s="83" t="str">
        <f t="shared" si="455"/>
        <v/>
      </c>
      <c r="U4165" s="83" t="str">
        <f t="shared" si="457"/>
        <v/>
      </c>
      <c r="V4165" s="83" t="str">
        <f t="shared" si="458"/>
        <v/>
      </c>
      <c r="AA4165" s="60">
        <f t="shared" si="459"/>
        <v>0</v>
      </c>
      <c r="AB4165" s="49">
        <f t="shared" si="460"/>
        <v>0</v>
      </c>
      <c r="AC4165" s="60">
        <f t="shared" si="461"/>
        <v>0</v>
      </c>
    </row>
    <row r="4166" spans="1:29">
      <c r="A4166" s="83" t="str">
        <f t="shared" si="456"/>
        <v/>
      </c>
      <c r="B4166" s="83" t="str">
        <f t="shared" si="455"/>
        <v/>
      </c>
      <c r="U4166" s="83" t="str">
        <f t="shared" si="457"/>
        <v/>
      </c>
      <c r="V4166" s="83" t="str">
        <f t="shared" si="458"/>
        <v/>
      </c>
      <c r="AA4166" s="60">
        <f t="shared" si="459"/>
        <v>0</v>
      </c>
      <c r="AB4166" s="49">
        <f t="shared" si="460"/>
        <v>0</v>
      </c>
      <c r="AC4166" s="60">
        <f t="shared" si="461"/>
        <v>0</v>
      </c>
    </row>
    <row r="4167" spans="1:29">
      <c r="A4167" s="83" t="str">
        <f t="shared" si="456"/>
        <v/>
      </c>
      <c r="B4167" s="83" t="str">
        <f t="shared" si="455"/>
        <v/>
      </c>
      <c r="U4167" s="83" t="str">
        <f t="shared" si="457"/>
        <v/>
      </c>
      <c r="V4167" s="83" t="str">
        <f t="shared" si="458"/>
        <v/>
      </c>
      <c r="AA4167" s="60">
        <f t="shared" si="459"/>
        <v>0</v>
      </c>
      <c r="AB4167" s="49">
        <f t="shared" si="460"/>
        <v>0</v>
      </c>
      <c r="AC4167" s="60">
        <f t="shared" si="461"/>
        <v>0</v>
      </c>
    </row>
    <row r="4168" spans="1:29">
      <c r="A4168" s="83" t="str">
        <f t="shared" si="456"/>
        <v/>
      </c>
      <c r="B4168" s="83" t="str">
        <f t="shared" si="455"/>
        <v/>
      </c>
      <c r="U4168" s="83" t="str">
        <f t="shared" si="457"/>
        <v/>
      </c>
      <c r="V4168" s="83" t="str">
        <f t="shared" si="458"/>
        <v/>
      </c>
      <c r="AA4168" s="60">
        <f t="shared" si="459"/>
        <v>0</v>
      </c>
      <c r="AB4168" s="49">
        <f t="shared" si="460"/>
        <v>0</v>
      </c>
      <c r="AC4168" s="60">
        <f t="shared" si="461"/>
        <v>0</v>
      </c>
    </row>
    <row r="4169" spans="1:29">
      <c r="A4169" s="83" t="str">
        <f t="shared" si="456"/>
        <v/>
      </c>
      <c r="B4169" s="83" t="str">
        <f t="shared" si="455"/>
        <v/>
      </c>
      <c r="U4169" s="83" t="str">
        <f t="shared" si="457"/>
        <v/>
      </c>
      <c r="V4169" s="83" t="str">
        <f t="shared" si="458"/>
        <v/>
      </c>
      <c r="AA4169" s="60">
        <f t="shared" si="459"/>
        <v>0</v>
      </c>
      <c r="AB4169" s="49">
        <f t="shared" si="460"/>
        <v>0</v>
      </c>
      <c r="AC4169" s="60">
        <f t="shared" si="461"/>
        <v>0</v>
      </c>
    </row>
    <row r="4170" spans="1:29">
      <c r="A4170" s="83" t="str">
        <f t="shared" si="456"/>
        <v/>
      </c>
      <c r="B4170" s="83" t="str">
        <f t="shared" si="455"/>
        <v/>
      </c>
      <c r="U4170" s="83" t="str">
        <f t="shared" si="457"/>
        <v/>
      </c>
      <c r="V4170" s="83" t="str">
        <f t="shared" si="458"/>
        <v/>
      </c>
      <c r="AA4170" s="60">
        <f t="shared" si="459"/>
        <v>0</v>
      </c>
      <c r="AB4170" s="49">
        <f t="shared" si="460"/>
        <v>0</v>
      </c>
      <c r="AC4170" s="60">
        <f t="shared" si="461"/>
        <v>0</v>
      </c>
    </row>
    <row r="4171" spans="1:29">
      <c r="A4171" s="83" t="str">
        <f t="shared" si="456"/>
        <v/>
      </c>
      <c r="B4171" s="83" t="str">
        <f t="shared" si="455"/>
        <v/>
      </c>
      <c r="U4171" s="83" t="str">
        <f t="shared" si="457"/>
        <v/>
      </c>
      <c r="V4171" s="83" t="str">
        <f t="shared" si="458"/>
        <v/>
      </c>
      <c r="AA4171" s="60">
        <f t="shared" si="459"/>
        <v>0</v>
      </c>
      <c r="AB4171" s="49">
        <f t="shared" si="460"/>
        <v>0</v>
      </c>
      <c r="AC4171" s="60">
        <f t="shared" si="461"/>
        <v>0</v>
      </c>
    </row>
    <row r="4172" spans="1:29">
      <c r="A4172" s="83" t="str">
        <f t="shared" si="456"/>
        <v/>
      </c>
      <c r="B4172" s="83" t="str">
        <f t="shared" si="455"/>
        <v/>
      </c>
      <c r="U4172" s="83" t="str">
        <f t="shared" si="457"/>
        <v/>
      </c>
      <c r="V4172" s="83" t="str">
        <f t="shared" si="458"/>
        <v/>
      </c>
      <c r="AA4172" s="60">
        <f t="shared" si="459"/>
        <v>0</v>
      </c>
      <c r="AB4172" s="49">
        <f t="shared" si="460"/>
        <v>0</v>
      </c>
      <c r="AC4172" s="60">
        <f t="shared" si="461"/>
        <v>0</v>
      </c>
    </row>
    <row r="4173" spans="1:29">
      <c r="A4173" s="83" t="str">
        <f t="shared" si="456"/>
        <v/>
      </c>
      <c r="B4173" s="83" t="str">
        <f t="shared" si="455"/>
        <v/>
      </c>
      <c r="U4173" s="83" t="str">
        <f t="shared" si="457"/>
        <v/>
      </c>
      <c r="V4173" s="83" t="str">
        <f t="shared" si="458"/>
        <v/>
      </c>
      <c r="AA4173" s="60">
        <f t="shared" si="459"/>
        <v>0</v>
      </c>
      <c r="AB4173" s="49">
        <f t="shared" si="460"/>
        <v>0</v>
      </c>
      <c r="AC4173" s="60">
        <f t="shared" si="461"/>
        <v>0</v>
      </c>
    </row>
    <row r="4174" spans="1:29">
      <c r="A4174" s="83" t="str">
        <f t="shared" si="456"/>
        <v/>
      </c>
      <c r="B4174" s="83" t="str">
        <f t="shared" si="455"/>
        <v/>
      </c>
      <c r="U4174" s="83" t="str">
        <f t="shared" si="457"/>
        <v/>
      </c>
      <c r="V4174" s="83" t="str">
        <f t="shared" si="458"/>
        <v/>
      </c>
      <c r="AA4174" s="60">
        <f t="shared" si="459"/>
        <v>0</v>
      </c>
      <c r="AB4174" s="49">
        <f t="shared" si="460"/>
        <v>0</v>
      </c>
      <c r="AC4174" s="60">
        <f t="shared" si="461"/>
        <v>0</v>
      </c>
    </row>
    <row r="4175" spans="1:29">
      <c r="A4175" s="83" t="str">
        <f t="shared" si="456"/>
        <v/>
      </c>
      <c r="B4175" s="83" t="str">
        <f t="shared" si="455"/>
        <v/>
      </c>
      <c r="U4175" s="83" t="str">
        <f t="shared" si="457"/>
        <v/>
      </c>
      <c r="V4175" s="83" t="str">
        <f t="shared" si="458"/>
        <v/>
      </c>
      <c r="AA4175" s="60">
        <f t="shared" si="459"/>
        <v>0</v>
      </c>
      <c r="AB4175" s="49">
        <f t="shared" si="460"/>
        <v>0</v>
      </c>
      <c r="AC4175" s="60">
        <f t="shared" si="461"/>
        <v>0</v>
      </c>
    </row>
    <row r="4176" spans="1:29">
      <c r="A4176" s="83" t="str">
        <f t="shared" si="456"/>
        <v/>
      </c>
      <c r="B4176" s="83" t="str">
        <f t="shared" si="455"/>
        <v/>
      </c>
      <c r="U4176" s="83" t="str">
        <f t="shared" si="457"/>
        <v/>
      </c>
      <c r="V4176" s="83" t="str">
        <f t="shared" si="458"/>
        <v/>
      </c>
      <c r="AA4176" s="60">
        <f t="shared" si="459"/>
        <v>0</v>
      </c>
      <c r="AB4176" s="49">
        <f t="shared" si="460"/>
        <v>0</v>
      </c>
      <c r="AC4176" s="60">
        <f t="shared" si="461"/>
        <v>0</v>
      </c>
    </row>
    <row r="4177" spans="1:29">
      <c r="A4177" s="83" t="str">
        <f t="shared" si="456"/>
        <v/>
      </c>
      <c r="B4177" s="83" t="str">
        <f t="shared" si="455"/>
        <v/>
      </c>
      <c r="U4177" s="83" t="str">
        <f t="shared" si="457"/>
        <v/>
      </c>
      <c r="V4177" s="83" t="str">
        <f t="shared" si="458"/>
        <v/>
      </c>
      <c r="AA4177" s="60">
        <f t="shared" si="459"/>
        <v>0</v>
      </c>
      <c r="AB4177" s="49">
        <f t="shared" si="460"/>
        <v>0</v>
      </c>
      <c r="AC4177" s="60">
        <f t="shared" si="461"/>
        <v>0</v>
      </c>
    </row>
    <row r="4178" spans="1:29">
      <c r="A4178" s="83" t="str">
        <f t="shared" si="456"/>
        <v/>
      </c>
      <c r="B4178" s="83" t="str">
        <f t="shared" si="455"/>
        <v/>
      </c>
      <c r="U4178" s="83" t="str">
        <f t="shared" si="457"/>
        <v/>
      </c>
      <c r="V4178" s="83" t="str">
        <f t="shared" si="458"/>
        <v/>
      </c>
      <c r="AA4178" s="60">
        <f t="shared" si="459"/>
        <v>0</v>
      </c>
      <c r="AB4178" s="49">
        <f t="shared" si="460"/>
        <v>0</v>
      </c>
      <c r="AC4178" s="60">
        <f t="shared" si="461"/>
        <v>0</v>
      </c>
    </row>
    <row r="4179" spans="1:29">
      <c r="A4179" s="83" t="str">
        <f t="shared" si="456"/>
        <v/>
      </c>
      <c r="B4179" s="83" t="str">
        <f t="shared" si="455"/>
        <v/>
      </c>
      <c r="U4179" s="83" t="str">
        <f t="shared" si="457"/>
        <v/>
      </c>
      <c r="V4179" s="83" t="str">
        <f t="shared" si="458"/>
        <v/>
      </c>
      <c r="AA4179" s="60">
        <f t="shared" si="459"/>
        <v>0</v>
      </c>
      <c r="AB4179" s="49">
        <f t="shared" si="460"/>
        <v>0</v>
      </c>
      <c r="AC4179" s="60">
        <f t="shared" si="461"/>
        <v>0</v>
      </c>
    </row>
    <row r="4180" spans="1:29">
      <c r="A4180" s="83" t="str">
        <f t="shared" si="456"/>
        <v/>
      </c>
      <c r="B4180" s="83" t="str">
        <f t="shared" si="455"/>
        <v/>
      </c>
      <c r="U4180" s="83" t="str">
        <f t="shared" si="457"/>
        <v/>
      </c>
      <c r="V4180" s="83" t="str">
        <f t="shared" si="458"/>
        <v/>
      </c>
      <c r="AA4180" s="60">
        <f t="shared" si="459"/>
        <v>0</v>
      </c>
      <c r="AB4180" s="49">
        <f t="shared" si="460"/>
        <v>0</v>
      </c>
      <c r="AC4180" s="60">
        <f t="shared" si="461"/>
        <v>0</v>
      </c>
    </row>
    <row r="4181" spans="1:29">
      <c r="A4181" s="83" t="str">
        <f t="shared" si="456"/>
        <v/>
      </c>
      <c r="B4181" s="83" t="str">
        <f t="shared" si="455"/>
        <v/>
      </c>
      <c r="U4181" s="83" t="str">
        <f t="shared" si="457"/>
        <v/>
      </c>
      <c r="V4181" s="83" t="str">
        <f t="shared" si="458"/>
        <v/>
      </c>
      <c r="AA4181" s="60">
        <f t="shared" si="459"/>
        <v>0</v>
      </c>
      <c r="AB4181" s="49">
        <f t="shared" si="460"/>
        <v>0</v>
      </c>
      <c r="AC4181" s="60">
        <f t="shared" si="461"/>
        <v>0</v>
      </c>
    </row>
    <row r="4182" spans="1:29">
      <c r="A4182" s="83" t="str">
        <f t="shared" si="456"/>
        <v/>
      </c>
      <c r="B4182" s="83" t="str">
        <f t="shared" si="455"/>
        <v/>
      </c>
      <c r="U4182" s="83" t="str">
        <f t="shared" si="457"/>
        <v/>
      </c>
      <c r="V4182" s="83" t="str">
        <f t="shared" si="458"/>
        <v/>
      </c>
      <c r="AA4182" s="60">
        <f t="shared" si="459"/>
        <v>0</v>
      </c>
      <c r="AB4182" s="49">
        <f t="shared" si="460"/>
        <v>0</v>
      </c>
      <c r="AC4182" s="60">
        <f t="shared" si="461"/>
        <v>0</v>
      </c>
    </row>
    <row r="4183" spans="1:29">
      <c r="A4183" s="83" t="str">
        <f t="shared" si="456"/>
        <v/>
      </c>
      <c r="B4183" s="83" t="str">
        <f t="shared" si="455"/>
        <v/>
      </c>
      <c r="U4183" s="83" t="str">
        <f t="shared" si="457"/>
        <v/>
      </c>
      <c r="V4183" s="83" t="str">
        <f t="shared" si="458"/>
        <v/>
      </c>
      <c r="AA4183" s="60">
        <f t="shared" si="459"/>
        <v>0</v>
      </c>
      <c r="AB4183" s="49">
        <f t="shared" si="460"/>
        <v>0</v>
      </c>
      <c r="AC4183" s="60">
        <f t="shared" si="461"/>
        <v>0</v>
      </c>
    </row>
    <row r="4184" spans="1:29">
      <c r="A4184" s="83" t="str">
        <f t="shared" si="456"/>
        <v/>
      </c>
      <c r="B4184" s="83" t="str">
        <f t="shared" si="455"/>
        <v/>
      </c>
      <c r="U4184" s="83" t="str">
        <f t="shared" si="457"/>
        <v/>
      </c>
      <c r="V4184" s="83" t="str">
        <f t="shared" si="458"/>
        <v/>
      </c>
      <c r="AA4184" s="60">
        <f t="shared" si="459"/>
        <v>0</v>
      </c>
      <c r="AB4184" s="49">
        <f t="shared" si="460"/>
        <v>0</v>
      </c>
      <c r="AC4184" s="60">
        <f t="shared" si="461"/>
        <v>0</v>
      </c>
    </row>
    <row r="4185" spans="1:29">
      <c r="A4185" s="83" t="str">
        <f t="shared" si="456"/>
        <v/>
      </c>
      <c r="B4185" s="83" t="str">
        <f t="shared" si="455"/>
        <v/>
      </c>
      <c r="U4185" s="83" t="str">
        <f t="shared" si="457"/>
        <v/>
      </c>
      <c r="V4185" s="83" t="str">
        <f t="shared" si="458"/>
        <v/>
      </c>
      <c r="AA4185" s="60">
        <f t="shared" si="459"/>
        <v>0</v>
      </c>
      <c r="AB4185" s="49">
        <f t="shared" si="460"/>
        <v>0</v>
      </c>
      <c r="AC4185" s="60">
        <f t="shared" si="461"/>
        <v>0</v>
      </c>
    </row>
    <row r="4186" spans="1:29">
      <c r="A4186" s="83" t="str">
        <f t="shared" si="456"/>
        <v/>
      </c>
      <c r="B4186" s="83" t="str">
        <f t="shared" si="455"/>
        <v/>
      </c>
      <c r="U4186" s="83" t="str">
        <f t="shared" si="457"/>
        <v/>
      </c>
      <c r="V4186" s="83" t="str">
        <f t="shared" si="458"/>
        <v/>
      </c>
      <c r="AA4186" s="60">
        <f t="shared" si="459"/>
        <v>0</v>
      </c>
      <c r="AB4186" s="49">
        <f t="shared" si="460"/>
        <v>0</v>
      </c>
      <c r="AC4186" s="60">
        <f t="shared" si="461"/>
        <v>0</v>
      </c>
    </row>
    <row r="4187" spans="1:29">
      <c r="A4187" s="83" t="str">
        <f t="shared" si="456"/>
        <v/>
      </c>
      <c r="B4187" s="83" t="str">
        <f t="shared" si="455"/>
        <v/>
      </c>
      <c r="U4187" s="83" t="str">
        <f t="shared" si="457"/>
        <v/>
      </c>
      <c r="V4187" s="83" t="str">
        <f t="shared" si="458"/>
        <v/>
      </c>
      <c r="AA4187" s="60">
        <f t="shared" si="459"/>
        <v>0</v>
      </c>
      <c r="AB4187" s="49">
        <f t="shared" si="460"/>
        <v>0</v>
      </c>
      <c r="AC4187" s="60">
        <f t="shared" si="461"/>
        <v>0</v>
      </c>
    </row>
    <row r="4188" spans="1:29">
      <c r="A4188" s="83" t="str">
        <f t="shared" si="456"/>
        <v/>
      </c>
      <c r="B4188" s="83" t="str">
        <f t="shared" si="455"/>
        <v/>
      </c>
      <c r="U4188" s="83" t="str">
        <f t="shared" si="457"/>
        <v/>
      </c>
      <c r="V4188" s="83" t="str">
        <f t="shared" si="458"/>
        <v/>
      </c>
      <c r="AA4188" s="60">
        <f t="shared" si="459"/>
        <v>0</v>
      </c>
      <c r="AB4188" s="49">
        <f t="shared" si="460"/>
        <v>0</v>
      </c>
      <c r="AC4188" s="60">
        <f t="shared" si="461"/>
        <v>0</v>
      </c>
    </row>
    <row r="4189" spans="1:29">
      <c r="A4189" s="83" t="str">
        <f t="shared" si="456"/>
        <v/>
      </c>
      <c r="B4189" s="83" t="str">
        <f t="shared" si="455"/>
        <v/>
      </c>
      <c r="U4189" s="83" t="str">
        <f t="shared" si="457"/>
        <v/>
      </c>
      <c r="V4189" s="83" t="str">
        <f t="shared" si="458"/>
        <v/>
      </c>
      <c r="AA4189" s="60">
        <f t="shared" si="459"/>
        <v>0</v>
      </c>
      <c r="AB4189" s="49">
        <f t="shared" si="460"/>
        <v>0</v>
      </c>
      <c r="AC4189" s="60">
        <f t="shared" si="461"/>
        <v>0</v>
      </c>
    </row>
    <row r="4190" spans="1:29">
      <c r="A4190" s="83" t="str">
        <f t="shared" si="456"/>
        <v/>
      </c>
      <c r="B4190" s="83" t="str">
        <f t="shared" si="455"/>
        <v/>
      </c>
      <c r="U4190" s="83" t="str">
        <f t="shared" si="457"/>
        <v/>
      </c>
      <c r="V4190" s="83" t="str">
        <f t="shared" si="458"/>
        <v/>
      </c>
      <c r="AA4190" s="60">
        <f t="shared" si="459"/>
        <v>0</v>
      </c>
      <c r="AB4190" s="49">
        <f t="shared" si="460"/>
        <v>0</v>
      </c>
      <c r="AC4190" s="60">
        <f t="shared" si="461"/>
        <v>0</v>
      </c>
    </row>
    <row r="4191" spans="1:29">
      <c r="A4191" s="83" t="str">
        <f t="shared" si="456"/>
        <v/>
      </c>
      <c r="B4191" s="83" t="str">
        <f t="shared" si="455"/>
        <v/>
      </c>
      <c r="U4191" s="83" t="str">
        <f t="shared" si="457"/>
        <v/>
      </c>
      <c r="V4191" s="83" t="str">
        <f t="shared" si="458"/>
        <v/>
      </c>
      <c r="AA4191" s="60">
        <f t="shared" si="459"/>
        <v>0</v>
      </c>
      <c r="AB4191" s="49">
        <f t="shared" si="460"/>
        <v>0</v>
      </c>
      <c r="AC4191" s="60">
        <f t="shared" si="461"/>
        <v>0</v>
      </c>
    </row>
    <row r="4192" spans="1:29">
      <c r="A4192" s="83" t="str">
        <f t="shared" si="456"/>
        <v/>
      </c>
      <c r="B4192" s="83" t="str">
        <f t="shared" si="455"/>
        <v/>
      </c>
      <c r="U4192" s="83" t="str">
        <f t="shared" si="457"/>
        <v/>
      </c>
      <c r="V4192" s="83" t="str">
        <f t="shared" si="458"/>
        <v/>
      </c>
      <c r="AA4192" s="60">
        <f t="shared" si="459"/>
        <v>0</v>
      </c>
      <c r="AB4192" s="49">
        <f t="shared" si="460"/>
        <v>0</v>
      </c>
      <c r="AC4192" s="60">
        <f t="shared" si="461"/>
        <v>0</v>
      </c>
    </row>
    <row r="4193" spans="1:29">
      <c r="A4193" s="83" t="str">
        <f t="shared" si="456"/>
        <v/>
      </c>
      <c r="B4193" s="83" t="str">
        <f t="shared" ref="B4193:B4256" si="462">IF(C4193&lt;&gt;"",LEFT(C4193,9),"")</f>
        <v/>
      </c>
      <c r="U4193" s="83" t="str">
        <f t="shared" si="457"/>
        <v/>
      </c>
      <c r="V4193" s="83" t="str">
        <f t="shared" si="458"/>
        <v/>
      </c>
      <c r="AA4193" s="60">
        <f t="shared" si="459"/>
        <v>0</v>
      </c>
      <c r="AB4193" s="49">
        <f t="shared" si="460"/>
        <v>0</v>
      </c>
      <c r="AC4193" s="60">
        <f t="shared" si="461"/>
        <v>0</v>
      </c>
    </row>
    <row r="4194" spans="1:29">
      <c r="A4194" s="83" t="str">
        <f t="shared" si="456"/>
        <v/>
      </c>
      <c r="B4194" s="83" t="str">
        <f t="shared" si="462"/>
        <v/>
      </c>
      <c r="U4194" s="83" t="str">
        <f t="shared" si="457"/>
        <v/>
      </c>
      <c r="V4194" s="83" t="str">
        <f t="shared" si="458"/>
        <v/>
      </c>
      <c r="AA4194" s="60">
        <f t="shared" si="459"/>
        <v>0</v>
      </c>
      <c r="AB4194" s="49">
        <f t="shared" si="460"/>
        <v>0</v>
      </c>
      <c r="AC4194" s="60">
        <f t="shared" si="461"/>
        <v>0</v>
      </c>
    </row>
    <row r="4195" spans="1:29">
      <c r="A4195" s="83" t="str">
        <f t="shared" si="456"/>
        <v/>
      </c>
      <c r="B4195" s="83" t="str">
        <f t="shared" si="462"/>
        <v/>
      </c>
      <c r="U4195" s="83" t="str">
        <f t="shared" si="457"/>
        <v/>
      </c>
      <c r="V4195" s="83" t="str">
        <f t="shared" si="458"/>
        <v/>
      </c>
      <c r="AA4195" s="60">
        <f t="shared" si="459"/>
        <v>0</v>
      </c>
      <c r="AB4195" s="49">
        <f t="shared" si="460"/>
        <v>0</v>
      </c>
      <c r="AC4195" s="60">
        <f t="shared" si="461"/>
        <v>0</v>
      </c>
    </row>
    <row r="4196" spans="1:29">
      <c r="A4196" s="83" t="str">
        <f t="shared" si="456"/>
        <v/>
      </c>
      <c r="B4196" s="83" t="str">
        <f t="shared" si="462"/>
        <v/>
      </c>
      <c r="U4196" s="83" t="str">
        <f t="shared" si="457"/>
        <v/>
      </c>
      <c r="V4196" s="83" t="str">
        <f t="shared" si="458"/>
        <v/>
      </c>
      <c r="AA4196" s="60">
        <f t="shared" si="459"/>
        <v>0</v>
      </c>
      <c r="AB4196" s="49">
        <f t="shared" si="460"/>
        <v>0</v>
      </c>
      <c r="AC4196" s="60">
        <f t="shared" si="461"/>
        <v>0</v>
      </c>
    </row>
    <row r="4197" spans="1:29">
      <c r="A4197" s="83" t="str">
        <f t="shared" si="456"/>
        <v/>
      </c>
      <c r="B4197" s="83" t="str">
        <f t="shared" si="462"/>
        <v/>
      </c>
      <c r="U4197" s="83" t="str">
        <f t="shared" si="457"/>
        <v/>
      </c>
      <c r="V4197" s="83" t="str">
        <f t="shared" si="458"/>
        <v/>
      </c>
      <c r="AA4197" s="60">
        <f t="shared" si="459"/>
        <v>0</v>
      </c>
      <c r="AB4197" s="49">
        <f t="shared" si="460"/>
        <v>0</v>
      </c>
      <c r="AC4197" s="60">
        <f t="shared" si="461"/>
        <v>0</v>
      </c>
    </row>
    <row r="4198" spans="1:29">
      <c r="A4198" s="83" t="str">
        <f t="shared" si="456"/>
        <v/>
      </c>
      <c r="B4198" s="83" t="str">
        <f t="shared" si="462"/>
        <v/>
      </c>
      <c r="U4198" s="83" t="str">
        <f t="shared" si="457"/>
        <v/>
      </c>
      <c r="V4198" s="83" t="str">
        <f t="shared" si="458"/>
        <v/>
      </c>
      <c r="AA4198" s="60">
        <f t="shared" si="459"/>
        <v>0</v>
      </c>
      <c r="AB4198" s="49">
        <f t="shared" si="460"/>
        <v>0</v>
      </c>
      <c r="AC4198" s="60">
        <f t="shared" si="461"/>
        <v>0</v>
      </c>
    </row>
    <row r="4199" spans="1:29">
      <c r="A4199" s="83" t="str">
        <f t="shared" si="456"/>
        <v/>
      </c>
      <c r="B4199" s="83" t="str">
        <f t="shared" si="462"/>
        <v/>
      </c>
      <c r="U4199" s="83" t="str">
        <f t="shared" si="457"/>
        <v/>
      </c>
      <c r="V4199" s="83" t="str">
        <f t="shared" si="458"/>
        <v/>
      </c>
      <c r="AA4199" s="60">
        <f t="shared" si="459"/>
        <v>0</v>
      </c>
      <c r="AB4199" s="49">
        <f t="shared" si="460"/>
        <v>0</v>
      </c>
      <c r="AC4199" s="60">
        <f t="shared" si="461"/>
        <v>0</v>
      </c>
    </row>
    <row r="4200" spans="1:29">
      <c r="A4200" s="83" t="str">
        <f t="shared" si="456"/>
        <v/>
      </c>
      <c r="B4200" s="83" t="str">
        <f t="shared" si="462"/>
        <v/>
      </c>
      <c r="U4200" s="83" t="str">
        <f t="shared" si="457"/>
        <v/>
      </c>
      <c r="V4200" s="83" t="str">
        <f t="shared" si="458"/>
        <v/>
      </c>
      <c r="AA4200" s="60">
        <f t="shared" si="459"/>
        <v>0</v>
      </c>
      <c r="AB4200" s="49">
        <f t="shared" si="460"/>
        <v>0</v>
      </c>
      <c r="AC4200" s="60">
        <f t="shared" si="461"/>
        <v>0</v>
      </c>
    </row>
    <row r="4201" spans="1:29">
      <c r="A4201" s="83" t="str">
        <f t="shared" si="456"/>
        <v/>
      </c>
      <c r="B4201" s="83" t="str">
        <f t="shared" si="462"/>
        <v/>
      </c>
      <c r="U4201" s="83" t="str">
        <f t="shared" si="457"/>
        <v/>
      </c>
      <c r="V4201" s="83" t="str">
        <f t="shared" si="458"/>
        <v/>
      </c>
      <c r="AA4201" s="60">
        <f t="shared" si="459"/>
        <v>0</v>
      </c>
      <c r="AB4201" s="49">
        <f t="shared" si="460"/>
        <v>0</v>
      </c>
      <c r="AC4201" s="60">
        <f t="shared" si="461"/>
        <v>0</v>
      </c>
    </row>
    <row r="4202" spans="1:29">
      <c r="A4202" s="83" t="str">
        <f t="shared" si="456"/>
        <v/>
      </c>
      <c r="B4202" s="83" t="str">
        <f t="shared" si="462"/>
        <v/>
      </c>
      <c r="U4202" s="83" t="str">
        <f t="shared" si="457"/>
        <v/>
      </c>
      <c r="V4202" s="83" t="str">
        <f t="shared" si="458"/>
        <v/>
      </c>
      <c r="AA4202" s="60">
        <f t="shared" si="459"/>
        <v>0</v>
      </c>
      <c r="AB4202" s="49">
        <f t="shared" si="460"/>
        <v>0</v>
      </c>
      <c r="AC4202" s="60">
        <f t="shared" si="461"/>
        <v>0</v>
      </c>
    </row>
    <row r="4203" spans="1:29">
      <c r="A4203" s="83" t="str">
        <f t="shared" si="456"/>
        <v/>
      </c>
      <c r="B4203" s="83" t="str">
        <f t="shared" si="462"/>
        <v/>
      </c>
      <c r="U4203" s="83" t="str">
        <f t="shared" si="457"/>
        <v/>
      </c>
      <c r="V4203" s="83" t="str">
        <f t="shared" si="458"/>
        <v/>
      </c>
      <c r="AA4203" s="60">
        <f t="shared" si="459"/>
        <v>0</v>
      </c>
      <c r="AB4203" s="49">
        <f t="shared" si="460"/>
        <v>0</v>
      </c>
      <c r="AC4203" s="60">
        <f t="shared" si="461"/>
        <v>0</v>
      </c>
    </row>
    <row r="4204" spans="1:29">
      <c r="A4204" s="83" t="str">
        <f t="shared" si="456"/>
        <v/>
      </c>
      <c r="B4204" s="83" t="str">
        <f t="shared" si="462"/>
        <v/>
      </c>
      <c r="U4204" s="83" t="str">
        <f t="shared" si="457"/>
        <v/>
      </c>
      <c r="V4204" s="83" t="str">
        <f t="shared" si="458"/>
        <v/>
      </c>
      <c r="AA4204" s="60">
        <f t="shared" si="459"/>
        <v>0</v>
      </c>
      <c r="AB4204" s="49">
        <f t="shared" si="460"/>
        <v>0</v>
      </c>
      <c r="AC4204" s="60">
        <f t="shared" si="461"/>
        <v>0</v>
      </c>
    </row>
    <row r="4205" spans="1:29">
      <c r="A4205" s="83" t="str">
        <f t="shared" si="456"/>
        <v/>
      </c>
      <c r="B4205" s="83" t="str">
        <f t="shared" si="462"/>
        <v/>
      </c>
      <c r="U4205" s="83" t="str">
        <f t="shared" si="457"/>
        <v/>
      </c>
      <c r="V4205" s="83" t="str">
        <f t="shared" si="458"/>
        <v/>
      </c>
      <c r="AA4205" s="60">
        <f t="shared" si="459"/>
        <v>0</v>
      </c>
      <c r="AB4205" s="49">
        <f t="shared" si="460"/>
        <v>0</v>
      </c>
      <c r="AC4205" s="60">
        <f t="shared" si="461"/>
        <v>0</v>
      </c>
    </row>
    <row r="4206" spans="1:29">
      <c r="A4206" s="83" t="str">
        <f t="shared" si="456"/>
        <v/>
      </c>
      <c r="B4206" s="83" t="str">
        <f t="shared" si="462"/>
        <v/>
      </c>
      <c r="U4206" s="83" t="str">
        <f t="shared" si="457"/>
        <v/>
      </c>
      <c r="V4206" s="83" t="str">
        <f t="shared" si="458"/>
        <v/>
      </c>
      <c r="AA4206" s="60">
        <f t="shared" si="459"/>
        <v>0</v>
      </c>
      <c r="AB4206" s="49">
        <f t="shared" si="460"/>
        <v>0</v>
      </c>
      <c r="AC4206" s="60">
        <f t="shared" si="461"/>
        <v>0</v>
      </c>
    </row>
    <row r="4207" spans="1:29">
      <c r="A4207" s="83" t="str">
        <f t="shared" si="456"/>
        <v/>
      </c>
      <c r="B4207" s="83" t="str">
        <f t="shared" si="462"/>
        <v/>
      </c>
      <c r="U4207" s="83" t="str">
        <f t="shared" si="457"/>
        <v/>
      </c>
      <c r="V4207" s="83" t="str">
        <f t="shared" si="458"/>
        <v/>
      </c>
      <c r="AA4207" s="60">
        <f t="shared" si="459"/>
        <v>0</v>
      </c>
      <c r="AB4207" s="49">
        <f t="shared" si="460"/>
        <v>0</v>
      </c>
      <c r="AC4207" s="60">
        <f t="shared" si="461"/>
        <v>0</v>
      </c>
    </row>
    <row r="4208" spans="1:29">
      <c r="A4208" s="83" t="str">
        <f t="shared" si="456"/>
        <v/>
      </c>
      <c r="B4208" s="83" t="str">
        <f t="shared" si="462"/>
        <v/>
      </c>
      <c r="U4208" s="83" t="str">
        <f t="shared" si="457"/>
        <v/>
      </c>
      <c r="V4208" s="83" t="str">
        <f t="shared" si="458"/>
        <v/>
      </c>
      <c r="AA4208" s="60">
        <f t="shared" si="459"/>
        <v>0</v>
      </c>
      <c r="AB4208" s="49">
        <f t="shared" si="460"/>
        <v>0</v>
      </c>
      <c r="AC4208" s="60">
        <f t="shared" si="461"/>
        <v>0</v>
      </c>
    </row>
    <row r="4209" spans="1:29">
      <c r="A4209" s="83" t="str">
        <f t="shared" si="456"/>
        <v/>
      </c>
      <c r="B4209" s="83" t="str">
        <f t="shared" si="462"/>
        <v/>
      </c>
      <c r="U4209" s="83" t="str">
        <f t="shared" si="457"/>
        <v/>
      </c>
      <c r="V4209" s="83" t="str">
        <f t="shared" si="458"/>
        <v/>
      </c>
      <c r="AA4209" s="60">
        <f t="shared" si="459"/>
        <v>0</v>
      </c>
      <c r="AB4209" s="49">
        <f t="shared" si="460"/>
        <v>0</v>
      </c>
      <c r="AC4209" s="60">
        <f t="shared" si="461"/>
        <v>0</v>
      </c>
    </row>
    <row r="4210" spans="1:29">
      <c r="A4210" s="83" t="str">
        <f t="shared" si="456"/>
        <v/>
      </c>
      <c r="B4210" s="83" t="str">
        <f t="shared" si="462"/>
        <v/>
      </c>
      <c r="U4210" s="83" t="str">
        <f t="shared" si="457"/>
        <v/>
      </c>
      <c r="V4210" s="83" t="str">
        <f t="shared" si="458"/>
        <v/>
      </c>
      <c r="AA4210" s="60">
        <f t="shared" si="459"/>
        <v>0</v>
      </c>
      <c r="AB4210" s="49">
        <f t="shared" si="460"/>
        <v>0</v>
      </c>
      <c r="AC4210" s="60">
        <f t="shared" si="461"/>
        <v>0</v>
      </c>
    </row>
    <row r="4211" spans="1:29">
      <c r="A4211" s="83" t="str">
        <f t="shared" si="456"/>
        <v/>
      </c>
      <c r="B4211" s="83" t="str">
        <f t="shared" si="462"/>
        <v/>
      </c>
      <c r="U4211" s="83" t="str">
        <f t="shared" si="457"/>
        <v/>
      </c>
      <c r="V4211" s="83" t="str">
        <f t="shared" si="458"/>
        <v/>
      </c>
      <c r="AA4211" s="60">
        <f t="shared" si="459"/>
        <v>0</v>
      </c>
      <c r="AB4211" s="49">
        <f t="shared" si="460"/>
        <v>0</v>
      </c>
      <c r="AC4211" s="60">
        <f t="shared" si="461"/>
        <v>0</v>
      </c>
    </row>
    <row r="4212" spans="1:29">
      <c r="A4212" s="83" t="str">
        <f t="shared" si="456"/>
        <v/>
      </c>
      <c r="B4212" s="83" t="str">
        <f t="shared" si="462"/>
        <v/>
      </c>
      <c r="U4212" s="83" t="str">
        <f t="shared" si="457"/>
        <v/>
      </c>
      <c r="V4212" s="83" t="str">
        <f t="shared" si="458"/>
        <v/>
      </c>
      <c r="AA4212" s="60">
        <f t="shared" si="459"/>
        <v>0</v>
      </c>
      <c r="AB4212" s="49">
        <f t="shared" si="460"/>
        <v>0</v>
      </c>
      <c r="AC4212" s="60">
        <f t="shared" si="461"/>
        <v>0</v>
      </c>
    </row>
    <row r="4213" spans="1:29">
      <c r="A4213" s="83" t="str">
        <f t="shared" si="456"/>
        <v/>
      </c>
      <c r="B4213" s="83" t="str">
        <f t="shared" si="462"/>
        <v/>
      </c>
      <c r="U4213" s="83" t="str">
        <f t="shared" si="457"/>
        <v/>
      </c>
      <c r="V4213" s="83" t="str">
        <f t="shared" si="458"/>
        <v/>
      </c>
      <c r="AA4213" s="60">
        <f t="shared" si="459"/>
        <v>0</v>
      </c>
      <c r="AB4213" s="49">
        <f t="shared" si="460"/>
        <v>0</v>
      </c>
      <c r="AC4213" s="60">
        <f t="shared" si="461"/>
        <v>0</v>
      </c>
    </row>
    <row r="4214" spans="1:29">
      <c r="A4214" s="83" t="str">
        <f t="shared" si="456"/>
        <v/>
      </c>
      <c r="B4214" s="83" t="str">
        <f t="shared" si="462"/>
        <v/>
      </c>
      <c r="U4214" s="83" t="str">
        <f t="shared" si="457"/>
        <v/>
      </c>
      <c r="V4214" s="83" t="str">
        <f t="shared" si="458"/>
        <v/>
      </c>
      <c r="AA4214" s="60">
        <f t="shared" si="459"/>
        <v>0</v>
      </c>
      <c r="AB4214" s="49">
        <f t="shared" si="460"/>
        <v>0</v>
      </c>
      <c r="AC4214" s="60">
        <f t="shared" si="461"/>
        <v>0</v>
      </c>
    </row>
    <row r="4215" spans="1:29">
      <c r="A4215" s="83" t="str">
        <f t="shared" si="456"/>
        <v/>
      </c>
      <c r="B4215" s="83" t="str">
        <f t="shared" si="462"/>
        <v/>
      </c>
      <c r="U4215" s="83" t="str">
        <f t="shared" si="457"/>
        <v/>
      </c>
      <c r="V4215" s="83" t="str">
        <f t="shared" si="458"/>
        <v/>
      </c>
      <c r="AA4215" s="60">
        <f t="shared" si="459"/>
        <v>0</v>
      </c>
      <c r="AB4215" s="49">
        <f t="shared" si="460"/>
        <v>0</v>
      </c>
      <c r="AC4215" s="60">
        <f t="shared" si="461"/>
        <v>0</v>
      </c>
    </row>
    <row r="4216" spans="1:29">
      <c r="A4216" s="83" t="str">
        <f t="shared" si="456"/>
        <v/>
      </c>
      <c r="B4216" s="83" t="str">
        <f t="shared" si="462"/>
        <v/>
      </c>
      <c r="U4216" s="83" t="str">
        <f t="shared" si="457"/>
        <v/>
      </c>
      <c r="V4216" s="83" t="str">
        <f t="shared" si="458"/>
        <v/>
      </c>
      <c r="AA4216" s="60">
        <f t="shared" si="459"/>
        <v>0</v>
      </c>
      <c r="AB4216" s="49">
        <f t="shared" si="460"/>
        <v>0</v>
      </c>
      <c r="AC4216" s="60">
        <f t="shared" si="461"/>
        <v>0</v>
      </c>
    </row>
    <row r="4217" spans="1:29">
      <c r="A4217" s="83" t="str">
        <f t="shared" si="456"/>
        <v/>
      </c>
      <c r="B4217" s="83" t="str">
        <f t="shared" si="462"/>
        <v/>
      </c>
      <c r="U4217" s="83" t="str">
        <f t="shared" si="457"/>
        <v/>
      </c>
      <c r="V4217" s="83" t="str">
        <f t="shared" si="458"/>
        <v/>
      </c>
      <c r="AA4217" s="60">
        <f t="shared" si="459"/>
        <v>0</v>
      </c>
      <c r="AB4217" s="49">
        <f t="shared" si="460"/>
        <v>0</v>
      </c>
      <c r="AC4217" s="60">
        <f t="shared" si="461"/>
        <v>0</v>
      </c>
    </row>
    <row r="4218" spans="1:29">
      <c r="A4218" s="83" t="str">
        <f t="shared" si="456"/>
        <v/>
      </c>
      <c r="B4218" s="83" t="str">
        <f t="shared" si="462"/>
        <v/>
      </c>
      <c r="U4218" s="83" t="str">
        <f t="shared" si="457"/>
        <v/>
      </c>
      <c r="V4218" s="83" t="str">
        <f t="shared" si="458"/>
        <v/>
      </c>
      <c r="AA4218" s="60">
        <f t="shared" si="459"/>
        <v>0</v>
      </c>
      <c r="AB4218" s="49">
        <f t="shared" si="460"/>
        <v>0</v>
      </c>
      <c r="AC4218" s="60">
        <f t="shared" si="461"/>
        <v>0</v>
      </c>
    </row>
    <row r="4219" spans="1:29">
      <c r="A4219" s="83" t="str">
        <f t="shared" si="456"/>
        <v/>
      </c>
      <c r="B4219" s="83" t="str">
        <f t="shared" si="462"/>
        <v/>
      </c>
      <c r="U4219" s="83" t="str">
        <f t="shared" si="457"/>
        <v/>
      </c>
      <c r="V4219" s="83" t="str">
        <f t="shared" si="458"/>
        <v/>
      </c>
      <c r="AA4219" s="60">
        <f t="shared" si="459"/>
        <v>0</v>
      </c>
      <c r="AB4219" s="49">
        <f t="shared" si="460"/>
        <v>0</v>
      </c>
      <c r="AC4219" s="60">
        <f t="shared" si="461"/>
        <v>0</v>
      </c>
    </row>
    <row r="4220" spans="1:29">
      <c r="A4220" s="83" t="str">
        <f t="shared" si="456"/>
        <v/>
      </c>
      <c r="B4220" s="83" t="str">
        <f t="shared" si="462"/>
        <v/>
      </c>
      <c r="U4220" s="83" t="str">
        <f t="shared" si="457"/>
        <v/>
      </c>
      <c r="V4220" s="83" t="str">
        <f t="shared" si="458"/>
        <v/>
      </c>
      <c r="AA4220" s="60">
        <f t="shared" si="459"/>
        <v>0</v>
      </c>
      <c r="AB4220" s="49">
        <f t="shared" si="460"/>
        <v>0</v>
      </c>
      <c r="AC4220" s="60">
        <f t="shared" si="461"/>
        <v>0</v>
      </c>
    </row>
    <row r="4221" spans="1:29">
      <c r="A4221" s="83" t="str">
        <f t="shared" si="456"/>
        <v/>
      </c>
      <c r="B4221" s="83" t="str">
        <f t="shared" si="462"/>
        <v/>
      </c>
      <c r="U4221" s="83" t="str">
        <f t="shared" si="457"/>
        <v/>
      </c>
      <c r="V4221" s="83" t="str">
        <f t="shared" si="458"/>
        <v/>
      </c>
      <c r="AA4221" s="60">
        <f t="shared" si="459"/>
        <v>0</v>
      </c>
      <c r="AB4221" s="49">
        <f t="shared" si="460"/>
        <v>0</v>
      </c>
      <c r="AC4221" s="60">
        <f t="shared" si="461"/>
        <v>0</v>
      </c>
    </row>
    <row r="4222" spans="1:29">
      <c r="A4222" s="83" t="str">
        <f t="shared" si="456"/>
        <v/>
      </c>
      <c r="B4222" s="83" t="str">
        <f t="shared" si="462"/>
        <v/>
      </c>
      <c r="U4222" s="83" t="str">
        <f t="shared" si="457"/>
        <v/>
      </c>
      <c r="V4222" s="83" t="str">
        <f t="shared" si="458"/>
        <v/>
      </c>
      <c r="AA4222" s="60">
        <f t="shared" si="459"/>
        <v>0</v>
      </c>
      <c r="AB4222" s="49">
        <f t="shared" si="460"/>
        <v>0</v>
      </c>
      <c r="AC4222" s="60">
        <f t="shared" si="461"/>
        <v>0</v>
      </c>
    </row>
    <row r="4223" spans="1:29">
      <c r="A4223" s="83" t="str">
        <f t="shared" si="456"/>
        <v/>
      </c>
      <c r="B4223" s="83" t="str">
        <f t="shared" si="462"/>
        <v/>
      </c>
      <c r="U4223" s="83" t="str">
        <f t="shared" si="457"/>
        <v/>
      </c>
      <c r="V4223" s="83" t="str">
        <f t="shared" si="458"/>
        <v/>
      </c>
      <c r="AA4223" s="60">
        <f t="shared" si="459"/>
        <v>0</v>
      </c>
      <c r="AB4223" s="49">
        <f t="shared" si="460"/>
        <v>0</v>
      </c>
      <c r="AC4223" s="60">
        <f t="shared" si="461"/>
        <v>0</v>
      </c>
    </row>
    <row r="4224" spans="1:29">
      <c r="A4224" s="83" t="str">
        <f t="shared" si="456"/>
        <v/>
      </c>
      <c r="B4224" s="83" t="str">
        <f t="shared" si="462"/>
        <v/>
      </c>
      <c r="U4224" s="83" t="str">
        <f t="shared" si="457"/>
        <v/>
      </c>
      <c r="V4224" s="83" t="str">
        <f t="shared" si="458"/>
        <v/>
      </c>
      <c r="AA4224" s="60">
        <f t="shared" si="459"/>
        <v>0</v>
      </c>
      <c r="AB4224" s="49">
        <f t="shared" si="460"/>
        <v>0</v>
      </c>
      <c r="AC4224" s="60">
        <f t="shared" si="461"/>
        <v>0</v>
      </c>
    </row>
    <row r="4225" spans="1:29">
      <c r="A4225" s="83" t="str">
        <f t="shared" si="456"/>
        <v/>
      </c>
      <c r="B4225" s="83" t="str">
        <f t="shared" si="462"/>
        <v/>
      </c>
      <c r="U4225" s="83" t="str">
        <f t="shared" si="457"/>
        <v/>
      </c>
      <c r="V4225" s="83" t="str">
        <f t="shared" si="458"/>
        <v/>
      </c>
      <c r="AA4225" s="60">
        <f t="shared" si="459"/>
        <v>0</v>
      </c>
      <c r="AB4225" s="49">
        <f t="shared" si="460"/>
        <v>0</v>
      </c>
      <c r="AC4225" s="60">
        <f t="shared" si="461"/>
        <v>0</v>
      </c>
    </row>
    <row r="4226" spans="1:29">
      <c r="A4226" s="83" t="str">
        <f t="shared" si="456"/>
        <v/>
      </c>
      <c r="B4226" s="83" t="str">
        <f t="shared" si="462"/>
        <v/>
      </c>
      <c r="U4226" s="83" t="str">
        <f t="shared" si="457"/>
        <v/>
      </c>
      <c r="V4226" s="83" t="str">
        <f t="shared" si="458"/>
        <v/>
      </c>
      <c r="AA4226" s="60">
        <f t="shared" si="459"/>
        <v>0</v>
      </c>
      <c r="AB4226" s="49">
        <f t="shared" si="460"/>
        <v>0</v>
      </c>
      <c r="AC4226" s="60">
        <f t="shared" si="461"/>
        <v>0</v>
      </c>
    </row>
    <row r="4227" spans="1:29">
      <c r="A4227" s="83" t="str">
        <f t="shared" ref="A4227:A4290" si="463">IF(G4227&amp;Q4227&lt;&gt;"",U4227&amp;Q4227,"")</f>
        <v/>
      </c>
      <c r="B4227" s="83" t="str">
        <f t="shared" si="462"/>
        <v/>
      </c>
      <c r="U4227" s="83" t="str">
        <f t="shared" ref="U4227:U4290" si="464">IF(G4227&lt;&gt;"",IF(StyleSpaceSplit,IFERROR(IF(FIND(" ",G4227)&gt;=1,MID(G4227,1,FIND(" ",G4227)-1),G4227),G4227),G4227),"")</f>
        <v/>
      </c>
      <c r="V4227" s="83" t="str">
        <f t="shared" ref="V4227:V4290" si="465">IF(A4227&lt;&gt;"",IFERROR(IF(FIND(" ",G4227)&gt;=1,MID(G4227,FIND(" ",G4227)+1,LEN(G4227)),""),G4227),"")</f>
        <v/>
      </c>
      <c r="AA4227" s="60">
        <f t="shared" ref="AA4227:AA4290" si="466">IFERROR(VALUE(MID($C4227,1,2)),0)</f>
        <v>0</v>
      </c>
      <c r="AB4227" s="49">
        <f t="shared" ref="AB4227:AB4290" si="467">IFERROR(VALUE(MID($C4227,4,3)),0)</f>
        <v>0</v>
      </c>
      <c r="AC4227" s="60">
        <f t="shared" ref="AC4227:AC4290" si="468">VALUE(RIGHT("00"&amp;AA4227,2)&amp;RIGHT("000"&amp;AB4227,3))</f>
        <v>0</v>
      </c>
    </row>
    <row r="4228" spans="1:29">
      <c r="A4228" s="83" t="str">
        <f t="shared" si="463"/>
        <v/>
      </c>
      <c r="B4228" s="83" t="str">
        <f t="shared" si="462"/>
        <v/>
      </c>
      <c r="U4228" s="83" t="str">
        <f t="shared" si="464"/>
        <v/>
      </c>
      <c r="V4228" s="83" t="str">
        <f t="shared" si="465"/>
        <v/>
      </c>
      <c r="AA4228" s="60">
        <f t="shared" si="466"/>
        <v>0</v>
      </c>
      <c r="AB4228" s="49">
        <f t="shared" si="467"/>
        <v>0</v>
      </c>
      <c r="AC4228" s="60">
        <f t="shared" si="468"/>
        <v>0</v>
      </c>
    </row>
    <row r="4229" spans="1:29">
      <c r="A4229" s="83" t="str">
        <f t="shared" si="463"/>
        <v/>
      </c>
      <c r="B4229" s="83" t="str">
        <f t="shared" si="462"/>
        <v/>
      </c>
      <c r="U4229" s="83" t="str">
        <f t="shared" si="464"/>
        <v/>
      </c>
      <c r="V4229" s="83" t="str">
        <f t="shared" si="465"/>
        <v/>
      </c>
      <c r="AA4229" s="60">
        <f t="shared" si="466"/>
        <v>0</v>
      </c>
      <c r="AB4229" s="49">
        <f t="shared" si="467"/>
        <v>0</v>
      </c>
      <c r="AC4229" s="60">
        <f t="shared" si="468"/>
        <v>0</v>
      </c>
    </row>
    <row r="4230" spans="1:29">
      <c r="A4230" s="83" t="str">
        <f t="shared" si="463"/>
        <v/>
      </c>
      <c r="B4230" s="83" t="str">
        <f t="shared" si="462"/>
        <v/>
      </c>
      <c r="U4230" s="83" t="str">
        <f t="shared" si="464"/>
        <v/>
      </c>
      <c r="V4230" s="83" t="str">
        <f t="shared" si="465"/>
        <v/>
      </c>
      <c r="AA4230" s="60">
        <f t="shared" si="466"/>
        <v>0</v>
      </c>
      <c r="AB4230" s="49">
        <f t="shared" si="467"/>
        <v>0</v>
      </c>
      <c r="AC4230" s="60">
        <f t="shared" si="468"/>
        <v>0</v>
      </c>
    </row>
    <row r="4231" spans="1:29">
      <c r="A4231" s="83" t="str">
        <f t="shared" si="463"/>
        <v/>
      </c>
      <c r="B4231" s="83" t="str">
        <f t="shared" si="462"/>
        <v/>
      </c>
      <c r="U4231" s="83" t="str">
        <f t="shared" si="464"/>
        <v/>
      </c>
      <c r="V4231" s="83" t="str">
        <f t="shared" si="465"/>
        <v/>
      </c>
      <c r="AA4231" s="60">
        <f t="shared" si="466"/>
        <v>0</v>
      </c>
      <c r="AB4231" s="49">
        <f t="shared" si="467"/>
        <v>0</v>
      </c>
      <c r="AC4231" s="60">
        <f t="shared" si="468"/>
        <v>0</v>
      </c>
    </row>
    <row r="4232" spans="1:29">
      <c r="A4232" s="83" t="str">
        <f t="shared" si="463"/>
        <v/>
      </c>
      <c r="B4232" s="83" t="str">
        <f t="shared" si="462"/>
        <v/>
      </c>
      <c r="U4232" s="83" t="str">
        <f t="shared" si="464"/>
        <v/>
      </c>
      <c r="V4232" s="83" t="str">
        <f t="shared" si="465"/>
        <v/>
      </c>
      <c r="AA4232" s="60">
        <f t="shared" si="466"/>
        <v>0</v>
      </c>
      <c r="AB4232" s="49">
        <f t="shared" si="467"/>
        <v>0</v>
      </c>
      <c r="AC4232" s="60">
        <f t="shared" si="468"/>
        <v>0</v>
      </c>
    </row>
    <row r="4233" spans="1:29">
      <c r="A4233" s="83" t="str">
        <f t="shared" si="463"/>
        <v/>
      </c>
      <c r="B4233" s="83" t="str">
        <f t="shared" si="462"/>
        <v/>
      </c>
      <c r="U4233" s="83" t="str">
        <f t="shared" si="464"/>
        <v/>
      </c>
      <c r="V4233" s="83" t="str">
        <f t="shared" si="465"/>
        <v/>
      </c>
      <c r="AA4233" s="60">
        <f t="shared" si="466"/>
        <v>0</v>
      </c>
      <c r="AB4233" s="49">
        <f t="shared" si="467"/>
        <v>0</v>
      </c>
      <c r="AC4233" s="60">
        <f t="shared" si="468"/>
        <v>0</v>
      </c>
    </row>
    <row r="4234" spans="1:29">
      <c r="A4234" s="83" t="str">
        <f t="shared" si="463"/>
        <v/>
      </c>
      <c r="B4234" s="83" t="str">
        <f t="shared" si="462"/>
        <v/>
      </c>
      <c r="U4234" s="83" t="str">
        <f t="shared" si="464"/>
        <v/>
      </c>
      <c r="V4234" s="83" t="str">
        <f t="shared" si="465"/>
        <v/>
      </c>
      <c r="AA4234" s="60">
        <f t="shared" si="466"/>
        <v>0</v>
      </c>
      <c r="AB4234" s="49">
        <f t="shared" si="467"/>
        <v>0</v>
      </c>
      <c r="AC4234" s="60">
        <f t="shared" si="468"/>
        <v>0</v>
      </c>
    </row>
    <row r="4235" spans="1:29">
      <c r="A4235" s="83" t="str">
        <f t="shared" si="463"/>
        <v/>
      </c>
      <c r="B4235" s="83" t="str">
        <f t="shared" si="462"/>
        <v/>
      </c>
      <c r="U4235" s="83" t="str">
        <f t="shared" si="464"/>
        <v/>
      </c>
      <c r="V4235" s="83" t="str">
        <f t="shared" si="465"/>
        <v/>
      </c>
      <c r="AA4235" s="60">
        <f t="shared" si="466"/>
        <v>0</v>
      </c>
      <c r="AB4235" s="49">
        <f t="shared" si="467"/>
        <v>0</v>
      </c>
      <c r="AC4235" s="60">
        <f t="shared" si="468"/>
        <v>0</v>
      </c>
    </row>
    <row r="4236" spans="1:29">
      <c r="A4236" s="83" t="str">
        <f t="shared" si="463"/>
        <v/>
      </c>
      <c r="B4236" s="83" t="str">
        <f t="shared" si="462"/>
        <v/>
      </c>
      <c r="U4236" s="83" t="str">
        <f t="shared" si="464"/>
        <v/>
      </c>
      <c r="V4236" s="83" t="str">
        <f t="shared" si="465"/>
        <v/>
      </c>
      <c r="AA4236" s="60">
        <f t="shared" si="466"/>
        <v>0</v>
      </c>
      <c r="AB4236" s="49">
        <f t="shared" si="467"/>
        <v>0</v>
      </c>
      <c r="AC4236" s="60">
        <f t="shared" si="468"/>
        <v>0</v>
      </c>
    </row>
    <row r="4237" spans="1:29">
      <c r="A4237" s="83" t="str">
        <f t="shared" si="463"/>
        <v/>
      </c>
      <c r="B4237" s="83" t="str">
        <f t="shared" si="462"/>
        <v/>
      </c>
      <c r="U4237" s="83" t="str">
        <f t="shared" si="464"/>
        <v/>
      </c>
      <c r="V4237" s="83" t="str">
        <f t="shared" si="465"/>
        <v/>
      </c>
      <c r="AA4237" s="60">
        <f t="shared" si="466"/>
        <v>0</v>
      </c>
      <c r="AB4237" s="49">
        <f t="shared" si="467"/>
        <v>0</v>
      </c>
      <c r="AC4237" s="60">
        <f t="shared" si="468"/>
        <v>0</v>
      </c>
    </row>
    <row r="4238" spans="1:29">
      <c r="A4238" s="83" t="str">
        <f t="shared" si="463"/>
        <v/>
      </c>
      <c r="B4238" s="83" t="str">
        <f t="shared" si="462"/>
        <v/>
      </c>
      <c r="U4238" s="83" t="str">
        <f t="shared" si="464"/>
        <v/>
      </c>
      <c r="V4238" s="83" t="str">
        <f t="shared" si="465"/>
        <v/>
      </c>
      <c r="AA4238" s="60">
        <f t="shared" si="466"/>
        <v>0</v>
      </c>
      <c r="AB4238" s="49">
        <f t="shared" si="467"/>
        <v>0</v>
      </c>
      <c r="AC4238" s="60">
        <f t="shared" si="468"/>
        <v>0</v>
      </c>
    </row>
    <row r="4239" spans="1:29">
      <c r="A4239" s="83" t="str">
        <f t="shared" si="463"/>
        <v/>
      </c>
      <c r="B4239" s="83" t="str">
        <f t="shared" si="462"/>
        <v/>
      </c>
      <c r="U4239" s="83" t="str">
        <f t="shared" si="464"/>
        <v/>
      </c>
      <c r="V4239" s="83" t="str">
        <f t="shared" si="465"/>
        <v/>
      </c>
      <c r="AA4239" s="60">
        <f t="shared" si="466"/>
        <v>0</v>
      </c>
      <c r="AB4239" s="49">
        <f t="shared" si="467"/>
        <v>0</v>
      </c>
      <c r="AC4239" s="60">
        <f t="shared" si="468"/>
        <v>0</v>
      </c>
    </row>
    <row r="4240" spans="1:29">
      <c r="A4240" s="83" t="str">
        <f t="shared" si="463"/>
        <v/>
      </c>
      <c r="B4240" s="83" t="str">
        <f t="shared" si="462"/>
        <v/>
      </c>
      <c r="U4240" s="83" t="str">
        <f t="shared" si="464"/>
        <v/>
      </c>
      <c r="V4240" s="83" t="str">
        <f t="shared" si="465"/>
        <v/>
      </c>
      <c r="AA4240" s="60">
        <f t="shared" si="466"/>
        <v>0</v>
      </c>
      <c r="AB4240" s="49">
        <f t="shared" si="467"/>
        <v>0</v>
      </c>
      <c r="AC4240" s="60">
        <f t="shared" si="468"/>
        <v>0</v>
      </c>
    </row>
    <row r="4241" spans="1:29">
      <c r="A4241" s="83" t="str">
        <f t="shared" si="463"/>
        <v/>
      </c>
      <c r="B4241" s="83" t="str">
        <f t="shared" si="462"/>
        <v/>
      </c>
      <c r="U4241" s="83" t="str">
        <f t="shared" si="464"/>
        <v/>
      </c>
      <c r="V4241" s="83" t="str">
        <f t="shared" si="465"/>
        <v/>
      </c>
      <c r="AA4241" s="60">
        <f t="shared" si="466"/>
        <v>0</v>
      </c>
      <c r="AB4241" s="49">
        <f t="shared" si="467"/>
        <v>0</v>
      </c>
      <c r="AC4241" s="60">
        <f t="shared" si="468"/>
        <v>0</v>
      </c>
    </row>
    <row r="4242" spans="1:29">
      <c r="A4242" s="83" t="str">
        <f t="shared" si="463"/>
        <v/>
      </c>
      <c r="B4242" s="83" t="str">
        <f t="shared" si="462"/>
        <v/>
      </c>
      <c r="U4242" s="83" t="str">
        <f t="shared" si="464"/>
        <v/>
      </c>
      <c r="V4242" s="83" t="str">
        <f t="shared" si="465"/>
        <v/>
      </c>
      <c r="AA4242" s="60">
        <f t="shared" si="466"/>
        <v>0</v>
      </c>
      <c r="AB4242" s="49">
        <f t="shared" si="467"/>
        <v>0</v>
      </c>
      <c r="AC4242" s="60">
        <f t="shared" si="468"/>
        <v>0</v>
      </c>
    </row>
    <row r="4243" spans="1:29">
      <c r="A4243" s="83" t="str">
        <f t="shared" si="463"/>
        <v/>
      </c>
      <c r="B4243" s="83" t="str">
        <f t="shared" si="462"/>
        <v/>
      </c>
      <c r="U4243" s="83" t="str">
        <f t="shared" si="464"/>
        <v/>
      </c>
      <c r="V4243" s="83" t="str">
        <f t="shared" si="465"/>
        <v/>
      </c>
      <c r="AA4243" s="60">
        <f t="shared" si="466"/>
        <v>0</v>
      </c>
      <c r="AB4243" s="49">
        <f t="shared" si="467"/>
        <v>0</v>
      </c>
      <c r="AC4243" s="60">
        <f t="shared" si="468"/>
        <v>0</v>
      </c>
    </row>
    <row r="4244" spans="1:29">
      <c r="A4244" s="83" t="str">
        <f t="shared" si="463"/>
        <v/>
      </c>
      <c r="B4244" s="83" t="str">
        <f t="shared" si="462"/>
        <v/>
      </c>
      <c r="U4244" s="83" t="str">
        <f t="shared" si="464"/>
        <v/>
      </c>
      <c r="V4244" s="83" t="str">
        <f t="shared" si="465"/>
        <v/>
      </c>
      <c r="AA4244" s="60">
        <f t="shared" si="466"/>
        <v>0</v>
      </c>
      <c r="AB4244" s="49">
        <f t="shared" si="467"/>
        <v>0</v>
      </c>
      <c r="AC4244" s="60">
        <f t="shared" si="468"/>
        <v>0</v>
      </c>
    </row>
    <row r="4245" spans="1:29">
      <c r="A4245" s="83" t="str">
        <f t="shared" si="463"/>
        <v/>
      </c>
      <c r="B4245" s="83" t="str">
        <f t="shared" si="462"/>
        <v/>
      </c>
      <c r="U4245" s="83" t="str">
        <f t="shared" si="464"/>
        <v/>
      </c>
      <c r="V4245" s="83" t="str">
        <f t="shared" si="465"/>
        <v/>
      </c>
      <c r="AA4245" s="60">
        <f t="shared" si="466"/>
        <v>0</v>
      </c>
      <c r="AB4245" s="49">
        <f t="shared" si="467"/>
        <v>0</v>
      </c>
      <c r="AC4245" s="60">
        <f t="shared" si="468"/>
        <v>0</v>
      </c>
    </row>
    <row r="4246" spans="1:29">
      <c r="A4246" s="83" t="str">
        <f t="shared" si="463"/>
        <v/>
      </c>
      <c r="B4246" s="83" t="str">
        <f t="shared" si="462"/>
        <v/>
      </c>
      <c r="U4246" s="83" t="str">
        <f t="shared" si="464"/>
        <v/>
      </c>
      <c r="V4246" s="83" t="str">
        <f t="shared" si="465"/>
        <v/>
      </c>
      <c r="AA4246" s="60">
        <f t="shared" si="466"/>
        <v>0</v>
      </c>
      <c r="AB4246" s="49">
        <f t="shared" si="467"/>
        <v>0</v>
      </c>
      <c r="AC4246" s="60">
        <f t="shared" si="468"/>
        <v>0</v>
      </c>
    </row>
    <row r="4247" spans="1:29">
      <c r="A4247" s="83" t="str">
        <f t="shared" si="463"/>
        <v/>
      </c>
      <c r="B4247" s="83" t="str">
        <f t="shared" si="462"/>
        <v/>
      </c>
      <c r="U4247" s="83" t="str">
        <f t="shared" si="464"/>
        <v/>
      </c>
      <c r="V4247" s="83" t="str">
        <f t="shared" si="465"/>
        <v/>
      </c>
      <c r="AA4247" s="60">
        <f t="shared" si="466"/>
        <v>0</v>
      </c>
      <c r="AB4247" s="49">
        <f t="shared" si="467"/>
        <v>0</v>
      </c>
      <c r="AC4247" s="60">
        <f t="shared" si="468"/>
        <v>0</v>
      </c>
    </row>
    <row r="4248" spans="1:29">
      <c r="A4248" s="83" t="str">
        <f t="shared" si="463"/>
        <v/>
      </c>
      <c r="B4248" s="83" t="str">
        <f t="shared" si="462"/>
        <v/>
      </c>
      <c r="U4248" s="83" t="str">
        <f t="shared" si="464"/>
        <v/>
      </c>
      <c r="V4248" s="83" t="str">
        <f t="shared" si="465"/>
        <v/>
      </c>
      <c r="AA4248" s="60">
        <f t="shared" si="466"/>
        <v>0</v>
      </c>
      <c r="AB4248" s="49">
        <f t="shared" si="467"/>
        <v>0</v>
      </c>
      <c r="AC4248" s="60">
        <f t="shared" si="468"/>
        <v>0</v>
      </c>
    </row>
    <row r="4249" spans="1:29">
      <c r="A4249" s="83" t="str">
        <f t="shared" si="463"/>
        <v/>
      </c>
      <c r="B4249" s="83" t="str">
        <f t="shared" si="462"/>
        <v/>
      </c>
      <c r="U4249" s="83" t="str">
        <f t="shared" si="464"/>
        <v/>
      </c>
      <c r="V4249" s="83" t="str">
        <f t="shared" si="465"/>
        <v/>
      </c>
      <c r="AA4249" s="60">
        <f t="shared" si="466"/>
        <v>0</v>
      </c>
      <c r="AB4249" s="49">
        <f t="shared" si="467"/>
        <v>0</v>
      </c>
      <c r="AC4249" s="60">
        <f t="shared" si="468"/>
        <v>0</v>
      </c>
    </row>
    <row r="4250" spans="1:29">
      <c r="A4250" s="83" t="str">
        <f t="shared" si="463"/>
        <v/>
      </c>
      <c r="B4250" s="83" t="str">
        <f t="shared" si="462"/>
        <v/>
      </c>
      <c r="U4250" s="83" t="str">
        <f t="shared" si="464"/>
        <v/>
      </c>
      <c r="V4250" s="83" t="str">
        <f t="shared" si="465"/>
        <v/>
      </c>
      <c r="AA4250" s="60">
        <f t="shared" si="466"/>
        <v>0</v>
      </c>
      <c r="AB4250" s="49">
        <f t="shared" si="467"/>
        <v>0</v>
      </c>
      <c r="AC4250" s="60">
        <f t="shared" si="468"/>
        <v>0</v>
      </c>
    </row>
    <row r="4251" spans="1:29">
      <c r="A4251" s="83" t="str">
        <f t="shared" si="463"/>
        <v/>
      </c>
      <c r="B4251" s="83" t="str">
        <f t="shared" si="462"/>
        <v/>
      </c>
      <c r="U4251" s="83" t="str">
        <f t="shared" si="464"/>
        <v/>
      </c>
      <c r="V4251" s="83" t="str">
        <f t="shared" si="465"/>
        <v/>
      </c>
      <c r="AA4251" s="60">
        <f t="shared" si="466"/>
        <v>0</v>
      </c>
      <c r="AB4251" s="49">
        <f t="shared" si="467"/>
        <v>0</v>
      </c>
      <c r="AC4251" s="60">
        <f t="shared" si="468"/>
        <v>0</v>
      </c>
    </row>
    <row r="4252" spans="1:29">
      <c r="A4252" s="83" t="str">
        <f t="shared" si="463"/>
        <v/>
      </c>
      <c r="B4252" s="83" t="str">
        <f t="shared" si="462"/>
        <v/>
      </c>
      <c r="U4252" s="83" t="str">
        <f t="shared" si="464"/>
        <v/>
      </c>
      <c r="V4252" s="83" t="str">
        <f t="shared" si="465"/>
        <v/>
      </c>
      <c r="AA4252" s="60">
        <f t="shared" si="466"/>
        <v>0</v>
      </c>
      <c r="AB4252" s="49">
        <f t="shared" si="467"/>
        <v>0</v>
      </c>
      <c r="AC4252" s="60">
        <f t="shared" si="468"/>
        <v>0</v>
      </c>
    </row>
    <row r="4253" spans="1:29">
      <c r="A4253" s="83" t="str">
        <f t="shared" si="463"/>
        <v/>
      </c>
      <c r="B4253" s="83" t="str">
        <f t="shared" si="462"/>
        <v/>
      </c>
      <c r="U4253" s="83" t="str">
        <f t="shared" si="464"/>
        <v/>
      </c>
      <c r="V4253" s="83" t="str">
        <f t="shared" si="465"/>
        <v/>
      </c>
      <c r="AA4253" s="60">
        <f t="shared" si="466"/>
        <v>0</v>
      </c>
      <c r="AB4253" s="49">
        <f t="shared" si="467"/>
        <v>0</v>
      </c>
      <c r="AC4253" s="60">
        <f t="shared" si="468"/>
        <v>0</v>
      </c>
    </row>
    <row r="4254" spans="1:29">
      <c r="A4254" s="83" t="str">
        <f t="shared" si="463"/>
        <v/>
      </c>
      <c r="B4254" s="83" t="str">
        <f t="shared" si="462"/>
        <v/>
      </c>
      <c r="U4254" s="83" t="str">
        <f t="shared" si="464"/>
        <v/>
      </c>
      <c r="V4254" s="83" t="str">
        <f t="shared" si="465"/>
        <v/>
      </c>
      <c r="AA4254" s="60">
        <f t="shared" si="466"/>
        <v>0</v>
      </c>
      <c r="AB4254" s="49">
        <f t="shared" si="467"/>
        <v>0</v>
      </c>
      <c r="AC4254" s="60">
        <f t="shared" si="468"/>
        <v>0</v>
      </c>
    </row>
    <row r="4255" spans="1:29">
      <c r="A4255" s="83" t="str">
        <f t="shared" si="463"/>
        <v/>
      </c>
      <c r="B4255" s="83" t="str">
        <f t="shared" si="462"/>
        <v/>
      </c>
      <c r="U4255" s="83" t="str">
        <f t="shared" si="464"/>
        <v/>
      </c>
      <c r="V4255" s="83" t="str">
        <f t="shared" si="465"/>
        <v/>
      </c>
      <c r="AA4255" s="60">
        <f t="shared" si="466"/>
        <v>0</v>
      </c>
      <c r="AB4255" s="49">
        <f t="shared" si="467"/>
        <v>0</v>
      </c>
      <c r="AC4255" s="60">
        <f t="shared" si="468"/>
        <v>0</v>
      </c>
    </row>
    <row r="4256" spans="1:29">
      <c r="A4256" s="83" t="str">
        <f t="shared" si="463"/>
        <v/>
      </c>
      <c r="B4256" s="83" t="str">
        <f t="shared" si="462"/>
        <v/>
      </c>
      <c r="U4256" s="83" t="str">
        <f t="shared" si="464"/>
        <v/>
      </c>
      <c r="V4256" s="83" t="str">
        <f t="shared" si="465"/>
        <v/>
      </c>
      <c r="AA4256" s="60">
        <f t="shared" si="466"/>
        <v>0</v>
      </c>
      <c r="AB4256" s="49">
        <f t="shared" si="467"/>
        <v>0</v>
      </c>
      <c r="AC4256" s="60">
        <f t="shared" si="468"/>
        <v>0</v>
      </c>
    </row>
    <row r="4257" spans="1:29">
      <c r="A4257" s="83" t="str">
        <f t="shared" si="463"/>
        <v/>
      </c>
      <c r="B4257" s="83" t="str">
        <f t="shared" ref="B4257:B4320" si="469">IF(C4257&lt;&gt;"",LEFT(C4257,9),"")</f>
        <v/>
      </c>
      <c r="U4257" s="83" t="str">
        <f t="shared" si="464"/>
        <v/>
      </c>
      <c r="V4257" s="83" t="str">
        <f t="shared" si="465"/>
        <v/>
      </c>
      <c r="AA4257" s="60">
        <f t="shared" si="466"/>
        <v>0</v>
      </c>
      <c r="AB4257" s="49">
        <f t="shared" si="467"/>
        <v>0</v>
      </c>
      <c r="AC4257" s="60">
        <f t="shared" si="468"/>
        <v>0</v>
      </c>
    </row>
    <row r="4258" spans="1:29">
      <c r="A4258" s="83" t="str">
        <f t="shared" si="463"/>
        <v/>
      </c>
      <c r="B4258" s="83" t="str">
        <f t="shared" si="469"/>
        <v/>
      </c>
      <c r="U4258" s="83" t="str">
        <f t="shared" si="464"/>
        <v/>
      </c>
      <c r="V4258" s="83" t="str">
        <f t="shared" si="465"/>
        <v/>
      </c>
      <c r="AA4258" s="60">
        <f t="shared" si="466"/>
        <v>0</v>
      </c>
      <c r="AB4258" s="49">
        <f t="shared" si="467"/>
        <v>0</v>
      </c>
      <c r="AC4258" s="60">
        <f t="shared" si="468"/>
        <v>0</v>
      </c>
    </row>
    <row r="4259" spans="1:29">
      <c r="A4259" s="83" t="str">
        <f t="shared" si="463"/>
        <v/>
      </c>
      <c r="B4259" s="83" t="str">
        <f t="shared" si="469"/>
        <v/>
      </c>
      <c r="U4259" s="83" t="str">
        <f t="shared" si="464"/>
        <v/>
      </c>
      <c r="V4259" s="83" t="str">
        <f t="shared" si="465"/>
        <v/>
      </c>
      <c r="AA4259" s="60">
        <f t="shared" si="466"/>
        <v>0</v>
      </c>
      <c r="AB4259" s="49">
        <f t="shared" si="467"/>
        <v>0</v>
      </c>
      <c r="AC4259" s="60">
        <f t="shared" si="468"/>
        <v>0</v>
      </c>
    </row>
    <row r="4260" spans="1:29">
      <c r="A4260" s="83" t="str">
        <f t="shared" si="463"/>
        <v/>
      </c>
      <c r="B4260" s="83" t="str">
        <f t="shared" si="469"/>
        <v/>
      </c>
      <c r="U4260" s="83" t="str">
        <f t="shared" si="464"/>
        <v/>
      </c>
      <c r="V4260" s="83" t="str">
        <f t="shared" si="465"/>
        <v/>
      </c>
      <c r="AA4260" s="60">
        <f t="shared" si="466"/>
        <v>0</v>
      </c>
      <c r="AB4260" s="49">
        <f t="shared" si="467"/>
        <v>0</v>
      </c>
      <c r="AC4260" s="60">
        <f t="shared" si="468"/>
        <v>0</v>
      </c>
    </row>
    <row r="4261" spans="1:29">
      <c r="A4261" s="83" t="str">
        <f t="shared" si="463"/>
        <v/>
      </c>
      <c r="B4261" s="83" t="str">
        <f t="shared" si="469"/>
        <v/>
      </c>
      <c r="U4261" s="83" t="str">
        <f t="shared" si="464"/>
        <v/>
      </c>
      <c r="V4261" s="83" t="str">
        <f t="shared" si="465"/>
        <v/>
      </c>
      <c r="AA4261" s="60">
        <f t="shared" si="466"/>
        <v>0</v>
      </c>
      <c r="AB4261" s="49">
        <f t="shared" si="467"/>
        <v>0</v>
      </c>
      <c r="AC4261" s="60">
        <f t="shared" si="468"/>
        <v>0</v>
      </c>
    </row>
    <row r="4262" spans="1:29">
      <c r="A4262" s="83" t="str">
        <f t="shared" si="463"/>
        <v/>
      </c>
      <c r="B4262" s="83" t="str">
        <f t="shared" si="469"/>
        <v/>
      </c>
      <c r="U4262" s="83" t="str">
        <f t="shared" si="464"/>
        <v/>
      </c>
      <c r="V4262" s="83" t="str">
        <f t="shared" si="465"/>
        <v/>
      </c>
      <c r="AA4262" s="60">
        <f t="shared" si="466"/>
        <v>0</v>
      </c>
      <c r="AB4262" s="49">
        <f t="shared" si="467"/>
        <v>0</v>
      </c>
      <c r="AC4262" s="60">
        <f t="shared" si="468"/>
        <v>0</v>
      </c>
    </row>
    <row r="4263" spans="1:29">
      <c r="A4263" s="83" t="str">
        <f t="shared" si="463"/>
        <v/>
      </c>
      <c r="B4263" s="83" t="str">
        <f t="shared" si="469"/>
        <v/>
      </c>
      <c r="U4263" s="83" t="str">
        <f t="shared" si="464"/>
        <v/>
      </c>
      <c r="V4263" s="83" t="str">
        <f t="shared" si="465"/>
        <v/>
      </c>
      <c r="AA4263" s="60">
        <f t="shared" si="466"/>
        <v>0</v>
      </c>
      <c r="AB4263" s="49">
        <f t="shared" si="467"/>
        <v>0</v>
      </c>
      <c r="AC4263" s="60">
        <f t="shared" si="468"/>
        <v>0</v>
      </c>
    </row>
    <row r="4264" spans="1:29">
      <c r="A4264" s="83" t="str">
        <f t="shared" si="463"/>
        <v/>
      </c>
      <c r="B4264" s="83" t="str">
        <f t="shared" si="469"/>
        <v/>
      </c>
      <c r="U4264" s="83" t="str">
        <f t="shared" si="464"/>
        <v/>
      </c>
      <c r="V4264" s="83" t="str">
        <f t="shared" si="465"/>
        <v/>
      </c>
      <c r="AA4264" s="60">
        <f t="shared" si="466"/>
        <v>0</v>
      </c>
      <c r="AB4264" s="49">
        <f t="shared" si="467"/>
        <v>0</v>
      </c>
      <c r="AC4264" s="60">
        <f t="shared" si="468"/>
        <v>0</v>
      </c>
    </row>
    <row r="4265" spans="1:29">
      <c r="A4265" s="83" t="str">
        <f t="shared" si="463"/>
        <v/>
      </c>
      <c r="B4265" s="83" t="str">
        <f t="shared" si="469"/>
        <v/>
      </c>
      <c r="U4265" s="83" t="str">
        <f t="shared" si="464"/>
        <v/>
      </c>
      <c r="V4265" s="83" t="str">
        <f t="shared" si="465"/>
        <v/>
      </c>
      <c r="AA4265" s="60">
        <f t="shared" si="466"/>
        <v>0</v>
      </c>
      <c r="AB4265" s="49">
        <f t="shared" si="467"/>
        <v>0</v>
      </c>
      <c r="AC4265" s="60">
        <f t="shared" si="468"/>
        <v>0</v>
      </c>
    </row>
    <row r="4266" spans="1:29">
      <c r="A4266" s="83" t="str">
        <f t="shared" si="463"/>
        <v/>
      </c>
      <c r="B4266" s="83" t="str">
        <f t="shared" si="469"/>
        <v/>
      </c>
      <c r="U4266" s="83" t="str">
        <f t="shared" si="464"/>
        <v/>
      </c>
      <c r="V4266" s="83" t="str">
        <f t="shared" si="465"/>
        <v/>
      </c>
      <c r="AA4266" s="60">
        <f t="shared" si="466"/>
        <v>0</v>
      </c>
      <c r="AB4266" s="49">
        <f t="shared" si="467"/>
        <v>0</v>
      </c>
      <c r="AC4266" s="60">
        <f t="shared" si="468"/>
        <v>0</v>
      </c>
    </row>
    <row r="4267" spans="1:29">
      <c r="A4267" s="83" t="str">
        <f t="shared" si="463"/>
        <v/>
      </c>
      <c r="B4267" s="83" t="str">
        <f t="shared" si="469"/>
        <v/>
      </c>
      <c r="U4267" s="83" t="str">
        <f t="shared" si="464"/>
        <v/>
      </c>
      <c r="V4267" s="83" t="str">
        <f t="shared" si="465"/>
        <v/>
      </c>
      <c r="AA4267" s="60">
        <f t="shared" si="466"/>
        <v>0</v>
      </c>
      <c r="AB4267" s="49">
        <f t="shared" si="467"/>
        <v>0</v>
      </c>
      <c r="AC4267" s="60">
        <f t="shared" si="468"/>
        <v>0</v>
      </c>
    </row>
    <row r="4268" spans="1:29">
      <c r="A4268" s="83" t="str">
        <f t="shared" si="463"/>
        <v/>
      </c>
      <c r="B4268" s="83" t="str">
        <f t="shared" si="469"/>
        <v/>
      </c>
      <c r="U4268" s="83" t="str">
        <f t="shared" si="464"/>
        <v/>
      </c>
      <c r="V4268" s="83" t="str">
        <f t="shared" si="465"/>
        <v/>
      </c>
      <c r="AA4268" s="60">
        <f t="shared" si="466"/>
        <v>0</v>
      </c>
      <c r="AB4268" s="49">
        <f t="shared" si="467"/>
        <v>0</v>
      </c>
      <c r="AC4268" s="60">
        <f t="shared" si="468"/>
        <v>0</v>
      </c>
    </row>
    <row r="4269" spans="1:29">
      <c r="A4269" s="83" t="str">
        <f t="shared" si="463"/>
        <v/>
      </c>
      <c r="B4269" s="83" t="str">
        <f t="shared" si="469"/>
        <v/>
      </c>
      <c r="U4269" s="83" t="str">
        <f t="shared" si="464"/>
        <v/>
      </c>
      <c r="V4269" s="83" t="str">
        <f t="shared" si="465"/>
        <v/>
      </c>
      <c r="AA4269" s="60">
        <f t="shared" si="466"/>
        <v>0</v>
      </c>
      <c r="AB4269" s="49">
        <f t="shared" si="467"/>
        <v>0</v>
      </c>
      <c r="AC4269" s="60">
        <f t="shared" si="468"/>
        <v>0</v>
      </c>
    </row>
    <row r="4270" spans="1:29">
      <c r="A4270" s="83" t="str">
        <f t="shared" si="463"/>
        <v/>
      </c>
      <c r="B4270" s="83" t="str">
        <f t="shared" si="469"/>
        <v/>
      </c>
      <c r="U4270" s="83" t="str">
        <f t="shared" si="464"/>
        <v/>
      </c>
      <c r="V4270" s="83" t="str">
        <f t="shared" si="465"/>
        <v/>
      </c>
      <c r="AA4270" s="60">
        <f t="shared" si="466"/>
        <v>0</v>
      </c>
      <c r="AB4270" s="49">
        <f t="shared" si="467"/>
        <v>0</v>
      </c>
      <c r="AC4270" s="60">
        <f t="shared" si="468"/>
        <v>0</v>
      </c>
    </row>
    <row r="4271" spans="1:29">
      <c r="A4271" s="83" t="str">
        <f t="shared" si="463"/>
        <v/>
      </c>
      <c r="B4271" s="83" t="str">
        <f t="shared" si="469"/>
        <v/>
      </c>
      <c r="U4271" s="83" t="str">
        <f t="shared" si="464"/>
        <v/>
      </c>
      <c r="V4271" s="83" t="str">
        <f t="shared" si="465"/>
        <v/>
      </c>
      <c r="AA4271" s="60">
        <f t="shared" si="466"/>
        <v>0</v>
      </c>
      <c r="AB4271" s="49">
        <f t="shared" si="467"/>
        <v>0</v>
      </c>
      <c r="AC4271" s="60">
        <f t="shared" si="468"/>
        <v>0</v>
      </c>
    </row>
    <row r="4272" spans="1:29">
      <c r="A4272" s="83" t="str">
        <f t="shared" si="463"/>
        <v/>
      </c>
      <c r="B4272" s="83" t="str">
        <f t="shared" si="469"/>
        <v/>
      </c>
      <c r="U4272" s="83" t="str">
        <f t="shared" si="464"/>
        <v/>
      </c>
      <c r="V4272" s="83" t="str">
        <f t="shared" si="465"/>
        <v/>
      </c>
      <c r="AA4272" s="60">
        <f t="shared" si="466"/>
        <v>0</v>
      </c>
      <c r="AB4272" s="49">
        <f t="shared" si="467"/>
        <v>0</v>
      </c>
      <c r="AC4272" s="60">
        <f t="shared" si="468"/>
        <v>0</v>
      </c>
    </row>
    <row r="4273" spans="1:29">
      <c r="A4273" s="83" t="str">
        <f t="shared" si="463"/>
        <v/>
      </c>
      <c r="B4273" s="83" t="str">
        <f t="shared" si="469"/>
        <v/>
      </c>
      <c r="U4273" s="83" t="str">
        <f t="shared" si="464"/>
        <v/>
      </c>
      <c r="V4273" s="83" t="str">
        <f t="shared" si="465"/>
        <v/>
      </c>
      <c r="AA4273" s="60">
        <f t="shared" si="466"/>
        <v>0</v>
      </c>
      <c r="AB4273" s="49">
        <f t="shared" si="467"/>
        <v>0</v>
      </c>
      <c r="AC4273" s="60">
        <f t="shared" si="468"/>
        <v>0</v>
      </c>
    </row>
    <row r="4274" spans="1:29">
      <c r="A4274" s="83" t="str">
        <f t="shared" si="463"/>
        <v/>
      </c>
      <c r="B4274" s="83" t="str">
        <f t="shared" si="469"/>
        <v/>
      </c>
      <c r="U4274" s="83" t="str">
        <f t="shared" si="464"/>
        <v/>
      </c>
      <c r="V4274" s="83" t="str">
        <f t="shared" si="465"/>
        <v/>
      </c>
      <c r="AA4274" s="60">
        <f t="shared" si="466"/>
        <v>0</v>
      </c>
      <c r="AB4274" s="49">
        <f t="shared" si="467"/>
        <v>0</v>
      </c>
      <c r="AC4274" s="60">
        <f t="shared" si="468"/>
        <v>0</v>
      </c>
    </row>
    <row r="4275" spans="1:29">
      <c r="A4275" s="83" t="str">
        <f t="shared" si="463"/>
        <v/>
      </c>
      <c r="B4275" s="83" t="str">
        <f t="shared" si="469"/>
        <v/>
      </c>
      <c r="U4275" s="83" t="str">
        <f t="shared" si="464"/>
        <v/>
      </c>
      <c r="V4275" s="83" t="str">
        <f t="shared" si="465"/>
        <v/>
      </c>
      <c r="AA4275" s="60">
        <f t="shared" si="466"/>
        <v>0</v>
      </c>
      <c r="AB4275" s="49">
        <f t="shared" si="467"/>
        <v>0</v>
      </c>
      <c r="AC4275" s="60">
        <f t="shared" si="468"/>
        <v>0</v>
      </c>
    </row>
    <row r="4276" spans="1:29">
      <c r="A4276" s="83" t="str">
        <f t="shared" si="463"/>
        <v/>
      </c>
      <c r="B4276" s="83" t="str">
        <f t="shared" si="469"/>
        <v/>
      </c>
      <c r="U4276" s="83" t="str">
        <f t="shared" si="464"/>
        <v/>
      </c>
      <c r="V4276" s="83" t="str">
        <f t="shared" si="465"/>
        <v/>
      </c>
      <c r="AA4276" s="60">
        <f t="shared" si="466"/>
        <v>0</v>
      </c>
      <c r="AB4276" s="49">
        <f t="shared" si="467"/>
        <v>0</v>
      </c>
      <c r="AC4276" s="60">
        <f t="shared" si="468"/>
        <v>0</v>
      </c>
    </row>
    <row r="4277" spans="1:29">
      <c r="A4277" s="83" t="str">
        <f t="shared" si="463"/>
        <v/>
      </c>
      <c r="B4277" s="83" t="str">
        <f t="shared" si="469"/>
        <v/>
      </c>
      <c r="U4277" s="83" t="str">
        <f t="shared" si="464"/>
        <v/>
      </c>
      <c r="V4277" s="83" t="str">
        <f t="shared" si="465"/>
        <v/>
      </c>
      <c r="AA4277" s="60">
        <f t="shared" si="466"/>
        <v>0</v>
      </c>
      <c r="AB4277" s="49">
        <f t="shared" si="467"/>
        <v>0</v>
      </c>
      <c r="AC4277" s="60">
        <f t="shared" si="468"/>
        <v>0</v>
      </c>
    </row>
    <row r="4278" spans="1:29">
      <c r="A4278" s="83" t="str">
        <f t="shared" si="463"/>
        <v/>
      </c>
      <c r="B4278" s="83" t="str">
        <f t="shared" si="469"/>
        <v/>
      </c>
      <c r="U4278" s="83" t="str">
        <f t="shared" si="464"/>
        <v/>
      </c>
      <c r="V4278" s="83" t="str">
        <f t="shared" si="465"/>
        <v/>
      </c>
      <c r="AA4278" s="60">
        <f t="shared" si="466"/>
        <v>0</v>
      </c>
      <c r="AB4278" s="49">
        <f t="shared" si="467"/>
        <v>0</v>
      </c>
      <c r="AC4278" s="60">
        <f t="shared" si="468"/>
        <v>0</v>
      </c>
    </row>
    <row r="4279" spans="1:29">
      <c r="A4279" s="83" t="str">
        <f t="shared" si="463"/>
        <v/>
      </c>
      <c r="B4279" s="83" t="str">
        <f t="shared" si="469"/>
        <v/>
      </c>
      <c r="U4279" s="83" t="str">
        <f t="shared" si="464"/>
        <v/>
      </c>
      <c r="V4279" s="83" t="str">
        <f t="shared" si="465"/>
        <v/>
      </c>
      <c r="AA4279" s="60">
        <f t="shared" si="466"/>
        <v>0</v>
      </c>
      <c r="AB4279" s="49">
        <f t="shared" si="467"/>
        <v>0</v>
      </c>
      <c r="AC4279" s="60">
        <f t="shared" si="468"/>
        <v>0</v>
      </c>
    </row>
    <row r="4280" spans="1:29">
      <c r="A4280" s="83" t="str">
        <f t="shared" si="463"/>
        <v/>
      </c>
      <c r="B4280" s="83" t="str">
        <f t="shared" si="469"/>
        <v/>
      </c>
      <c r="U4280" s="83" t="str">
        <f t="shared" si="464"/>
        <v/>
      </c>
      <c r="V4280" s="83" t="str">
        <f t="shared" si="465"/>
        <v/>
      </c>
      <c r="AA4280" s="60">
        <f t="shared" si="466"/>
        <v>0</v>
      </c>
      <c r="AB4280" s="49">
        <f t="shared" si="467"/>
        <v>0</v>
      </c>
      <c r="AC4280" s="60">
        <f t="shared" si="468"/>
        <v>0</v>
      </c>
    </row>
    <row r="4281" spans="1:29">
      <c r="A4281" s="83" t="str">
        <f t="shared" si="463"/>
        <v/>
      </c>
      <c r="B4281" s="83" t="str">
        <f t="shared" si="469"/>
        <v/>
      </c>
      <c r="U4281" s="83" t="str">
        <f t="shared" si="464"/>
        <v/>
      </c>
      <c r="V4281" s="83" t="str">
        <f t="shared" si="465"/>
        <v/>
      </c>
      <c r="AA4281" s="60">
        <f t="shared" si="466"/>
        <v>0</v>
      </c>
      <c r="AB4281" s="49">
        <f t="shared" si="467"/>
        <v>0</v>
      </c>
      <c r="AC4281" s="60">
        <f t="shared" si="468"/>
        <v>0</v>
      </c>
    </row>
    <row r="4282" spans="1:29">
      <c r="A4282" s="83" t="str">
        <f t="shared" si="463"/>
        <v/>
      </c>
      <c r="B4282" s="83" t="str">
        <f t="shared" si="469"/>
        <v/>
      </c>
      <c r="U4282" s="83" t="str">
        <f t="shared" si="464"/>
        <v/>
      </c>
      <c r="V4282" s="83" t="str">
        <f t="shared" si="465"/>
        <v/>
      </c>
      <c r="AA4282" s="60">
        <f t="shared" si="466"/>
        <v>0</v>
      </c>
      <c r="AB4282" s="49">
        <f t="shared" si="467"/>
        <v>0</v>
      </c>
      <c r="AC4282" s="60">
        <f t="shared" si="468"/>
        <v>0</v>
      </c>
    </row>
    <row r="4283" spans="1:29">
      <c r="A4283" s="83" t="str">
        <f t="shared" si="463"/>
        <v/>
      </c>
      <c r="B4283" s="83" t="str">
        <f t="shared" si="469"/>
        <v/>
      </c>
      <c r="U4283" s="83" t="str">
        <f t="shared" si="464"/>
        <v/>
      </c>
      <c r="V4283" s="83" t="str">
        <f t="shared" si="465"/>
        <v/>
      </c>
      <c r="AA4283" s="60">
        <f t="shared" si="466"/>
        <v>0</v>
      </c>
      <c r="AB4283" s="49">
        <f t="shared" si="467"/>
        <v>0</v>
      </c>
      <c r="AC4283" s="60">
        <f t="shared" si="468"/>
        <v>0</v>
      </c>
    </row>
    <row r="4284" spans="1:29">
      <c r="A4284" s="83" t="str">
        <f t="shared" si="463"/>
        <v/>
      </c>
      <c r="B4284" s="83" t="str">
        <f t="shared" si="469"/>
        <v/>
      </c>
      <c r="U4284" s="83" t="str">
        <f t="shared" si="464"/>
        <v/>
      </c>
      <c r="V4284" s="83" t="str">
        <f t="shared" si="465"/>
        <v/>
      </c>
      <c r="AA4284" s="60">
        <f t="shared" si="466"/>
        <v>0</v>
      </c>
      <c r="AB4284" s="49">
        <f t="shared" si="467"/>
        <v>0</v>
      </c>
      <c r="AC4284" s="60">
        <f t="shared" si="468"/>
        <v>0</v>
      </c>
    </row>
    <row r="4285" spans="1:29">
      <c r="A4285" s="83" t="str">
        <f t="shared" si="463"/>
        <v/>
      </c>
      <c r="B4285" s="83" t="str">
        <f t="shared" si="469"/>
        <v/>
      </c>
      <c r="U4285" s="83" t="str">
        <f t="shared" si="464"/>
        <v/>
      </c>
      <c r="V4285" s="83" t="str">
        <f t="shared" si="465"/>
        <v/>
      </c>
      <c r="AA4285" s="60">
        <f t="shared" si="466"/>
        <v>0</v>
      </c>
      <c r="AB4285" s="49">
        <f t="shared" si="467"/>
        <v>0</v>
      </c>
      <c r="AC4285" s="60">
        <f t="shared" si="468"/>
        <v>0</v>
      </c>
    </row>
    <row r="4286" spans="1:29">
      <c r="A4286" s="83" t="str">
        <f t="shared" si="463"/>
        <v/>
      </c>
      <c r="B4286" s="83" t="str">
        <f t="shared" si="469"/>
        <v/>
      </c>
      <c r="U4286" s="83" t="str">
        <f t="shared" si="464"/>
        <v/>
      </c>
      <c r="V4286" s="83" t="str">
        <f t="shared" si="465"/>
        <v/>
      </c>
      <c r="AA4286" s="60">
        <f t="shared" si="466"/>
        <v>0</v>
      </c>
      <c r="AB4286" s="49">
        <f t="shared" si="467"/>
        <v>0</v>
      </c>
      <c r="AC4286" s="60">
        <f t="shared" si="468"/>
        <v>0</v>
      </c>
    </row>
    <row r="4287" spans="1:29">
      <c r="A4287" s="83" t="str">
        <f t="shared" si="463"/>
        <v/>
      </c>
      <c r="B4287" s="83" t="str">
        <f t="shared" si="469"/>
        <v/>
      </c>
      <c r="U4287" s="83" t="str">
        <f t="shared" si="464"/>
        <v/>
      </c>
      <c r="V4287" s="83" t="str">
        <f t="shared" si="465"/>
        <v/>
      </c>
      <c r="AA4287" s="60">
        <f t="shared" si="466"/>
        <v>0</v>
      </c>
      <c r="AB4287" s="49">
        <f t="shared" si="467"/>
        <v>0</v>
      </c>
      <c r="AC4287" s="60">
        <f t="shared" si="468"/>
        <v>0</v>
      </c>
    </row>
    <row r="4288" spans="1:29">
      <c r="A4288" s="83" t="str">
        <f t="shared" si="463"/>
        <v/>
      </c>
      <c r="B4288" s="83" t="str">
        <f t="shared" si="469"/>
        <v/>
      </c>
      <c r="U4288" s="83" t="str">
        <f t="shared" si="464"/>
        <v/>
      </c>
      <c r="V4288" s="83" t="str">
        <f t="shared" si="465"/>
        <v/>
      </c>
      <c r="AA4288" s="60">
        <f t="shared" si="466"/>
        <v>0</v>
      </c>
      <c r="AB4288" s="49">
        <f t="shared" si="467"/>
        <v>0</v>
      </c>
      <c r="AC4288" s="60">
        <f t="shared" si="468"/>
        <v>0</v>
      </c>
    </row>
    <row r="4289" spans="1:29">
      <c r="A4289" s="83" t="str">
        <f t="shared" si="463"/>
        <v/>
      </c>
      <c r="B4289" s="83" t="str">
        <f t="shared" si="469"/>
        <v/>
      </c>
      <c r="U4289" s="83" t="str">
        <f t="shared" si="464"/>
        <v/>
      </c>
      <c r="V4289" s="83" t="str">
        <f t="shared" si="465"/>
        <v/>
      </c>
      <c r="AA4289" s="60">
        <f t="shared" si="466"/>
        <v>0</v>
      </c>
      <c r="AB4289" s="49">
        <f t="shared" si="467"/>
        <v>0</v>
      </c>
      <c r="AC4289" s="60">
        <f t="shared" si="468"/>
        <v>0</v>
      </c>
    </row>
    <row r="4290" spans="1:29">
      <c r="A4290" s="83" t="str">
        <f t="shared" si="463"/>
        <v/>
      </c>
      <c r="B4290" s="83" t="str">
        <f t="shared" si="469"/>
        <v/>
      </c>
      <c r="U4290" s="83" t="str">
        <f t="shared" si="464"/>
        <v/>
      </c>
      <c r="V4290" s="83" t="str">
        <f t="shared" si="465"/>
        <v/>
      </c>
      <c r="AA4290" s="60">
        <f t="shared" si="466"/>
        <v>0</v>
      </c>
      <c r="AB4290" s="49">
        <f t="shared" si="467"/>
        <v>0</v>
      </c>
      <c r="AC4290" s="60">
        <f t="shared" si="468"/>
        <v>0</v>
      </c>
    </row>
    <row r="4291" spans="1:29">
      <c r="A4291" s="83" t="str">
        <f t="shared" ref="A4291:A4354" si="470">IF(G4291&amp;Q4291&lt;&gt;"",U4291&amp;Q4291,"")</f>
        <v/>
      </c>
      <c r="B4291" s="83" t="str">
        <f t="shared" si="469"/>
        <v/>
      </c>
      <c r="U4291" s="83" t="str">
        <f t="shared" ref="U4291:U4354" si="471">IF(G4291&lt;&gt;"",IF(StyleSpaceSplit,IFERROR(IF(FIND(" ",G4291)&gt;=1,MID(G4291,1,FIND(" ",G4291)-1),G4291),G4291),G4291),"")</f>
        <v/>
      </c>
      <c r="V4291" s="83" t="str">
        <f t="shared" ref="V4291:V4354" si="472">IF(A4291&lt;&gt;"",IFERROR(IF(FIND(" ",G4291)&gt;=1,MID(G4291,FIND(" ",G4291)+1,LEN(G4291)),""),G4291),"")</f>
        <v/>
      </c>
      <c r="AA4291" s="60">
        <f t="shared" ref="AA4291:AA4354" si="473">IFERROR(VALUE(MID($C4291,1,2)),0)</f>
        <v>0</v>
      </c>
      <c r="AB4291" s="49">
        <f t="shared" ref="AB4291:AB4354" si="474">IFERROR(VALUE(MID($C4291,4,3)),0)</f>
        <v>0</v>
      </c>
      <c r="AC4291" s="60">
        <f t="shared" ref="AC4291:AC4354" si="475">VALUE(RIGHT("00"&amp;AA4291,2)&amp;RIGHT("000"&amp;AB4291,3))</f>
        <v>0</v>
      </c>
    </row>
    <row r="4292" spans="1:29">
      <c r="A4292" s="83" t="str">
        <f t="shared" si="470"/>
        <v/>
      </c>
      <c r="B4292" s="83" t="str">
        <f t="shared" si="469"/>
        <v/>
      </c>
      <c r="U4292" s="83" t="str">
        <f t="shared" si="471"/>
        <v/>
      </c>
      <c r="V4292" s="83" t="str">
        <f t="shared" si="472"/>
        <v/>
      </c>
      <c r="AA4292" s="60">
        <f t="shared" si="473"/>
        <v>0</v>
      </c>
      <c r="AB4292" s="49">
        <f t="shared" si="474"/>
        <v>0</v>
      </c>
      <c r="AC4292" s="60">
        <f t="shared" si="475"/>
        <v>0</v>
      </c>
    </row>
    <row r="4293" spans="1:29">
      <c r="A4293" s="83" t="str">
        <f t="shared" si="470"/>
        <v/>
      </c>
      <c r="B4293" s="83" t="str">
        <f t="shared" si="469"/>
        <v/>
      </c>
      <c r="U4293" s="83" t="str">
        <f t="shared" si="471"/>
        <v/>
      </c>
      <c r="V4293" s="83" t="str">
        <f t="shared" si="472"/>
        <v/>
      </c>
      <c r="AA4293" s="60">
        <f t="shared" si="473"/>
        <v>0</v>
      </c>
      <c r="AB4293" s="49">
        <f t="shared" si="474"/>
        <v>0</v>
      </c>
      <c r="AC4293" s="60">
        <f t="shared" si="475"/>
        <v>0</v>
      </c>
    </row>
    <row r="4294" spans="1:29">
      <c r="A4294" s="83" t="str">
        <f t="shared" si="470"/>
        <v/>
      </c>
      <c r="B4294" s="83" t="str">
        <f t="shared" si="469"/>
        <v/>
      </c>
      <c r="U4294" s="83" t="str">
        <f t="shared" si="471"/>
        <v/>
      </c>
      <c r="V4294" s="83" t="str">
        <f t="shared" si="472"/>
        <v/>
      </c>
      <c r="AA4294" s="60">
        <f t="shared" si="473"/>
        <v>0</v>
      </c>
      <c r="AB4294" s="49">
        <f t="shared" si="474"/>
        <v>0</v>
      </c>
      <c r="AC4294" s="60">
        <f t="shared" si="475"/>
        <v>0</v>
      </c>
    </row>
    <row r="4295" spans="1:29">
      <c r="A4295" s="83" t="str">
        <f t="shared" si="470"/>
        <v/>
      </c>
      <c r="B4295" s="83" t="str">
        <f t="shared" si="469"/>
        <v/>
      </c>
      <c r="U4295" s="83" t="str">
        <f t="shared" si="471"/>
        <v/>
      </c>
      <c r="V4295" s="83" t="str">
        <f t="shared" si="472"/>
        <v/>
      </c>
      <c r="AA4295" s="60">
        <f t="shared" si="473"/>
        <v>0</v>
      </c>
      <c r="AB4295" s="49">
        <f t="shared" si="474"/>
        <v>0</v>
      </c>
      <c r="AC4295" s="60">
        <f t="shared" si="475"/>
        <v>0</v>
      </c>
    </row>
    <row r="4296" spans="1:29">
      <c r="A4296" s="83" t="str">
        <f t="shared" si="470"/>
        <v/>
      </c>
      <c r="B4296" s="83" t="str">
        <f t="shared" si="469"/>
        <v/>
      </c>
      <c r="U4296" s="83" t="str">
        <f t="shared" si="471"/>
        <v/>
      </c>
      <c r="V4296" s="83" t="str">
        <f t="shared" si="472"/>
        <v/>
      </c>
      <c r="AA4296" s="60">
        <f t="shared" si="473"/>
        <v>0</v>
      </c>
      <c r="AB4296" s="49">
        <f t="shared" si="474"/>
        <v>0</v>
      </c>
      <c r="AC4296" s="60">
        <f t="shared" si="475"/>
        <v>0</v>
      </c>
    </row>
    <row r="4297" spans="1:29">
      <c r="A4297" s="83" t="str">
        <f t="shared" si="470"/>
        <v/>
      </c>
      <c r="B4297" s="83" t="str">
        <f t="shared" si="469"/>
        <v/>
      </c>
      <c r="U4297" s="83" t="str">
        <f t="shared" si="471"/>
        <v/>
      </c>
      <c r="V4297" s="83" t="str">
        <f t="shared" si="472"/>
        <v/>
      </c>
      <c r="AA4297" s="60">
        <f t="shared" si="473"/>
        <v>0</v>
      </c>
      <c r="AB4297" s="49">
        <f t="shared" si="474"/>
        <v>0</v>
      </c>
      <c r="AC4297" s="60">
        <f t="shared" si="475"/>
        <v>0</v>
      </c>
    </row>
    <row r="4298" spans="1:29">
      <c r="A4298" s="83" t="str">
        <f t="shared" si="470"/>
        <v/>
      </c>
      <c r="B4298" s="83" t="str">
        <f t="shared" si="469"/>
        <v/>
      </c>
      <c r="U4298" s="83" t="str">
        <f t="shared" si="471"/>
        <v/>
      </c>
      <c r="V4298" s="83" t="str">
        <f t="shared" si="472"/>
        <v/>
      </c>
      <c r="AA4298" s="60">
        <f t="shared" si="473"/>
        <v>0</v>
      </c>
      <c r="AB4298" s="49">
        <f t="shared" si="474"/>
        <v>0</v>
      </c>
      <c r="AC4298" s="60">
        <f t="shared" si="475"/>
        <v>0</v>
      </c>
    </row>
    <row r="4299" spans="1:29">
      <c r="A4299" s="83" t="str">
        <f t="shared" si="470"/>
        <v/>
      </c>
      <c r="B4299" s="83" t="str">
        <f t="shared" si="469"/>
        <v/>
      </c>
      <c r="U4299" s="83" t="str">
        <f t="shared" si="471"/>
        <v/>
      </c>
      <c r="V4299" s="83" t="str">
        <f t="shared" si="472"/>
        <v/>
      </c>
      <c r="AA4299" s="60">
        <f t="shared" si="473"/>
        <v>0</v>
      </c>
      <c r="AB4299" s="49">
        <f t="shared" si="474"/>
        <v>0</v>
      </c>
      <c r="AC4299" s="60">
        <f t="shared" si="475"/>
        <v>0</v>
      </c>
    </row>
    <row r="4300" spans="1:29">
      <c r="A4300" s="83" t="str">
        <f t="shared" si="470"/>
        <v/>
      </c>
      <c r="B4300" s="83" t="str">
        <f t="shared" si="469"/>
        <v/>
      </c>
      <c r="U4300" s="83" t="str">
        <f t="shared" si="471"/>
        <v/>
      </c>
      <c r="V4300" s="83" t="str">
        <f t="shared" si="472"/>
        <v/>
      </c>
      <c r="AA4300" s="60">
        <f t="shared" si="473"/>
        <v>0</v>
      </c>
      <c r="AB4300" s="49">
        <f t="shared" si="474"/>
        <v>0</v>
      </c>
      <c r="AC4300" s="60">
        <f t="shared" si="475"/>
        <v>0</v>
      </c>
    </row>
    <row r="4301" spans="1:29">
      <c r="A4301" s="83" t="str">
        <f t="shared" si="470"/>
        <v/>
      </c>
      <c r="B4301" s="83" t="str">
        <f t="shared" si="469"/>
        <v/>
      </c>
      <c r="U4301" s="83" t="str">
        <f t="shared" si="471"/>
        <v/>
      </c>
      <c r="V4301" s="83" t="str">
        <f t="shared" si="472"/>
        <v/>
      </c>
      <c r="AA4301" s="60">
        <f t="shared" si="473"/>
        <v>0</v>
      </c>
      <c r="AB4301" s="49">
        <f t="shared" si="474"/>
        <v>0</v>
      </c>
      <c r="AC4301" s="60">
        <f t="shared" si="475"/>
        <v>0</v>
      </c>
    </row>
    <row r="4302" spans="1:29">
      <c r="A4302" s="83" t="str">
        <f t="shared" si="470"/>
        <v/>
      </c>
      <c r="B4302" s="83" t="str">
        <f t="shared" si="469"/>
        <v/>
      </c>
      <c r="U4302" s="83" t="str">
        <f t="shared" si="471"/>
        <v/>
      </c>
      <c r="V4302" s="83" t="str">
        <f t="shared" si="472"/>
        <v/>
      </c>
      <c r="AA4302" s="60">
        <f t="shared" si="473"/>
        <v>0</v>
      </c>
      <c r="AB4302" s="49">
        <f t="shared" si="474"/>
        <v>0</v>
      </c>
      <c r="AC4302" s="60">
        <f t="shared" si="475"/>
        <v>0</v>
      </c>
    </row>
    <row r="4303" spans="1:29">
      <c r="A4303" s="83" t="str">
        <f t="shared" si="470"/>
        <v/>
      </c>
      <c r="B4303" s="83" t="str">
        <f t="shared" si="469"/>
        <v/>
      </c>
      <c r="U4303" s="83" t="str">
        <f t="shared" si="471"/>
        <v/>
      </c>
      <c r="V4303" s="83" t="str">
        <f t="shared" si="472"/>
        <v/>
      </c>
      <c r="AA4303" s="60">
        <f t="shared" si="473"/>
        <v>0</v>
      </c>
      <c r="AB4303" s="49">
        <f t="shared" si="474"/>
        <v>0</v>
      </c>
      <c r="AC4303" s="60">
        <f t="shared" si="475"/>
        <v>0</v>
      </c>
    </row>
    <row r="4304" spans="1:29">
      <c r="A4304" s="83" t="str">
        <f t="shared" si="470"/>
        <v/>
      </c>
      <c r="B4304" s="83" t="str">
        <f t="shared" si="469"/>
        <v/>
      </c>
      <c r="U4304" s="83" t="str">
        <f t="shared" si="471"/>
        <v/>
      </c>
      <c r="V4304" s="83" t="str">
        <f t="shared" si="472"/>
        <v/>
      </c>
      <c r="AA4304" s="60">
        <f t="shared" si="473"/>
        <v>0</v>
      </c>
      <c r="AB4304" s="49">
        <f t="shared" si="474"/>
        <v>0</v>
      </c>
      <c r="AC4304" s="60">
        <f t="shared" si="475"/>
        <v>0</v>
      </c>
    </row>
    <row r="4305" spans="1:29">
      <c r="A4305" s="83" t="str">
        <f t="shared" si="470"/>
        <v/>
      </c>
      <c r="B4305" s="83" t="str">
        <f t="shared" si="469"/>
        <v/>
      </c>
      <c r="U4305" s="83" t="str">
        <f t="shared" si="471"/>
        <v/>
      </c>
      <c r="V4305" s="83" t="str">
        <f t="shared" si="472"/>
        <v/>
      </c>
      <c r="AA4305" s="60">
        <f t="shared" si="473"/>
        <v>0</v>
      </c>
      <c r="AB4305" s="49">
        <f t="shared" si="474"/>
        <v>0</v>
      </c>
      <c r="AC4305" s="60">
        <f t="shared" si="475"/>
        <v>0</v>
      </c>
    </row>
    <row r="4306" spans="1:29">
      <c r="A4306" s="83" t="str">
        <f t="shared" si="470"/>
        <v/>
      </c>
      <c r="B4306" s="83" t="str">
        <f t="shared" si="469"/>
        <v/>
      </c>
      <c r="U4306" s="83" t="str">
        <f t="shared" si="471"/>
        <v/>
      </c>
      <c r="V4306" s="83" t="str">
        <f t="shared" si="472"/>
        <v/>
      </c>
      <c r="AA4306" s="60">
        <f t="shared" si="473"/>
        <v>0</v>
      </c>
      <c r="AB4306" s="49">
        <f t="shared" si="474"/>
        <v>0</v>
      </c>
      <c r="AC4306" s="60">
        <f t="shared" si="475"/>
        <v>0</v>
      </c>
    </row>
    <row r="4307" spans="1:29">
      <c r="A4307" s="83" t="str">
        <f t="shared" si="470"/>
        <v/>
      </c>
      <c r="B4307" s="83" t="str">
        <f t="shared" si="469"/>
        <v/>
      </c>
      <c r="U4307" s="83" t="str">
        <f t="shared" si="471"/>
        <v/>
      </c>
      <c r="V4307" s="83" t="str">
        <f t="shared" si="472"/>
        <v/>
      </c>
      <c r="AA4307" s="60">
        <f t="shared" si="473"/>
        <v>0</v>
      </c>
      <c r="AB4307" s="49">
        <f t="shared" si="474"/>
        <v>0</v>
      </c>
      <c r="AC4307" s="60">
        <f t="shared" si="475"/>
        <v>0</v>
      </c>
    </row>
    <row r="4308" spans="1:29">
      <c r="A4308" s="83" t="str">
        <f t="shared" si="470"/>
        <v/>
      </c>
      <c r="B4308" s="83" t="str">
        <f t="shared" si="469"/>
        <v/>
      </c>
      <c r="U4308" s="83" t="str">
        <f t="shared" si="471"/>
        <v/>
      </c>
      <c r="V4308" s="83" t="str">
        <f t="shared" si="472"/>
        <v/>
      </c>
      <c r="AA4308" s="60">
        <f t="shared" si="473"/>
        <v>0</v>
      </c>
      <c r="AB4308" s="49">
        <f t="shared" si="474"/>
        <v>0</v>
      </c>
      <c r="AC4308" s="60">
        <f t="shared" si="475"/>
        <v>0</v>
      </c>
    </row>
    <row r="4309" spans="1:29">
      <c r="A4309" s="83" t="str">
        <f t="shared" si="470"/>
        <v/>
      </c>
      <c r="B4309" s="83" t="str">
        <f t="shared" si="469"/>
        <v/>
      </c>
      <c r="U4309" s="83" t="str">
        <f t="shared" si="471"/>
        <v/>
      </c>
      <c r="V4309" s="83" t="str">
        <f t="shared" si="472"/>
        <v/>
      </c>
      <c r="AA4309" s="60">
        <f t="shared" si="473"/>
        <v>0</v>
      </c>
      <c r="AB4309" s="49">
        <f t="shared" si="474"/>
        <v>0</v>
      </c>
      <c r="AC4309" s="60">
        <f t="shared" si="475"/>
        <v>0</v>
      </c>
    </row>
    <row r="4310" spans="1:29">
      <c r="A4310" s="83" t="str">
        <f t="shared" si="470"/>
        <v/>
      </c>
      <c r="B4310" s="83" t="str">
        <f t="shared" si="469"/>
        <v/>
      </c>
      <c r="U4310" s="83" t="str">
        <f t="shared" si="471"/>
        <v/>
      </c>
      <c r="V4310" s="83" t="str">
        <f t="shared" si="472"/>
        <v/>
      </c>
      <c r="AA4310" s="60">
        <f t="shared" si="473"/>
        <v>0</v>
      </c>
      <c r="AB4310" s="49">
        <f t="shared" si="474"/>
        <v>0</v>
      </c>
      <c r="AC4310" s="60">
        <f t="shared" si="475"/>
        <v>0</v>
      </c>
    </row>
    <row r="4311" spans="1:29">
      <c r="A4311" s="83" t="str">
        <f t="shared" si="470"/>
        <v/>
      </c>
      <c r="B4311" s="83" t="str">
        <f t="shared" si="469"/>
        <v/>
      </c>
      <c r="U4311" s="83" t="str">
        <f t="shared" si="471"/>
        <v/>
      </c>
      <c r="V4311" s="83" t="str">
        <f t="shared" si="472"/>
        <v/>
      </c>
      <c r="AA4311" s="60">
        <f t="shared" si="473"/>
        <v>0</v>
      </c>
      <c r="AB4311" s="49">
        <f t="shared" si="474"/>
        <v>0</v>
      </c>
      <c r="AC4311" s="60">
        <f t="shared" si="475"/>
        <v>0</v>
      </c>
    </row>
    <row r="4312" spans="1:29">
      <c r="A4312" s="83" t="str">
        <f t="shared" si="470"/>
        <v/>
      </c>
      <c r="B4312" s="83" t="str">
        <f t="shared" si="469"/>
        <v/>
      </c>
      <c r="U4312" s="83" t="str">
        <f t="shared" si="471"/>
        <v/>
      </c>
      <c r="V4312" s="83" t="str">
        <f t="shared" si="472"/>
        <v/>
      </c>
      <c r="AA4312" s="60">
        <f t="shared" si="473"/>
        <v>0</v>
      </c>
      <c r="AB4312" s="49">
        <f t="shared" si="474"/>
        <v>0</v>
      </c>
      <c r="AC4312" s="60">
        <f t="shared" si="475"/>
        <v>0</v>
      </c>
    </row>
    <row r="4313" spans="1:29">
      <c r="A4313" s="83" t="str">
        <f t="shared" si="470"/>
        <v/>
      </c>
      <c r="B4313" s="83" t="str">
        <f t="shared" si="469"/>
        <v/>
      </c>
      <c r="U4313" s="83" t="str">
        <f t="shared" si="471"/>
        <v/>
      </c>
      <c r="V4313" s="83" t="str">
        <f t="shared" si="472"/>
        <v/>
      </c>
      <c r="AA4313" s="60">
        <f t="shared" si="473"/>
        <v>0</v>
      </c>
      <c r="AB4313" s="49">
        <f t="shared" si="474"/>
        <v>0</v>
      </c>
      <c r="AC4313" s="60">
        <f t="shared" si="475"/>
        <v>0</v>
      </c>
    </row>
    <row r="4314" spans="1:29">
      <c r="A4314" s="83" t="str">
        <f t="shared" si="470"/>
        <v/>
      </c>
      <c r="B4314" s="83" t="str">
        <f t="shared" si="469"/>
        <v/>
      </c>
      <c r="U4314" s="83" t="str">
        <f t="shared" si="471"/>
        <v/>
      </c>
      <c r="V4314" s="83" t="str">
        <f t="shared" si="472"/>
        <v/>
      </c>
      <c r="AA4314" s="60">
        <f t="shared" si="473"/>
        <v>0</v>
      </c>
      <c r="AB4314" s="49">
        <f t="shared" si="474"/>
        <v>0</v>
      </c>
      <c r="AC4314" s="60">
        <f t="shared" si="475"/>
        <v>0</v>
      </c>
    </row>
    <row r="4315" spans="1:29">
      <c r="A4315" s="83" t="str">
        <f t="shared" si="470"/>
        <v/>
      </c>
      <c r="B4315" s="83" t="str">
        <f t="shared" si="469"/>
        <v/>
      </c>
      <c r="U4315" s="83" t="str">
        <f t="shared" si="471"/>
        <v/>
      </c>
      <c r="V4315" s="83" t="str">
        <f t="shared" si="472"/>
        <v/>
      </c>
      <c r="AA4315" s="60">
        <f t="shared" si="473"/>
        <v>0</v>
      </c>
      <c r="AB4315" s="49">
        <f t="shared" si="474"/>
        <v>0</v>
      </c>
      <c r="AC4315" s="60">
        <f t="shared" si="475"/>
        <v>0</v>
      </c>
    </row>
    <row r="4316" spans="1:29">
      <c r="A4316" s="83" t="str">
        <f t="shared" si="470"/>
        <v/>
      </c>
      <c r="B4316" s="83" t="str">
        <f t="shared" si="469"/>
        <v/>
      </c>
      <c r="U4316" s="83" t="str">
        <f t="shared" si="471"/>
        <v/>
      </c>
      <c r="V4316" s="83" t="str">
        <f t="shared" si="472"/>
        <v/>
      </c>
      <c r="AA4316" s="60">
        <f t="shared" si="473"/>
        <v>0</v>
      </c>
      <c r="AB4316" s="49">
        <f t="shared" si="474"/>
        <v>0</v>
      </c>
      <c r="AC4316" s="60">
        <f t="shared" si="475"/>
        <v>0</v>
      </c>
    </row>
    <row r="4317" spans="1:29">
      <c r="A4317" s="83" t="str">
        <f t="shared" si="470"/>
        <v/>
      </c>
      <c r="B4317" s="83" t="str">
        <f t="shared" si="469"/>
        <v/>
      </c>
      <c r="U4317" s="83" t="str">
        <f t="shared" si="471"/>
        <v/>
      </c>
      <c r="V4317" s="83" t="str">
        <f t="shared" si="472"/>
        <v/>
      </c>
      <c r="AA4317" s="60">
        <f t="shared" si="473"/>
        <v>0</v>
      </c>
      <c r="AB4317" s="49">
        <f t="shared" si="474"/>
        <v>0</v>
      </c>
      <c r="AC4317" s="60">
        <f t="shared" si="475"/>
        <v>0</v>
      </c>
    </row>
    <row r="4318" spans="1:29">
      <c r="A4318" s="83" t="str">
        <f t="shared" si="470"/>
        <v/>
      </c>
      <c r="B4318" s="83" t="str">
        <f t="shared" si="469"/>
        <v/>
      </c>
      <c r="U4318" s="83" t="str">
        <f t="shared" si="471"/>
        <v/>
      </c>
      <c r="V4318" s="83" t="str">
        <f t="shared" si="472"/>
        <v/>
      </c>
      <c r="AA4318" s="60">
        <f t="shared" si="473"/>
        <v>0</v>
      </c>
      <c r="AB4318" s="49">
        <f t="shared" si="474"/>
        <v>0</v>
      </c>
      <c r="AC4318" s="60">
        <f t="shared" si="475"/>
        <v>0</v>
      </c>
    </row>
    <row r="4319" spans="1:29">
      <c r="A4319" s="83" t="str">
        <f t="shared" si="470"/>
        <v/>
      </c>
      <c r="B4319" s="83" t="str">
        <f t="shared" si="469"/>
        <v/>
      </c>
      <c r="U4319" s="83" t="str">
        <f t="shared" si="471"/>
        <v/>
      </c>
      <c r="V4319" s="83" t="str">
        <f t="shared" si="472"/>
        <v/>
      </c>
      <c r="AA4319" s="60">
        <f t="shared" si="473"/>
        <v>0</v>
      </c>
      <c r="AB4319" s="49">
        <f t="shared" si="474"/>
        <v>0</v>
      </c>
      <c r="AC4319" s="60">
        <f t="shared" si="475"/>
        <v>0</v>
      </c>
    </row>
    <row r="4320" spans="1:29">
      <c r="A4320" s="83" t="str">
        <f t="shared" si="470"/>
        <v/>
      </c>
      <c r="B4320" s="83" t="str">
        <f t="shared" si="469"/>
        <v/>
      </c>
      <c r="U4320" s="83" t="str">
        <f t="shared" si="471"/>
        <v/>
      </c>
      <c r="V4320" s="83" t="str">
        <f t="shared" si="472"/>
        <v/>
      </c>
      <c r="AA4320" s="60">
        <f t="shared" si="473"/>
        <v>0</v>
      </c>
      <c r="AB4320" s="49">
        <f t="shared" si="474"/>
        <v>0</v>
      </c>
      <c r="AC4320" s="60">
        <f t="shared" si="475"/>
        <v>0</v>
      </c>
    </row>
    <row r="4321" spans="1:29">
      <c r="A4321" s="83" t="str">
        <f t="shared" si="470"/>
        <v/>
      </c>
      <c r="B4321" s="83" t="str">
        <f t="shared" ref="B4321:B4384" si="476">IF(C4321&lt;&gt;"",LEFT(C4321,9),"")</f>
        <v/>
      </c>
      <c r="U4321" s="83" t="str">
        <f t="shared" si="471"/>
        <v/>
      </c>
      <c r="V4321" s="83" t="str">
        <f t="shared" si="472"/>
        <v/>
      </c>
      <c r="AA4321" s="60">
        <f t="shared" si="473"/>
        <v>0</v>
      </c>
      <c r="AB4321" s="49">
        <f t="shared" si="474"/>
        <v>0</v>
      </c>
      <c r="AC4321" s="60">
        <f t="shared" si="475"/>
        <v>0</v>
      </c>
    </row>
    <row r="4322" spans="1:29">
      <c r="A4322" s="83" t="str">
        <f t="shared" si="470"/>
        <v/>
      </c>
      <c r="B4322" s="83" t="str">
        <f t="shared" si="476"/>
        <v/>
      </c>
      <c r="U4322" s="83" t="str">
        <f t="shared" si="471"/>
        <v/>
      </c>
      <c r="V4322" s="83" t="str">
        <f t="shared" si="472"/>
        <v/>
      </c>
      <c r="AA4322" s="60">
        <f t="shared" si="473"/>
        <v>0</v>
      </c>
      <c r="AB4322" s="49">
        <f t="shared" si="474"/>
        <v>0</v>
      </c>
      <c r="AC4322" s="60">
        <f t="shared" si="475"/>
        <v>0</v>
      </c>
    </row>
    <row r="4323" spans="1:29">
      <c r="A4323" s="83" t="str">
        <f t="shared" si="470"/>
        <v/>
      </c>
      <c r="B4323" s="83" t="str">
        <f t="shared" si="476"/>
        <v/>
      </c>
      <c r="U4323" s="83" t="str">
        <f t="shared" si="471"/>
        <v/>
      </c>
      <c r="V4323" s="83" t="str">
        <f t="shared" si="472"/>
        <v/>
      </c>
      <c r="AA4323" s="60">
        <f t="shared" si="473"/>
        <v>0</v>
      </c>
      <c r="AB4323" s="49">
        <f t="shared" si="474"/>
        <v>0</v>
      </c>
      <c r="AC4323" s="60">
        <f t="shared" si="475"/>
        <v>0</v>
      </c>
    </row>
    <row r="4324" spans="1:29">
      <c r="A4324" s="83" t="str">
        <f t="shared" si="470"/>
        <v/>
      </c>
      <c r="B4324" s="83" t="str">
        <f t="shared" si="476"/>
        <v/>
      </c>
      <c r="U4324" s="83" t="str">
        <f t="shared" si="471"/>
        <v/>
      </c>
      <c r="V4324" s="83" t="str">
        <f t="shared" si="472"/>
        <v/>
      </c>
      <c r="AA4324" s="60">
        <f t="shared" si="473"/>
        <v>0</v>
      </c>
      <c r="AB4324" s="49">
        <f t="shared" si="474"/>
        <v>0</v>
      </c>
      <c r="AC4324" s="60">
        <f t="shared" si="475"/>
        <v>0</v>
      </c>
    </row>
    <row r="4325" spans="1:29">
      <c r="A4325" s="83" t="str">
        <f t="shared" si="470"/>
        <v/>
      </c>
      <c r="B4325" s="83" t="str">
        <f t="shared" si="476"/>
        <v/>
      </c>
      <c r="U4325" s="83" t="str">
        <f t="shared" si="471"/>
        <v/>
      </c>
      <c r="V4325" s="83" t="str">
        <f t="shared" si="472"/>
        <v/>
      </c>
      <c r="AA4325" s="60">
        <f t="shared" si="473"/>
        <v>0</v>
      </c>
      <c r="AB4325" s="49">
        <f t="shared" si="474"/>
        <v>0</v>
      </c>
      <c r="AC4325" s="60">
        <f t="shared" si="475"/>
        <v>0</v>
      </c>
    </row>
    <row r="4326" spans="1:29">
      <c r="A4326" s="83" t="str">
        <f t="shared" si="470"/>
        <v/>
      </c>
      <c r="B4326" s="83" t="str">
        <f t="shared" si="476"/>
        <v/>
      </c>
      <c r="U4326" s="83" t="str">
        <f t="shared" si="471"/>
        <v/>
      </c>
      <c r="V4326" s="83" t="str">
        <f t="shared" si="472"/>
        <v/>
      </c>
      <c r="AA4326" s="60">
        <f t="shared" si="473"/>
        <v>0</v>
      </c>
      <c r="AB4326" s="49">
        <f t="shared" si="474"/>
        <v>0</v>
      </c>
      <c r="AC4326" s="60">
        <f t="shared" si="475"/>
        <v>0</v>
      </c>
    </row>
    <row r="4327" spans="1:29">
      <c r="A4327" s="83" t="str">
        <f t="shared" si="470"/>
        <v/>
      </c>
      <c r="B4327" s="83" t="str">
        <f t="shared" si="476"/>
        <v/>
      </c>
      <c r="U4327" s="83" t="str">
        <f t="shared" si="471"/>
        <v/>
      </c>
      <c r="V4327" s="83" t="str">
        <f t="shared" si="472"/>
        <v/>
      </c>
      <c r="AA4327" s="60">
        <f t="shared" si="473"/>
        <v>0</v>
      </c>
      <c r="AB4327" s="49">
        <f t="shared" si="474"/>
        <v>0</v>
      </c>
      <c r="AC4327" s="60">
        <f t="shared" si="475"/>
        <v>0</v>
      </c>
    </row>
    <row r="4328" spans="1:29">
      <c r="A4328" s="83" t="str">
        <f t="shared" si="470"/>
        <v/>
      </c>
      <c r="B4328" s="83" t="str">
        <f t="shared" si="476"/>
        <v/>
      </c>
      <c r="U4328" s="83" t="str">
        <f t="shared" si="471"/>
        <v/>
      </c>
      <c r="V4328" s="83" t="str">
        <f t="shared" si="472"/>
        <v/>
      </c>
      <c r="AA4328" s="60">
        <f t="shared" si="473"/>
        <v>0</v>
      </c>
      <c r="AB4328" s="49">
        <f t="shared" si="474"/>
        <v>0</v>
      </c>
      <c r="AC4328" s="60">
        <f t="shared" si="475"/>
        <v>0</v>
      </c>
    </row>
    <row r="4329" spans="1:29">
      <c r="A4329" s="83" t="str">
        <f t="shared" si="470"/>
        <v/>
      </c>
      <c r="B4329" s="83" t="str">
        <f t="shared" si="476"/>
        <v/>
      </c>
      <c r="U4329" s="83" t="str">
        <f t="shared" si="471"/>
        <v/>
      </c>
      <c r="V4329" s="83" t="str">
        <f t="shared" si="472"/>
        <v/>
      </c>
      <c r="AA4329" s="60">
        <f t="shared" si="473"/>
        <v>0</v>
      </c>
      <c r="AB4329" s="49">
        <f t="shared" si="474"/>
        <v>0</v>
      </c>
      <c r="AC4329" s="60">
        <f t="shared" si="475"/>
        <v>0</v>
      </c>
    </row>
    <row r="4330" spans="1:29">
      <c r="A4330" s="83" t="str">
        <f t="shared" si="470"/>
        <v/>
      </c>
      <c r="B4330" s="83" t="str">
        <f t="shared" si="476"/>
        <v/>
      </c>
      <c r="U4330" s="83" t="str">
        <f t="shared" si="471"/>
        <v/>
      </c>
      <c r="V4330" s="83" t="str">
        <f t="shared" si="472"/>
        <v/>
      </c>
      <c r="AA4330" s="60">
        <f t="shared" si="473"/>
        <v>0</v>
      </c>
      <c r="AB4330" s="49">
        <f t="shared" si="474"/>
        <v>0</v>
      </c>
      <c r="AC4330" s="60">
        <f t="shared" si="475"/>
        <v>0</v>
      </c>
    </row>
    <row r="4331" spans="1:29">
      <c r="A4331" s="83" t="str">
        <f t="shared" si="470"/>
        <v/>
      </c>
      <c r="B4331" s="83" t="str">
        <f t="shared" si="476"/>
        <v/>
      </c>
      <c r="U4331" s="83" t="str">
        <f t="shared" si="471"/>
        <v/>
      </c>
      <c r="V4331" s="83" t="str">
        <f t="shared" si="472"/>
        <v/>
      </c>
      <c r="AA4331" s="60">
        <f t="shared" si="473"/>
        <v>0</v>
      </c>
      <c r="AB4331" s="49">
        <f t="shared" si="474"/>
        <v>0</v>
      </c>
      <c r="AC4331" s="60">
        <f t="shared" si="475"/>
        <v>0</v>
      </c>
    </row>
    <row r="4332" spans="1:29">
      <c r="A4332" s="83" t="str">
        <f t="shared" si="470"/>
        <v/>
      </c>
      <c r="B4332" s="83" t="str">
        <f t="shared" si="476"/>
        <v/>
      </c>
      <c r="U4332" s="83" t="str">
        <f t="shared" si="471"/>
        <v/>
      </c>
      <c r="V4332" s="83" t="str">
        <f t="shared" si="472"/>
        <v/>
      </c>
      <c r="AA4332" s="60">
        <f t="shared" si="473"/>
        <v>0</v>
      </c>
      <c r="AB4332" s="49">
        <f t="shared" si="474"/>
        <v>0</v>
      </c>
      <c r="AC4332" s="60">
        <f t="shared" si="475"/>
        <v>0</v>
      </c>
    </row>
    <row r="4333" spans="1:29">
      <c r="A4333" s="83" t="str">
        <f t="shared" si="470"/>
        <v/>
      </c>
      <c r="B4333" s="83" t="str">
        <f t="shared" si="476"/>
        <v/>
      </c>
      <c r="U4333" s="83" t="str">
        <f t="shared" si="471"/>
        <v/>
      </c>
      <c r="V4333" s="83" t="str">
        <f t="shared" si="472"/>
        <v/>
      </c>
      <c r="AA4333" s="60">
        <f t="shared" si="473"/>
        <v>0</v>
      </c>
      <c r="AB4333" s="49">
        <f t="shared" si="474"/>
        <v>0</v>
      </c>
      <c r="AC4333" s="60">
        <f t="shared" si="475"/>
        <v>0</v>
      </c>
    </row>
    <row r="4334" spans="1:29">
      <c r="A4334" s="83" t="str">
        <f t="shared" si="470"/>
        <v/>
      </c>
      <c r="B4334" s="83" t="str">
        <f t="shared" si="476"/>
        <v/>
      </c>
      <c r="U4334" s="83" t="str">
        <f t="shared" si="471"/>
        <v/>
      </c>
      <c r="V4334" s="83" t="str">
        <f t="shared" si="472"/>
        <v/>
      </c>
      <c r="AA4334" s="60">
        <f t="shared" si="473"/>
        <v>0</v>
      </c>
      <c r="AB4334" s="49">
        <f t="shared" si="474"/>
        <v>0</v>
      </c>
      <c r="AC4334" s="60">
        <f t="shared" si="475"/>
        <v>0</v>
      </c>
    </row>
    <row r="4335" spans="1:29">
      <c r="A4335" s="83" t="str">
        <f t="shared" si="470"/>
        <v/>
      </c>
      <c r="B4335" s="83" t="str">
        <f t="shared" si="476"/>
        <v/>
      </c>
      <c r="U4335" s="83" t="str">
        <f t="shared" si="471"/>
        <v/>
      </c>
      <c r="V4335" s="83" t="str">
        <f t="shared" si="472"/>
        <v/>
      </c>
      <c r="AA4335" s="60">
        <f t="shared" si="473"/>
        <v>0</v>
      </c>
      <c r="AB4335" s="49">
        <f t="shared" si="474"/>
        <v>0</v>
      </c>
      <c r="AC4335" s="60">
        <f t="shared" si="475"/>
        <v>0</v>
      </c>
    </row>
    <row r="4336" spans="1:29">
      <c r="A4336" s="83" t="str">
        <f t="shared" si="470"/>
        <v/>
      </c>
      <c r="B4336" s="83" t="str">
        <f t="shared" si="476"/>
        <v/>
      </c>
      <c r="U4336" s="83" t="str">
        <f t="shared" si="471"/>
        <v/>
      </c>
      <c r="V4336" s="83" t="str">
        <f t="shared" si="472"/>
        <v/>
      </c>
      <c r="AA4336" s="60">
        <f t="shared" si="473"/>
        <v>0</v>
      </c>
      <c r="AB4336" s="49">
        <f t="shared" si="474"/>
        <v>0</v>
      </c>
      <c r="AC4336" s="60">
        <f t="shared" si="475"/>
        <v>0</v>
      </c>
    </row>
    <row r="4337" spans="1:29">
      <c r="A4337" s="83" t="str">
        <f t="shared" si="470"/>
        <v/>
      </c>
      <c r="B4337" s="83" t="str">
        <f t="shared" si="476"/>
        <v/>
      </c>
      <c r="U4337" s="83" t="str">
        <f t="shared" si="471"/>
        <v/>
      </c>
      <c r="V4337" s="83" t="str">
        <f t="shared" si="472"/>
        <v/>
      </c>
      <c r="AA4337" s="60">
        <f t="shared" si="473"/>
        <v>0</v>
      </c>
      <c r="AB4337" s="49">
        <f t="shared" si="474"/>
        <v>0</v>
      </c>
      <c r="AC4337" s="60">
        <f t="shared" si="475"/>
        <v>0</v>
      </c>
    </row>
    <row r="4338" spans="1:29">
      <c r="A4338" s="83" t="str">
        <f t="shared" si="470"/>
        <v/>
      </c>
      <c r="B4338" s="83" t="str">
        <f t="shared" si="476"/>
        <v/>
      </c>
      <c r="U4338" s="83" t="str">
        <f t="shared" si="471"/>
        <v/>
      </c>
      <c r="V4338" s="83" t="str">
        <f t="shared" si="472"/>
        <v/>
      </c>
      <c r="AA4338" s="60">
        <f t="shared" si="473"/>
        <v>0</v>
      </c>
      <c r="AB4338" s="49">
        <f t="shared" si="474"/>
        <v>0</v>
      </c>
      <c r="AC4338" s="60">
        <f t="shared" si="475"/>
        <v>0</v>
      </c>
    </row>
    <row r="4339" spans="1:29">
      <c r="A4339" s="83" t="str">
        <f t="shared" si="470"/>
        <v/>
      </c>
      <c r="B4339" s="83" t="str">
        <f t="shared" si="476"/>
        <v/>
      </c>
      <c r="U4339" s="83" t="str">
        <f t="shared" si="471"/>
        <v/>
      </c>
      <c r="V4339" s="83" t="str">
        <f t="shared" si="472"/>
        <v/>
      </c>
      <c r="AA4339" s="60">
        <f t="shared" si="473"/>
        <v>0</v>
      </c>
      <c r="AB4339" s="49">
        <f t="shared" si="474"/>
        <v>0</v>
      </c>
      <c r="AC4339" s="60">
        <f t="shared" si="475"/>
        <v>0</v>
      </c>
    </row>
    <row r="4340" spans="1:29">
      <c r="A4340" s="83" t="str">
        <f t="shared" si="470"/>
        <v/>
      </c>
      <c r="B4340" s="83" t="str">
        <f t="shared" si="476"/>
        <v/>
      </c>
      <c r="U4340" s="83" t="str">
        <f t="shared" si="471"/>
        <v/>
      </c>
      <c r="V4340" s="83" t="str">
        <f t="shared" si="472"/>
        <v/>
      </c>
      <c r="AA4340" s="60">
        <f t="shared" si="473"/>
        <v>0</v>
      </c>
      <c r="AB4340" s="49">
        <f t="shared" si="474"/>
        <v>0</v>
      </c>
      <c r="AC4340" s="60">
        <f t="shared" si="475"/>
        <v>0</v>
      </c>
    </row>
    <row r="4341" spans="1:29">
      <c r="A4341" s="83" t="str">
        <f t="shared" si="470"/>
        <v/>
      </c>
      <c r="B4341" s="83" t="str">
        <f t="shared" si="476"/>
        <v/>
      </c>
      <c r="U4341" s="83" t="str">
        <f t="shared" si="471"/>
        <v/>
      </c>
      <c r="V4341" s="83" t="str">
        <f t="shared" si="472"/>
        <v/>
      </c>
      <c r="AA4341" s="60">
        <f t="shared" si="473"/>
        <v>0</v>
      </c>
      <c r="AB4341" s="49">
        <f t="shared" si="474"/>
        <v>0</v>
      </c>
      <c r="AC4341" s="60">
        <f t="shared" si="475"/>
        <v>0</v>
      </c>
    </row>
    <row r="4342" spans="1:29">
      <c r="A4342" s="83" t="str">
        <f t="shared" si="470"/>
        <v/>
      </c>
      <c r="B4342" s="83" t="str">
        <f t="shared" si="476"/>
        <v/>
      </c>
      <c r="U4342" s="83" t="str">
        <f t="shared" si="471"/>
        <v/>
      </c>
      <c r="V4342" s="83" t="str">
        <f t="shared" si="472"/>
        <v/>
      </c>
      <c r="AA4342" s="60">
        <f t="shared" si="473"/>
        <v>0</v>
      </c>
      <c r="AB4342" s="49">
        <f t="shared" si="474"/>
        <v>0</v>
      </c>
      <c r="AC4342" s="60">
        <f t="shared" si="475"/>
        <v>0</v>
      </c>
    </row>
    <row r="4343" spans="1:29">
      <c r="A4343" s="83" t="str">
        <f t="shared" si="470"/>
        <v/>
      </c>
      <c r="B4343" s="83" t="str">
        <f t="shared" si="476"/>
        <v/>
      </c>
      <c r="U4343" s="83" t="str">
        <f t="shared" si="471"/>
        <v/>
      </c>
      <c r="V4343" s="83" t="str">
        <f t="shared" si="472"/>
        <v/>
      </c>
      <c r="AA4343" s="60">
        <f t="shared" si="473"/>
        <v>0</v>
      </c>
      <c r="AB4343" s="49">
        <f t="shared" si="474"/>
        <v>0</v>
      </c>
      <c r="AC4343" s="60">
        <f t="shared" si="475"/>
        <v>0</v>
      </c>
    </row>
    <row r="4344" spans="1:29">
      <c r="A4344" s="83" t="str">
        <f t="shared" si="470"/>
        <v/>
      </c>
      <c r="B4344" s="83" t="str">
        <f t="shared" si="476"/>
        <v/>
      </c>
      <c r="U4344" s="83" t="str">
        <f t="shared" si="471"/>
        <v/>
      </c>
      <c r="V4344" s="83" t="str">
        <f t="shared" si="472"/>
        <v/>
      </c>
      <c r="AA4344" s="60">
        <f t="shared" si="473"/>
        <v>0</v>
      </c>
      <c r="AB4344" s="49">
        <f t="shared" si="474"/>
        <v>0</v>
      </c>
      <c r="AC4344" s="60">
        <f t="shared" si="475"/>
        <v>0</v>
      </c>
    </row>
    <row r="4345" spans="1:29">
      <c r="A4345" s="83" t="str">
        <f t="shared" si="470"/>
        <v/>
      </c>
      <c r="B4345" s="83" t="str">
        <f t="shared" si="476"/>
        <v/>
      </c>
      <c r="U4345" s="83" t="str">
        <f t="shared" si="471"/>
        <v/>
      </c>
      <c r="V4345" s="83" t="str">
        <f t="shared" si="472"/>
        <v/>
      </c>
      <c r="AA4345" s="60">
        <f t="shared" si="473"/>
        <v>0</v>
      </c>
      <c r="AB4345" s="49">
        <f t="shared" si="474"/>
        <v>0</v>
      </c>
      <c r="AC4345" s="60">
        <f t="shared" si="475"/>
        <v>0</v>
      </c>
    </row>
    <row r="4346" spans="1:29">
      <c r="A4346" s="83" t="str">
        <f t="shared" si="470"/>
        <v/>
      </c>
      <c r="B4346" s="83" t="str">
        <f t="shared" si="476"/>
        <v/>
      </c>
      <c r="U4346" s="83" t="str">
        <f t="shared" si="471"/>
        <v/>
      </c>
      <c r="V4346" s="83" t="str">
        <f t="shared" si="472"/>
        <v/>
      </c>
      <c r="AA4346" s="60">
        <f t="shared" si="473"/>
        <v>0</v>
      </c>
      <c r="AB4346" s="49">
        <f t="shared" si="474"/>
        <v>0</v>
      </c>
      <c r="AC4346" s="60">
        <f t="shared" si="475"/>
        <v>0</v>
      </c>
    </row>
    <row r="4347" spans="1:29">
      <c r="A4347" s="83" t="str">
        <f t="shared" si="470"/>
        <v/>
      </c>
      <c r="B4347" s="83" t="str">
        <f t="shared" si="476"/>
        <v/>
      </c>
      <c r="U4347" s="83" t="str">
        <f t="shared" si="471"/>
        <v/>
      </c>
      <c r="V4347" s="83" t="str">
        <f t="shared" si="472"/>
        <v/>
      </c>
      <c r="AA4347" s="60">
        <f t="shared" si="473"/>
        <v>0</v>
      </c>
      <c r="AB4347" s="49">
        <f t="shared" si="474"/>
        <v>0</v>
      </c>
      <c r="AC4347" s="60">
        <f t="shared" si="475"/>
        <v>0</v>
      </c>
    </row>
    <row r="4348" spans="1:29">
      <c r="A4348" s="83" t="str">
        <f t="shared" si="470"/>
        <v/>
      </c>
      <c r="B4348" s="83" t="str">
        <f t="shared" si="476"/>
        <v/>
      </c>
      <c r="U4348" s="83" t="str">
        <f t="shared" si="471"/>
        <v/>
      </c>
      <c r="V4348" s="83" t="str">
        <f t="shared" si="472"/>
        <v/>
      </c>
      <c r="AA4348" s="60">
        <f t="shared" si="473"/>
        <v>0</v>
      </c>
      <c r="AB4348" s="49">
        <f t="shared" si="474"/>
        <v>0</v>
      </c>
      <c r="AC4348" s="60">
        <f t="shared" si="475"/>
        <v>0</v>
      </c>
    </row>
    <row r="4349" spans="1:29">
      <c r="A4349" s="83" t="str">
        <f t="shared" si="470"/>
        <v/>
      </c>
      <c r="B4349" s="83" t="str">
        <f t="shared" si="476"/>
        <v/>
      </c>
      <c r="U4349" s="83" t="str">
        <f t="shared" si="471"/>
        <v/>
      </c>
      <c r="V4349" s="83" t="str">
        <f t="shared" si="472"/>
        <v/>
      </c>
      <c r="AA4349" s="60">
        <f t="shared" si="473"/>
        <v>0</v>
      </c>
      <c r="AB4349" s="49">
        <f t="shared" si="474"/>
        <v>0</v>
      </c>
      <c r="AC4349" s="60">
        <f t="shared" si="475"/>
        <v>0</v>
      </c>
    </row>
    <row r="4350" spans="1:29">
      <c r="A4350" s="83" t="str">
        <f t="shared" si="470"/>
        <v/>
      </c>
      <c r="B4350" s="83" t="str">
        <f t="shared" si="476"/>
        <v/>
      </c>
      <c r="U4350" s="83" t="str">
        <f t="shared" si="471"/>
        <v/>
      </c>
      <c r="V4350" s="83" t="str">
        <f t="shared" si="472"/>
        <v/>
      </c>
      <c r="AA4350" s="60">
        <f t="shared" si="473"/>
        <v>0</v>
      </c>
      <c r="AB4350" s="49">
        <f t="shared" si="474"/>
        <v>0</v>
      </c>
      <c r="AC4350" s="60">
        <f t="shared" si="475"/>
        <v>0</v>
      </c>
    </row>
    <row r="4351" spans="1:29">
      <c r="A4351" s="83" t="str">
        <f t="shared" si="470"/>
        <v/>
      </c>
      <c r="B4351" s="83" t="str">
        <f t="shared" si="476"/>
        <v/>
      </c>
      <c r="U4351" s="83" t="str">
        <f t="shared" si="471"/>
        <v/>
      </c>
      <c r="V4351" s="83" t="str">
        <f t="shared" si="472"/>
        <v/>
      </c>
      <c r="AA4351" s="60">
        <f t="shared" si="473"/>
        <v>0</v>
      </c>
      <c r="AB4351" s="49">
        <f t="shared" si="474"/>
        <v>0</v>
      </c>
      <c r="AC4351" s="60">
        <f t="shared" si="475"/>
        <v>0</v>
      </c>
    </row>
    <row r="4352" spans="1:29">
      <c r="A4352" s="83" t="str">
        <f t="shared" si="470"/>
        <v/>
      </c>
      <c r="B4352" s="83" t="str">
        <f t="shared" si="476"/>
        <v/>
      </c>
      <c r="U4352" s="83" t="str">
        <f t="shared" si="471"/>
        <v/>
      </c>
      <c r="V4352" s="83" t="str">
        <f t="shared" si="472"/>
        <v/>
      </c>
      <c r="AA4352" s="60">
        <f t="shared" si="473"/>
        <v>0</v>
      </c>
      <c r="AB4352" s="49">
        <f t="shared" si="474"/>
        <v>0</v>
      </c>
      <c r="AC4352" s="60">
        <f t="shared" si="475"/>
        <v>0</v>
      </c>
    </row>
    <row r="4353" spans="1:29">
      <c r="A4353" s="83" t="str">
        <f t="shared" si="470"/>
        <v/>
      </c>
      <c r="B4353" s="83" t="str">
        <f t="shared" si="476"/>
        <v/>
      </c>
      <c r="U4353" s="83" t="str">
        <f t="shared" si="471"/>
        <v/>
      </c>
      <c r="V4353" s="83" t="str">
        <f t="shared" si="472"/>
        <v/>
      </c>
      <c r="AA4353" s="60">
        <f t="shared" si="473"/>
        <v>0</v>
      </c>
      <c r="AB4353" s="49">
        <f t="shared" si="474"/>
        <v>0</v>
      </c>
      <c r="AC4353" s="60">
        <f t="shared" si="475"/>
        <v>0</v>
      </c>
    </row>
    <row r="4354" spans="1:29">
      <c r="A4354" s="83" t="str">
        <f t="shared" si="470"/>
        <v/>
      </c>
      <c r="B4354" s="83" t="str">
        <f t="shared" si="476"/>
        <v/>
      </c>
      <c r="U4354" s="83" t="str">
        <f t="shared" si="471"/>
        <v/>
      </c>
      <c r="V4354" s="83" t="str">
        <f t="shared" si="472"/>
        <v/>
      </c>
      <c r="AA4354" s="60">
        <f t="shared" si="473"/>
        <v>0</v>
      </c>
      <c r="AB4354" s="49">
        <f t="shared" si="474"/>
        <v>0</v>
      </c>
      <c r="AC4354" s="60">
        <f t="shared" si="475"/>
        <v>0</v>
      </c>
    </row>
    <row r="4355" spans="1:29">
      <c r="A4355" s="83" t="str">
        <f t="shared" ref="A4355:A4418" si="477">IF(G4355&amp;Q4355&lt;&gt;"",U4355&amp;Q4355,"")</f>
        <v/>
      </c>
      <c r="B4355" s="83" t="str">
        <f t="shared" si="476"/>
        <v/>
      </c>
      <c r="U4355" s="83" t="str">
        <f t="shared" ref="U4355:U4418" si="478">IF(G4355&lt;&gt;"",IF(StyleSpaceSplit,IFERROR(IF(FIND(" ",G4355)&gt;=1,MID(G4355,1,FIND(" ",G4355)-1),G4355),G4355),G4355),"")</f>
        <v/>
      </c>
      <c r="V4355" s="83" t="str">
        <f t="shared" ref="V4355:V4418" si="479">IF(A4355&lt;&gt;"",IFERROR(IF(FIND(" ",G4355)&gt;=1,MID(G4355,FIND(" ",G4355)+1,LEN(G4355)),""),G4355),"")</f>
        <v/>
      </c>
      <c r="AA4355" s="60">
        <f t="shared" ref="AA4355:AA4418" si="480">IFERROR(VALUE(MID($C4355,1,2)),0)</f>
        <v>0</v>
      </c>
      <c r="AB4355" s="49">
        <f t="shared" ref="AB4355:AB4418" si="481">IFERROR(VALUE(MID($C4355,4,3)),0)</f>
        <v>0</v>
      </c>
      <c r="AC4355" s="60">
        <f t="shared" ref="AC4355:AC4418" si="482">VALUE(RIGHT("00"&amp;AA4355,2)&amp;RIGHT("000"&amp;AB4355,3))</f>
        <v>0</v>
      </c>
    </row>
    <row r="4356" spans="1:29">
      <c r="A4356" s="83" t="str">
        <f t="shared" si="477"/>
        <v/>
      </c>
      <c r="B4356" s="83" t="str">
        <f t="shared" si="476"/>
        <v/>
      </c>
      <c r="U4356" s="83" t="str">
        <f t="shared" si="478"/>
        <v/>
      </c>
      <c r="V4356" s="83" t="str">
        <f t="shared" si="479"/>
        <v/>
      </c>
      <c r="AA4356" s="60">
        <f t="shared" si="480"/>
        <v>0</v>
      </c>
      <c r="AB4356" s="49">
        <f t="shared" si="481"/>
        <v>0</v>
      </c>
      <c r="AC4356" s="60">
        <f t="shared" si="482"/>
        <v>0</v>
      </c>
    </row>
    <row r="4357" spans="1:29">
      <c r="A4357" s="83" t="str">
        <f t="shared" si="477"/>
        <v/>
      </c>
      <c r="B4357" s="83" t="str">
        <f t="shared" si="476"/>
        <v/>
      </c>
      <c r="U4357" s="83" t="str">
        <f t="shared" si="478"/>
        <v/>
      </c>
      <c r="V4357" s="83" t="str">
        <f t="shared" si="479"/>
        <v/>
      </c>
      <c r="AA4357" s="60">
        <f t="shared" si="480"/>
        <v>0</v>
      </c>
      <c r="AB4357" s="49">
        <f t="shared" si="481"/>
        <v>0</v>
      </c>
      <c r="AC4357" s="60">
        <f t="shared" si="482"/>
        <v>0</v>
      </c>
    </row>
    <row r="4358" spans="1:29">
      <c r="A4358" s="83" t="str">
        <f t="shared" si="477"/>
        <v/>
      </c>
      <c r="B4358" s="83" t="str">
        <f t="shared" si="476"/>
        <v/>
      </c>
      <c r="U4358" s="83" t="str">
        <f t="shared" si="478"/>
        <v/>
      </c>
      <c r="V4358" s="83" t="str">
        <f t="shared" si="479"/>
        <v/>
      </c>
      <c r="AA4358" s="60">
        <f t="shared" si="480"/>
        <v>0</v>
      </c>
      <c r="AB4358" s="49">
        <f t="shared" si="481"/>
        <v>0</v>
      </c>
      <c r="AC4358" s="60">
        <f t="shared" si="482"/>
        <v>0</v>
      </c>
    </row>
    <row r="4359" spans="1:29">
      <c r="A4359" s="83" t="str">
        <f t="shared" si="477"/>
        <v/>
      </c>
      <c r="B4359" s="83" t="str">
        <f t="shared" si="476"/>
        <v/>
      </c>
      <c r="U4359" s="83" t="str">
        <f t="shared" si="478"/>
        <v/>
      </c>
      <c r="V4359" s="83" t="str">
        <f t="shared" si="479"/>
        <v/>
      </c>
      <c r="AA4359" s="60">
        <f t="shared" si="480"/>
        <v>0</v>
      </c>
      <c r="AB4359" s="49">
        <f t="shared" si="481"/>
        <v>0</v>
      </c>
      <c r="AC4359" s="60">
        <f t="shared" si="482"/>
        <v>0</v>
      </c>
    </row>
    <row r="4360" spans="1:29">
      <c r="A4360" s="83" t="str">
        <f t="shared" si="477"/>
        <v/>
      </c>
      <c r="B4360" s="83" t="str">
        <f t="shared" si="476"/>
        <v/>
      </c>
      <c r="U4360" s="83" t="str">
        <f t="shared" si="478"/>
        <v/>
      </c>
      <c r="V4360" s="83" t="str">
        <f t="shared" si="479"/>
        <v/>
      </c>
      <c r="AA4360" s="60">
        <f t="shared" si="480"/>
        <v>0</v>
      </c>
      <c r="AB4360" s="49">
        <f t="shared" si="481"/>
        <v>0</v>
      </c>
      <c r="AC4360" s="60">
        <f t="shared" si="482"/>
        <v>0</v>
      </c>
    </row>
    <row r="4361" spans="1:29">
      <c r="A4361" s="83" t="str">
        <f t="shared" si="477"/>
        <v/>
      </c>
      <c r="B4361" s="83" t="str">
        <f t="shared" si="476"/>
        <v/>
      </c>
      <c r="U4361" s="83" t="str">
        <f t="shared" si="478"/>
        <v/>
      </c>
      <c r="V4361" s="83" t="str">
        <f t="shared" si="479"/>
        <v/>
      </c>
      <c r="AA4361" s="60">
        <f t="shared" si="480"/>
        <v>0</v>
      </c>
      <c r="AB4361" s="49">
        <f t="shared" si="481"/>
        <v>0</v>
      </c>
      <c r="AC4361" s="60">
        <f t="shared" si="482"/>
        <v>0</v>
      </c>
    </row>
    <row r="4362" spans="1:29">
      <c r="A4362" s="83" t="str">
        <f t="shared" si="477"/>
        <v/>
      </c>
      <c r="B4362" s="83" t="str">
        <f t="shared" si="476"/>
        <v/>
      </c>
      <c r="U4362" s="83" t="str">
        <f t="shared" si="478"/>
        <v/>
      </c>
      <c r="V4362" s="83" t="str">
        <f t="shared" si="479"/>
        <v/>
      </c>
      <c r="AA4362" s="60">
        <f t="shared" si="480"/>
        <v>0</v>
      </c>
      <c r="AB4362" s="49">
        <f t="shared" si="481"/>
        <v>0</v>
      </c>
      <c r="AC4362" s="60">
        <f t="shared" si="482"/>
        <v>0</v>
      </c>
    </row>
    <row r="4363" spans="1:29">
      <c r="A4363" s="83" t="str">
        <f t="shared" si="477"/>
        <v/>
      </c>
      <c r="B4363" s="83" t="str">
        <f t="shared" si="476"/>
        <v/>
      </c>
      <c r="U4363" s="83" t="str">
        <f t="shared" si="478"/>
        <v/>
      </c>
      <c r="V4363" s="83" t="str">
        <f t="shared" si="479"/>
        <v/>
      </c>
      <c r="AA4363" s="60">
        <f t="shared" si="480"/>
        <v>0</v>
      </c>
      <c r="AB4363" s="49">
        <f t="shared" si="481"/>
        <v>0</v>
      </c>
      <c r="AC4363" s="60">
        <f t="shared" si="482"/>
        <v>0</v>
      </c>
    </row>
    <row r="4364" spans="1:29">
      <c r="A4364" s="83" t="str">
        <f t="shared" si="477"/>
        <v/>
      </c>
      <c r="B4364" s="83" t="str">
        <f t="shared" si="476"/>
        <v/>
      </c>
      <c r="U4364" s="83" t="str">
        <f t="shared" si="478"/>
        <v/>
      </c>
      <c r="V4364" s="83" t="str">
        <f t="shared" si="479"/>
        <v/>
      </c>
      <c r="AA4364" s="60">
        <f t="shared" si="480"/>
        <v>0</v>
      </c>
      <c r="AB4364" s="49">
        <f t="shared" si="481"/>
        <v>0</v>
      </c>
      <c r="AC4364" s="60">
        <f t="shared" si="482"/>
        <v>0</v>
      </c>
    </row>
    <row r="4365" spans="1:29">
      <c r="A4365" s="83" t="str">
        <f t="shared" si="477"/>
        <v/>
      </c>
      <c r="B4365" s="83" t="str">
        <f t="shared" si="476"/>
        <v/>
      </c>
      <c r="U4365" s="83" t="str">
        <f t="shared" si="478"/>
        <v/>
      </c>
      <c r="V4365" s="83" t="str">
        <f t="shared" si="479"/>
        <v/>
      </c>
      <c r="AA4365" s="60">
        <f t="shared" si="480"/>
        <v>0</v>
      </c>
      <c r="AB4365" s="49">
        <f t="shared" si="481"/>
        <v>0</v>
      </c>
      <c r="AC4365" s="60">
        <f t="shared" si="482"/>
        <v>0</v>
      </c>
    </row>
    <row r="4366" spans="1:29">
      <c r="A4366" s="83" t="str">
        <f t="shared" si="477"/>
        <v/>
      </c>
      <c r="B4366" s="83" t="str">
        <f t="shared" si="476"/>
        <v/>
      </c>
      <c r="U4366" s="83" t="str">
        <f t="shared" si="478"/>
        <v/>
      </c>
      <c r="V4366" s="83" t="str">
        <f t="shared" si="479"/>
        <v/>
      </c>
      <c r="AA4366" s="60">
        <f t="shared" si="480"/>
        <v>0</v>
      </c>
      <c r="AB4366" s="49">
        <f t="shared" si="481"/>
        <v>0</v>
      </c>
      <c r="AC4366" s="60">
        <f t="shared" si="482"/>
        <v>0</v>
      </c>
    </row>
    <row r="4367" spans="1:29">
      <c r="A4367" s="83" t="str">
        <f t="shared" si="477"/>
        <v/>
      </c>
      <c r="B4367" s="83" t="str">
        <f t="shared" si="476"/>
        <v/>
      </c>
      <c r="U4367" s="83" t="str">
        <f t="shared" si="478"/>
        <v/>
      </c>
      <c r="V4367" s="83" t="str">
        <f t="shared" si="479"/>
        <v/>
      </c>
      <c r="AA4367" s="60">
        <f t="shared" si="480"/>
        <v>0</v>
      </c>
      <c r="AB4367" s="49">
        <f t="shared" si="481"/>
        <v>0</v>
      </c>
      <c r="AC4367" s="60">
        <f t="shared" si="482"/>
        <v>0</v>
      </c>
    </row>
    <row r="4368" spans="1:29">
      <c r="A4368" s="83" t="str">
        <f t="shared" si="477"/>
        <v/>
      </c>
      <c r="B4368" s="83" t="str">
        <f t="shared" si="476"/>
        <v/>
      </c>
      <c r="U4368" s="83" t="str">
        <f t="shared" si="478"/>
        <v/>
      </c>
      <c r="V4368" s="83" t="str">
        <f t="shared" si="479"/>
        <v/>
      </c>
      <c r="AA4368" s="60">
        <f t="shared" si="480"/>
        <v>0</v>
      </c>
      <c r="AB4368" s="49">
        <f t="shared" si="481"/>
        <v>0</v>
      </c>
      <c r="AC4368" s="60">
        <f t="shared" si="482"/>
        <v>0</v>
      </c>
    </row>
    <row r="4369" spans="1:29">
      <c r="A4369" s="83" t="str">
        <f t="shared" si="477"/>
        <v/>
      </c>
      <c r="B4369" s="83" t="str">
        <f t="shared" si="476"/>
        <v/>
      </c>
      <c r="U4369" s="83" t="str">
        <f t="shared" si="478"/>
        <v/>
      </c>
      <c r="V4369" s="83" t="str">
        <f t="shared" si="479"/>
        <v/>
      </c>
      <c r="AA4369" s="60">
        <f t="shared" si="480"/>
        <v>0</v>
      </c>
      <c r="AB4369" s="49">
        <f t="shared" si="481"/>
        <v>0</v>
      </c>
      <c r="AC4369" s="60">
        <f t="shared" si="482"/>
        <v>0</v>
      </c>
    </row>
    <row r="4370" spans="1:29">
      <c r="A4370" s="83" t="str">
        <f t="shared" si="477"/>
        <v/>
      </c>
      <c r="B4370" s="83" t="str">
        <f t="shared" si="476"/>
        <v/>
      </c>
      <c r="U4370" s="83" t="str">
        <f t="shared" si="478"/>
        <v/>
      </c>
      <c r="V4370" s="83" t="str">
        <f t="shared" si="479"/>
        <v/>
      </c>
      <c r="AA4370" s="60">
        <f t="shared" si="480"/>
        <v>0</v>
      </c>
      <c r="AB4370" s="49">
        <f t="shared" si="481"/>
        <v>0</v>
      </c>
      <c r="AC4370" s="60">
        <f t="shared" si="482"/>
        <v>0</v>
      </c>
    </row>
    <row r="4371" spans="1:29">
      <c r="A4371" s="83" t="str">
        <f t="shared" si="477"/>
        <v/>
      </c>
      <c r="B4371" s="83" t="str">
        <f t="shared" si="476"/>
        <v/>
      </c>
      <c r="U4371" s="83" t="str">
        <f t="shared" si="478"/>
        <v/>
      </c>
      <c r="V4371" s="83" t="str">
        <f t="shared" si="479"/>
        <v/>
      </c>
      <c r="AA4371" s="60">
        <f t="shared" si="480"/>
        <v>0</v>
      </c>
      <c r="AB4371" s="49">
        <f t="shared" si="481"/>
        <v>0</v>
      </c>
      <c r="AC4371" s="60">
        <f t="shared" si="482"/>
        <v>0</v>
      </c>
    </row>
    <row r="4372" spans="1:29">
      <c r="A4372" s="83" t="str">
        <f t="shared" si="477"/>
        <v/>
      </c>
      <c r="B4372" s="83" t="str">
        <f t="shared" si="476"/>
        <v/>
      </c>
      <c r="U4372" s="83" t="str">
        <f t="shared" si="478"/>
        <v/>
      </c>
      <c r="V4372" s="83" t="str">
        <f t="shared" si="479"/>
        <v/>
      </c>
      <c r="AA4372" s="60">
        <f t="shared" si="480"/>
        <v>0</v>
      </c>
      <c r="AB4372" s="49">
        <f t="shared" si="481"/>
        <v>0</v>
      </c>
      <c r="AC4372" s="60">
        <f t="shared" si="482"/>
        <v>0</v>
      </c>
    </row>
    <row r="4373" spans="1:29">
      <c r="A4373" s="83" t="str">
        <f t="shared" si="477"/>
        <v/>
      </c>
      <c r="B4373" s="83" t="str">
        <f t="shared" si="476"/>
        <v/>
      </c>
      <c r="U4373" s="83" t="str">
        <f t="shared" si="478"/>
        <v/>
      </c>
      <c r="V4373" s="83" t="str">
        <f t="shared" si="479"/>
        <v/>
      </c>
      <c r="AA4373" s="60">
        <f t="shared" si="480"/>
        <v>0</v>
      </c>
      <c r="AB4373" s="49">
        <f t="shared" si="481"/>
        <v>0</v>
      </c>
      <c r="AC4373" s="60">
        <f t="shared" si="482"/>
        <v>0</v>
      </c>
    </row>
    <row r="4374" spans="1:29">
      <c r="A4374" s="83" t="str">
        <f t="shared" si="477"/>
        <v/>
      </c>
      <c r="B4374" s="83" t="str">
        <f t="shared" si="476"/>
        <v/>
      </c>
      <c r="U4374" s="83" t="str">
        <f t="shared" si="478"/>
        <v/>
      </c>
      <c r="V4374" s="83" t="str">
        <f t="shared" si="479"/>
        <v/>
      </c>
      <c r="AA4374" s="60">
        <f t="shared" si="480"/>
        <v>0</v>
      </c>
      <c r="AB4374" s="49">
        <f t="shared" si="481"/>
        <v>0</v>
      </c>
      <c r="AC4374" s="60">
        <f t="shared" si="482"/>
        <v>0</v>
      </c>
    </row>
    <row r="4375" spans="1:29">
      <c r="A4375" s="83" t="str">
        <f t="shared" si="477"/>
        <v/>
      </c>
      <c r="B4375" s="83" t="str">
        <f t="shared" si="476"/>
        <v/>
      </c>
      <c r="U4375" s="83" t="str">
        <f t="shared" si="478"/>
        <v/>
      </c>
      <c r="V4375" s="83" t="str">
        <f t="shared" si="479"/>
        <v/>
      </c>
      <c r="AA4375" s="60">
        <f t="shared" si="480"/>
        <v>0</v>
      </c>
      <c r="AB4375" s="49">
        <f t="shared" si="481"/>
        <v>0</v>
      </c>
      <c r="AC4375" s="60">
        <f t="shared" si="482"/>
        <v>0</v>
      </c>
    </row>
    <row r="4376" spans="1:29">
      <c r="A4376" s="83" t="str">
        <f t="shared" si="477"/>
        <v/>
      </c>
      <c r="B4376" s="83" t="str">
        <f t="shared" si="476"/>
        <v/>
      </c>
      <c r="U4376" s="83" t="str">
        <f t="shared" si="478"/>
        <v/>
      </c>
      <c r="V4376" s="83" t="str">
        <f t="shared" si="479"/>
        <v/>
      </c>
      <c r="AA4376" s="60">
        <f t="shared" si="480"/>
        <v>0</v>
      </c>
      <c r="AB4376" s="49">
        <f t="shared" si="481"/>
        <v>0</v>
      </c>
      <c r="AC4376" s="60">
        <f t="shared" si="482"/>
        <v>0</v>
      </c>
    </row>
    <row r="4377" spans="1:29">
      <c r="A4377" s="83" t="str">
        <f t="shared" si="477"/>
        <v/>
      </c>
      <c r="B4377" s="83" t="str">
        <f t="shared" si="476"/>
        <v/>
      </c>
      <c r="U4377" s="83" t="str">
        <f t="shared" si="478"/>
        <v/>
      </c>
      <c r="V4377" s="83" t="str">
        <f t="shared" si="479"/>
        <v/>
      </c>
      <c r="AA4377" s="60">
        <f t="shared" si="480"/>
        <v>0</v>
      </c>
      <c r="AB4377" s="49">
        <f t="shared" si="481"/>
        <v>0</v>
      </c>
      <c r="AC4377" s="60">
        <f t="shared" si="482"/>
        <v>0</v>
      </c>
    </row>
    <row r="4378" spans="1:29">
      <c r="A4378" s="83" t="str">
        <f t="shared" si="477"/>
        <v/>
      </c>
      <c r="B4378" s="83" t="str">
        <f t="shared" si="476"/>
        <v/>
      </c>
      <c r="U4378" s="83" t="str">
        <f t="shared" si="478"/>
        <v/>
      </c>
      <c r="V4378" s="83" t="str">
        <f t="shared" si="479"/>
        <v/>
      </c>
      <c r="AA4378" s="60">
        <f t="shared" si="480"/>
        <v>0</v>
      </c>
      <c r="AB4378" s="49">
        <f t="shared" si="481"/>
        <v>0</v>
      </c>
      <c r="AC4378" s="60">
        <f t="shared" si="482"/>
        <v>0</v>
      </c>
    </row>
    <row r="4379" spans="1:29">
      <c r="A4379" s="83" t="str">
        <f t="shared" si="477"/>
        <v/>
      </c>
      <c r="B4379" s="83" t="str">
        <f t="shared" si="476"/>
        <v/>
      </c>
      <c r="U4379" s="83" t="str">
        <f t="shared" si="478"/>
        <v/>
      </c>
      <c r="V4379" s="83" t="str">
        <f t="shared" si="479"/>
        <v/>
      </c>
      <c r="AA4379" s="60">
        <f t="shared" si="480"/>
        <v>0</v>
      </c>
      <c r="AB4379" s="49">
        <f t="shared" si="481"/>
        <v>0</v>
      </c>
      <c r="AC4379" s="60">
        <f t="shared" si="482"/>
        <v>0</v>
      </c>
    </row>
    <row r="4380" spans="1:29">
      <c r="A4380" s="83" t="str">
        <f t="shared" si="477"/>
        <v/>
      </c>
      <c r="B4380" s="83" t="str">
        <f t="shared" si="476"/>
        <v/>
      </c>
      <c r="U4380" s="83" t="str">
        <f t="shared" si="478"/>
        <v/>
      </c>
      <c r="V4380" s="83" t="str">
        <f t="shared" si="479"/>
        <v/>
      </c>
      <c r="AA4380" s="60">
        <f t="shared" si="480"/>
        <v>0</v>
      </c>
      <c r="AB4380" s="49">
        <f t="shared" si="481"/>
        <v>0</v>
      </c>
      <c r="AC4380" s="60">
        <f t="shared" si="482"/>
        <v>0</v>
      </c>
    </row>
    <row r="4381" spans="1:29">
      <c r="A4381" s="83" t="str">
        <f t="shared" si="477"/>
        <v/>
      </c>
      <c r="B4381" s="83" t="str">
        <f t="shared" si="476"/>
        <v/>
      </c>
      <c r="U4381" s="83" t="str">
        <f t="shared" si="478"/>
        <v/>
      </c>
      <c r="V4381" s="83" t="str">
        <f t="shared" si="479"/>
        <v/>
      </c>
      <c r="AA4381" s="60">
        <f t="shared" si="480"/>
        <v>0</v>
      </c>
      <c r="AB4381" s="49">
        <f t="shared" si="481"/>
        <v>0</v>
      </c>
      <c r="AC4381" s="60">
        <f t="shared" si="482"/>
        <v>0</v>
      </c>
    </row>
    <row r="4382" spans="1:29">
      <c r="A4382" s="83" t="str">
        <f t="shared" si="477"/>
        <v/>
      </c>
      <c r="B4382" s="83" t="str">
        <f t="shared" si="476"/>
        <v/>
      </c>
      <c r="U4382" s="83" t="str">
        <f t="shared" si="478"/>
        <v/>
      </c>
      <c r="V4382" s="83" t="str">
        <f t="shared" si="479"/>
        <v/>
      </c>
      <c r="AA4382" s="60">
        <f t="shared" si="480"/>
        <v>0</v>
      </c>
      <c r="AB4382" s="49">
        <f t="shared" si="481"/>
        <v>0</v>
      </c>
      <c r="AC4382" s="60">
        <f t="shared" si="482"/>
        <v>0</v>
      </c>
    </row>
    <row r="4383" spans="1:29">
      <c r="A4383" s="83" t="str">
        <f t="shared" si="477"/>
        <v/>
      </c>
      <c r="B4383" s="83" t="str">
        <f t="shared" si="476"/>
        <v/>
      </c>
      <c r="U4383" s="83" t="str">
        <f t="shared" si="478"/>
        <v/>
      </c>
      <c r="V4383" s="83" t="str">
        <f t="shared" si="479"/>
        <v/>
      </c>
      <c r="AA4383" s="60">
        <f t="shared" si="480"/>
        <v>0</v>
      </c>
      <c r="AB4383" s="49">
        <f t="shared" si="481"/>
        <v>0</v>
      </c>
      <c r="AC4383" s="60">
        <f t="shared" si="482"/>
        <v>0</v>
      </c>
    </row>
    <row r="4384" spans="1:29">
      <c r="A4384" s="83" t="str">
        <f t="shared" si="477"/>
        <v/>
      </c>
      <c r="B4384" s="83" t="str">
        <f t="shared" si="476"/>
        <v/>
      </c>
      <c r="U4384" s="83" t="str">
        <f t="shared" si="478"/>
        <v/>
      </c>
      <c r="V4384" s="83" t="str">
        <f t="shared" si="479"/>
        <v/>
      </c>
      <c r="AA4384" s="60">
        <f t="shared" si="480"/>
        <v>0</v>
      </c>
      <c r="AB4384" s="49">
        <f t="shared" si="481"/>
        <v>0</v>
      </c>
      <c r="AC4384" s="60">
        <f t="shared" si="482"/>
        <v>0</v>
      </c>
    </row>
    <row r="4385" spans="1:29">
      <c r="A4385" s="83" t="str">
        <f t="shared" si="477"/>
        <v/>
      </c>
      <c r="B4385" s="83" t="str">
        <f t="shared" ref="B4385:B4448" si="483">IF(C4385&lt;&gt;"",LEFT(C4385,9),"")</f>
        <v/>
      </c>
      <c r="U4385" s="83" t="str">
        <f t="shared" si="478"/>
        <v/>
      </c>
      <c r="V4385" s="83" t="str">
        <f t="shared" si="479"/>
        <v/>
      </c>
      <c r="AA4385" s="60">
        <f t="shared" si="480"/>
        <v>0</v>
      </c>
      <c r="AB4385" s="49">
        <f t="shared" si="481"/>
        <v>0</v>
      </c>
      <c r="AC4385" s="60">
        <f t="shared" si="482"/>
        <v>0</v>
      </c>
    </row>
    <row r="4386" spans="1:29">
      <c r="A4386" s="83" t="str">
        <f t="shared" si="477"/>
        <v/>
      </c>
      <c r="B4386" s="83" t="str">
        <f t="shared" si="483"/>
        <v/>
      </c>
      <c r="U4386" s="83" t="str">
        <f t="shared" si="478"/>
        <v/>
      </c>
      <c r="V4386" s="83" t="str">
        <f t="shared" si="479"/>
        <v/>
      </c>
      <c r="AA4386" s="60">
        <f t="shared" si="480"/>
        <v>0</v>
      </c>
      <c r="AB4386" s="49">
        <f t="shared" si="481"/>
        <v>0</v>
      </c>
      <c r="AC4386" s="60">
        <f t="shared" si="482"/>
        <v>0</v>
      </c>
    </row>
    <row r="4387" spans="1:29">
      <c r="A4387" s="83" t="str">
        <f t="shared" si="477"/>
        <v/>
      </c>
      <c r="B4387" s="83" t="str">
        <f t="shared" si="483"/>
        <v/>
      </c>
      <c r="U4387" s="83" t="str">
        <f t="shared" si="478"/>
        <v/>
      </c>
      <c r="V4387" s="83" t="str">
        <f t="shared" si="479"/>
        <v/>
      </c>
      <c r="AA4387" s="60">
        <f t="shared" si="480"/>
        <v>0</v>
      </c>
      <c r="AB4387" s="49">
        <f t="shared" si="481"/>
        <v>0</v>
      </c>
      <c r="AC4387" s="60">
        <f t="shared" si="482"/>
        <v>0</v>
      </c>
    </row>
    <row r="4388" spans="1:29">
      <c r="A4388" s="83" t="str">
        <f t="shared" si="477"/>
        <v/>
      </c>
      <c r="B4388" s="83" t="str">
        <f t="shared" si="483"/>
        <v/>
      </c>
      <c r="U4388" s="83" t="str">
        <f t="shared" si="478"/>
        <v/>
      </c>
      <c r="V4388" s="83" t="str">
        <f t="shared" si="479"/>
        <v/>
      </c>
      <c r="AA4388" s="60">
        <f t="shared" si="480"/>
        <v>0</v>
      </c>
      <c r="AB4388" s="49">
        <f t="shared" si="481"/>
        <v>0</v>
      </c>
      <c r="AC4388" s="60">
        <f t="shared" si="482"/>
        <v>0</v>
      </c>
    </row>
    <row r="4389" spans="1:29">
      <c r="A4389" s="83" t="str">
        <f t="shared" si="477"/>
        <v/>
      </c>
      <c r="B4389" s="83" t="str">
        <f t="shared" si="483"/>
        <v/>
      </c>
      <c r="U4389" s="83" t="str">
        <f t="shared" si="478"/>
        <v/>
      </c>
      <c r="V4389" s="83" t="str">
        <f t="shared" si="479"/>
        <v/>
      </c>
      <c r="AA4389" s="60">
        <f t="shared" si="480"/>
        <v>0</v>
      </c>
      <c r="AB4389" s="49">
        <f t="shared" si="481"/>
        <v>0</v>
      </c>
      <c r="AC4389" s="60">
        <f t="shared" si="482"/>
        <v>0</v>
      </c>
    </row>
    <row r="4390" spans="1:29">
      <c r="A4390" s="83" t="str">
        <f t="shared" si="477"/>
        <v/>
      </c>
      <c r="B4390" s="83" t="str">
        <f t="shared" si="483"/>
        <v/>
      </c>
      <c r="U4390" s="83" t="str">
        <f t="shared" si="478"/>
        <v/>
      </c>
      <c r="V4390" s="83" t="str">
        <f t="shared" si="479"/>
        <v/>
      </c>
      <c r="AA4390" s="60">
        <f t="shared" si="480"/>
        <v>0</v>
      </c>
      <c r="AB4390" s="49">
        <f t="shared" si="481"/>
        <v>0</v>
      </c>
      <c r="AC4390" s="60">
        <f t="shared" si="482"/>
        <v>0</v>
      </c>
    </row>
    <row r="4391" spans="1:29">
      <c r="A4391" s="83" t="str">
        <f t="shared" si="477"/>
        <v/>
      </c>
      <c r="B4391" s="83" t="str">
        <f t="shared" si="483"/>
        <v/>
      </c>
      <c r="U4391" s="83" t="str">
        <f t="shared" si="478"/>
        <v/>
      </c>
      <c r="V4391" s="83" t="str">
        <f t="shared" si="479"/>
        <v/>
      </c>
      <c r="AA4391" s="60">
        <f t="shared" si="480"/>
        <v>0</v>
      </c>
      <c r="AB4391" s="49">
        <f t="shared" si="481"/>
        <v>0</v>
      </c>
      <c r="AC4391" s="60">
        <f t="shared" si="482"/>
        <v>0</v>
      </c>
    </row>
    <row r="4392" spans="1:29">
      <c r="A4392" s="83" t="str">
        <f t="shared" si="477"/>
        <v/>
      </c>
      <c r="B4392" s="83" t="str">
        <f t="shared" si="483"/>
        <v/>
      </c>
      <c r="U4392" s="83" t="str">
        <f t="shared" si="478"/>
        <v/>
      </c>
      <c r="V4392" s="83" t="str">
        <f t="shared" si="479"/>
        <v/>
      </c>
      <c r="AA4392" s="60">
        <f t="shared" si="480"/>
        <v>0</v>
      </c>
      <c r="AB4392" s="49">
        <f t="shared" si="481"/>
        <v>0</v>
      </c>
      <c r="AC4392" s="60">
        <f t="shared" si="482"/>
        <v>0</v>
      </c>
    </row>
    <row r="4393" spans="1:29">
      <c r="A4393" s="83" t="str">
        <f t="shared" si="477"/>
        <v/>
      </c>
      <c r="B4393" s="83" t="str">
        <f t="shared" si="483"/>
        <v/>
      </c>
      <c r="U4393" s="83" t="str">
        <f t="shared" si="478"/>
        <v/>
      </c>
      <c r="V4393" s="83" t="str">
        <f t="shared" si="479"/>
        <v/>
      </c>
      <c r="AA4393" s="60">
        <f t="shared" si="480"/>
        <v>0</v>
      </c>
      <c r="AB4393" s="49">
        <f t="shared" si="481"/>
        <v>0</v>
      </c>
      <c r="AC4393" s="60">
        <f t="shared" si="482"/>
        <v>0</v>
      </c>
    </row>
    <row r="4394" spans="1:29">
      <c r="A4394" s="83" t="str">
        <f t="shared" si="477"/>
        <v/>
      </c>
      <c r="B4394" s="83" t="str">
        <f t="shared" si="483"/>
        <v/>
      </c>
      <c r="U4394" s="83" t="str">
        <f t="shared" si="478"/>
        <v/>
      </c>
      <c r="V4394" s="83" t="str">
        <f t="shared" si="479"/>
        <v/>
      </c>
      <c r="AA4394" s="60">
        <f t="shared" si="480"/>
        <v>0</v>
      </c>
      <c r="AB4394" s="49">
        <f t="shared" si="481"/>
        <v>0</v>
      </c>
      <c r="AC4394" s="60">
        <f t="shared" si="482"/>
        <v>0</v>
      </c>
    </row>
    <row r="4395" spans="1:29">
      <c r="A4395" s="83" t="str">
        <f t="shared" si="477"/>
        <v/>
      </c>
      <c r="B4395" s="83" t="str">
        <f t="shared" si="483"/>
        <v/>
      </c>
      <c r="U4395" s="83" t="str">
        <f t="shared" si="478"/>
        <v/>
      </c>
      <c r="V4395" s="83" t="str">
        <f t="shared" si="479"/>
        <v/>
      </c>
      <c r="AA4395" s="60">
        <f t="shared" si="480"/>
        <v>0</v>
      </c>
      <c r="AB4395" s="49">
        <f t="shared" si="481"/>
        <v>0</v>
      </c>
      <c r="AC4395" s="60">
        <f t="shared" si="482"/>
        <v>0</v>
      </c>
    </row>
    <row r="4396" spans="1:29">
      <c r="A4396" s="83" t="str">
        <f t="shared" si="477"/>
        <v/>
      </c>
      <c r="B4396" s="83" t="str">
        <f t="shared" si="483"/>
        <v/>
      </c>
      <c r="U4396" s="83" t="str">
        <f t="shared" si="478"/>
        <v/>
      </c>
      <c r="V4396" s="83" t="str">
        <f t="shared" si="479"/>
        <v/>
      </c>
      <c r="AA4396" s="60">
        <f t="shared" si="480"/>
        <v>0</v>
      </c>
      <c r="AB4396" s="49">
        <f t="shared" si="481"/>
        <v>0</v>
      </c>
      <c r="AC4396" s="60">
        <f t="shared" si="482"/>
        <v>0</v>
      </c>
    </row>
    <row r="4397" spans="1:29">
      <c r="A4397" s="83" t="str">
        <f t="shared" si="477"/>
        <v/>
      </c>
      <c r="B4397" s="83" t="str">
        <f t="shared" si="483"/>
        <v/>
      </c>
      <c r="U4397" s="83" t="str">
        <f t="shared" si="478"/>
        <v/>
      </c>
      <c r="V4397" s="83" t="str">
        <f t="shared" si="479"/>
        <v/>
      </c>
      <c r="AA4397" s="60">
        <f t="shared" si="480"/>
        <v>0</v>
      </c>
      <c r="AB4397" s="49">
        <f t="shared" si="481"/>
        <v>0</v>
      </c>
      <c r="AC4397" s="60">
        <f t="shared" si="482"/>
        <v>0</v>
      </c>
    </row>
    <row r="4398" spans="1:29">
      <c r="A4398" s="83" t="str">
        <f t="shared" si="477"/>
        <v/>
      </c>
      <c r="B4398" s="83" t="str">
        <f t="shared" si="483"/>
        <v/>
      </c>
      <c r="U4398" s="83" t="str">
        <f t="shared" si="478"/>
        <v/>
      </c>
      <c r="V4398" s="83" t="str">
        <f t="shared" si="479"/>
        <v/>
      </c>
      <c r="AA4398" s="60">
        <f t="shared" si="480"/>
        <v>0</v>
      </c>
      <c r="AB4398" s="49">
        <f t="shared" si="481"/>
        <v>0</v>
      </c>
      <c r="AC4398" s="60">
        <f t="shared" si="482"/>
        <v>0</v>
      </c>
    </row>
    <row r="4399" spans="1:29">
      <c r="A4399" s="83" t="str">
        <f t="shared" si="477"/>
        <v/>
      </c>
      <c r="B4399" s="83" t="str">
        <f t="shared" si="483"/>
        <v/>
      </c>
      <c r="U4399" s="83" t="str">
        <f t="shared" si="478"/>
        <v/>
      </c>
      <c r="V4399" s="83" t="str">
        <f t="shared" si="479"/>
        <v/>
      </c>
      <c r="AA4399" s="60">
        <f t="shared" si="480"/>
        <v>0</v>
      </c>
      <c r="AB4399" s="49">
        <f t="shared" si="481"/>
        <v>0</v>
      </c>
      <c r="AC4399" s="60">
        <f t="shared" si="482"/>
        <v>0</v>
      </c>
    </row>
    <row r="4400" spans="1:29">
      <c r="A4400" s="83" t="str">
        <f t="shared" si="477"/>
        <v/>
      </c>
      <c r="B4400" s="83" t="str">
        <f t="shared" si="483"/>
        <v/>
      </c>
      <c r="U4400" s="83" t="str">
        <f t="shared" si="478"/>
        <v/>
      </c>
      <c r="V4400" s="83" t="str">
        <f t="shared" si="479"/>
        <v/>
      </c>
      <c r="AA4400" s="60">
        <f t="shared" si="480"/>
        <v>0</v>
      </c>
      <c r="AB4400" s="49">
        <f t="shared" si="481"/>
        <v>0</v>
      </c>
      <c r="AC4400" s="60">
        <f t="shared" si="482"/>
        <v>0</v>
      </c>
    </row>
    <row r="4401" spans="1:29">
      <c r="A4401" s="83" t="str">
        <f t="shared" si="477"/>
        <v/>
      </c>
      <c r="B4401" s="83" t="str">
        <f t="shared" si="483"/>
        <v/>
      </c>
      <c r="U4401" s="83" t="str">
        <f t="shared" si="478"/>
        <v/>
      </c>
      <c r="V4401" s="83" t="str">
        <f t="shared" si="479"/>
        <v/>
      </c>
      <c r="AA4401" s="60">
        <f t="shared" si="480"/>
        <v>0</v>
      </c>
      <c r="AB4401" s="49">
        <f t="shared" si="481"/>
        <v>0</v>
      </c>
      <c r="AC4401" s="60">
        <f t="shared" si="482"/>
        <v>0</v>
      </c>
    </row>
    <row r="4402" spans="1:29">
      <c r="A4402" s="83" t="str">
        <f t="shared" si="477"/>
        <v/>
      </c>
      <c r="B4402" s="83" t="str">
        <f t="shared" si="483"/>
        <v/>
      </c>
      <c r="U4402" s="83" t="str">
        <f t="shared" si="478"/>
        <v/>
      </c>
      <c r="V4402" s="83" t="str">
        <f t="shared" si="479"/>
        <v/>
      </c>
      <c r="AA4402" s="60">
        <f t="shared" si="480"/>
        <v>0</v>
      </c>
      <c r="AB4402" s="49">
        <f t="shared" si="481"/>
        <v>0</v>
      </c>
      <c r="AC4402" s="60">
        <f t="shared" si="482"/>
        <v>0</v>
      </c>
    </row>
    <row r="4403" spans="1:29">
      <c r="A4403" s="83" t="str">
        <f t="shared" si="477"/>
        <v/>
      </c>
      <c r="B4403" s="83" t="str">
        <f t="shared" si="483"/>
        <v/>
      </c>
      <c r="U4403" s="83" t="str">
        <f t="shared" si="478"/>
        <v/>
      </c>
      <c r="V4403" s="83" t="str">
        <f t="shared" si="479"/>
        <v/>
      </c>
      <c r="AA4403" s="60">
        <f t="shared" si="480"/>
        <v>0</v>
      </c>
      <c r="AB4403" s="49">
        <f t="shared" si="481"/>
        <v>0</v>
      </c>
      <c r="AC4403" s="60">
        <f t="shared" si="482"/>
        <v>0</v>
      </c>
    </row>
    <row r="4404" spans="1:29">
      <c r="A4404" s="83" t="str">
        <f t="shared" si="477"/>
        <v/>
      </c>
      <c r="B4404" s="83" t="str">
        <f t="shared" si="483"/>
        <v/>
      </c>
      <c r="U4404" s="83" t="str">
        <f t="shared" si="478"/>
        <v/>
      </c>
      <c r="V4404" s="83" t="str">
        <f t="shared" si="479"/>
        <v/>
      </c>
      <c r="AA4404" s="60">
        <f t="shared" si="480"/>
        <v>0</v>
      </c>
      <c r="AB4404" s="49">
        <f t="shared" si="481"/>
        <v>0</v>
      </c>
      <c r="AC4404" s="60">
        <f t="shared" si="482"/>
        <v>0</v>
      </c>
    </row>
    <row r="4405" spans="1:29">
      <c r="A4405" s="83" t="str">
        <f t="shared" si="477"/>
        <v/>
      </c>
      <c r="B4405" s="83" t="str">
        <f t="shared" si="483"/>
        <v/>
      </c>
      <c r="U4405" s="83" t="str">
        <f t="shared" si="478"/>
        <v/>
      </c>
      <c r="V4405" s="83" t="str">
        <f t="shared" si="479"/>
        <v/>
      </c>
      <c r="AA4405" s="60">
        <f t="shared" si="480"/>
        <v>0</v>
      </c>
      <c r="AB4405" s="49">
        <f t="shared" si="481"/>
        <v>0</v>
      </c>
      <c r="AC4405" s="60">
        <f t="shared" si="482"/>
        <v>0</v>
      </c>
    </row>
    <row r="4406" spans="1:29">
      <c r="A4406" s="83" t="str">
        <f t="shared" si="477"/>
        <v/>
      </c>
      <c r="B4406" s="83" t="str">
        <f t="shared" si="483"/>
        <v/>
      </c>
      <c r="U4406" s="83" t="str">
        <f t="shared" si="478"/>
        <v/>
      </c>
      <c r="V4406" s="83" t="str">
        <f t="shared" si="479"/>
        <v/>
      </c>
      <c r="AA4406" s="60">
        <f t="shared" si="480"/>
        <v>0</v>
      </c>
      <c r="AB4406" s="49">
        <f t="shared" si="481"/>
        <v>0</v>
      </c>
      <c r="AC4406" s="60">
        <f t="shared" si="482"/>
        <v>0</v>
      </c>
    </row>
    <row r="4407" spans="1:29">
      <c r="A4407" s="83" t="str">
        <f t="shared" si="477"/>
        <v/>
      </c>
      <c r="B4407" s="83" t="str">
        <f t="shared" si="483"/>
        <v/>
      </c>
      <c r="U4407" s="83" t="str">
        <f t="shared" si="478"/>
        <v/>
      </c>
      <c r="V4407" s="83" t="str">
        <f t="shared" si="479"/>
        <v/>
      </c>
      <c r="AA4407" s="60">
        <f t="shared" si="480"/>
        <v>0</v>
      </c>
      <c r="AB4407" s="49">
        <f t="shared" si="481"/>
        <v>0</v>
      </c>
      <c r="AC4407" s="60">
        <f t="shared" si="482"/>
        <v>0</v>
      </c>
    </row>
    <row r="4408" spans="1:29">
      <c r="A4408" s="83" t="str">
        <f t="shared" si="477"/>
        <v/>
      </c>
      <c r="B4408" s="83" t="str">
        <f t="shared" si="483"/>
        <v/>
      </c>
      <c r="U4408" s="83" t="str">
        <f t="shared" si="478"/>
        <v/>
      </c>
      <c r="V4408" s="83" t="str">
        <f t="shared" si="479"/>
        <v/>
      </c>
      <c r="AA4408" s="60">
        <f t="shared" si="480"/>
        <v>0</v>
      </c>
      <c r="AB4408" s="49">
        <f t="shared" si="481"/>
        <v>0</v>
      </c>
      <c r="AC4408" s="60">
        <f t="shared" si="482"/>
        <v>0</v>
      </c>
    </row>
    <row r="4409" spans="1:29">
      <c r="A4409" s="83" t="str">
        <f t="shared" si="477"/>
        <v/>
      </c>
      <c r="B4409" s="83" t="str">
        <f t="shared" si="483"/>
        <v/>
      </c>
      <c r="U4409" s="83" t="str">
        <f t="shared" si="478"/>
        <v/>
      </c>
      <c r="V4409" s="83" t="str">
        <f t="shared" si="479"/>
        <v/>
      </c>
      <c r="AA4409" s="60">
        <f t="shared" si="480"/>
        <v>0</v>
      </c>
      <c r="AB4409" s="49">
        <f t="shared" si="481"/>
        <v>0</v>
      </c>
      <c r="AC4409" s="60">
        <f t="shared" si="482"/>
        <v>0</v>
      </c>
    </row>
    <row r="4410" spans="1:29">
      <c r="A4410" s="83" t="str">
        <f t="shared" si="477"/>
        <v/>
      </c>
      <c r="B4410" s="83" t="str">
        <f t="shared" si="483"/>
        <v/>
      </c>
      <c r="U4410" s="83" t="str">
        <f t="shared" si="478"/>
        <v/>
      </c>
      <c r="V4410" s="83" t="str">
        <f t="shared" si="479"/>
        <v/>
      </c>
      <c r="AA4410" s="60">
        <f t="shared" si="480"/>
        <v>0</v>
      </c>
      <c r="AB4410" s="49">
        <f t="shared" si="481"/>
        <v>0</v>
      </c>
      <c r="AC4410" s="60">
        <f t="shared" si="482"/>
        <v>0</v>
      </c>
    </row>
    <row r="4411" spans="1:29">
      <c r="A4411" s="83" t="str">
        <f t="shared" si="477"/>
        <v/>
      </c>
      <c r="B4411" s="83" t="str">
        <f t="shared" si="483"/>
        <v/>
      </c>
      <c r="U4411" s="83" t="str">
        <f t="shared" si="478"/>
        <v/>
      </c>
      <c r="V4411" s="83" t="str">
        <f t="shared" si="479"/>
        <v/>
      </c>
      <c r="AA4411" s="60">
        <f t="shared" si="480"/>
        <v>0</v>
      </c>
      <c r="AB4411" s="49">
        <f t="shared" si="481"/>
        <v>0</v>
      </c>
      <c r="AC4411" s="60">
        <f t="shared" si="482"/>
        <v>0</v>
      </c>
    </row>
    <row r="4412" spans="1:29">
      <c r="A4412" s="83" t="str">
        <f t="shared" si="477"/>
        <v/>
      </c>
      <c r="B4412" s="83" t="str">
        <f t="shared" si="483"/>
        <v/>
      </c>
      <c r="U4412" s="83" t="str">
        <f t="shared" si="478"/>
        <v/>
      </c>
      <c r="V4412" s="83" t="str">
        <f t="shared" si="479"/>
        <v/>
      </c>
      <c r="AA4412" s="60">
        <f t="shared" si="480"/>
        <v>0</v>
      </c>
      <c r="AB4412" s="49">
        <f t="shared" si="481"/>
        <v>0</v>
      </c>
      <c r="AC4412" s="60">
        <f t="shared" si="482"/>
        <v>0</v>
      </c>
    </row>
    <row r="4413" spans="1:29">
      <c r="A4413" s="83" t="str">
        <f t="shared" si="477"/>
        <v/>
      </c>
      <c r="B4413" s="83" t="str">
        <f t="shared" si="483"/>
        <v/>
      </c>
      <c r="U4413" s="83" t="str">
        <f t="shared" si="478"/>
        <v/>
      </c>
      <c r="V4413" s="83" t="str">
        <f t="shared" si="479"/>
        <v/>
      </c>
      <c r="AA4413" s="60">
        <f t="shared" si="480"/>
        <v>0</v>
      </c>
      <c r="AB4413" s="49">
        <f t="shared" si="481"/>
        <v>0</v>
      </c>
      <c r="AC4413" s="60">
        <f t="shared" si="482"/>
        <v>0</v>
      </c>
    </row>
    <row r="4414" spans="1:29">
      <c r="A4414" s="83" t="str">
        <f t="shared" si="477"/>
        <v/>
      </c>
      <c r="B4414" s="83" t="str">
        <f t="shared" si="483"/>
        <v/>
      </c>
      <c r="U4414" s="83" t="str">
        <f t="shared" si="478"/>
        <v/>
      </c>
      <c r="V4414" s="83" t="str">
        <f t="shared" si="479"/>
        <v/>
      </c>
      <c r="AA4414" s="60">
        <f t="shared" si="480"/>
        <v>0</v>
      </c>
      <c r="AB4414" s="49">
        <f t="shared" si="481"/>
        <v>0</v>
      </c>
      <c r="AC4414" s="60">
        <f t="shared" si="482"/>
        <v>0</v>
      </c>
    </row>
    <row r="4415" spans="1:29">
      <c r="A4415" s="83" t="str">
        <f t="shared" si="477"/>
        <v/>
      </c>
      <c r="B4415" s="83" t="str">
        <f t="shared" si="483"/>
        <v/>
      </c>
      <c r="U4415" s="83" t="str">
        <f t="shared" si="478"/>
        <v/>
      </c>
      <c r="V4415" s="83" t="str">
        <f t="shared" si="479"/>
        <v/>
      </c>
      <c r="AA4415" s="60">
        <f t="shared" si="480"/>
        <v>0</v>
      </c>
      <c r="AB4415" s="49">
        <f t="shared" si="481"/>
        <v>0</v>
      </c>
      <c r="AC4415" s="60">
        <f t="shared" si="482"/>
        <v>0</v>
      </c>
    </row>
    <row r="4416" spans="1:29">
      <c r="A4416" s="83" t="str">
        <f t="shared" si="477"/>
        <v/>
      </c>
      <c r="B4416" s="83" t="str">
        <f t="shared" si="483"/>
        <v/>
      </c>
      <c r="U4416" s="83" t="str">
        <f t="shared" si="478"/>
        <v/>
      </c>
      <c r="V4416" s="83" t="str">
        <f t="shared" si="479"/>
        <v/>
      </c>
      <c r="AA4416" s="60">
        <f t="shared" si="480"/>
        <v>0</v>
      </c>
      <c r="AB4416" s="49">
        <f t="shared" si="481"/>
        <v>0</v>
      </c>
      <c r="AC4416" s="60">
        <f t="shared" si="482"/>
        <v>0</v>
      </c>
    </row>
    <row r="4417" spans="1:29">
      <c r="A4417" s="83" t="str">
        <f t="shared" si="477"/>
        <v/>
      </c>
      <c r="B4417" s="83" t="str">
        <f t="shared" si="483"/>
        <v/>
      </c>
      <c r="U4417" s="83" t="str">
        <f t="shared" si="478"/>
        <v/>
      </c>
      <c r="V4417" s="83" t="str">
        <f t="shared" si="479"/>
        <v/>
      </c>
      <c r="AA4417" s="60">
        <f t="shared" si="480"/>
        <v>0</v>
      </c>
      <c r="AB4417" s="49">
        <f t="shared" si="481"/>
        <v>0</v>
      </c>
      <c r="AC4417" s="60">
        <f t="shared" si="482"/>
        <v>0</v>
      </c>
    </row>
    <row r="4418" spans="1:29">
      <c r="A4418" s="83" t="str">
        <f t="shared" si="477"/>
        <v/>
      </c>
      <c r="B4418" s="83" t="str">
        <f t="shared" si="483"/>
        <v/>
      </c>
      <c r="U4418" s="83" t="str">
        <f t="shared" si="478"/>
        <v/>
      </c>
      <c r="V4418" s="83" t="str">
        <f t="shared" si="479"/>
        <v/>
      </c>
      <c r="AA4418" s="60">
        <f t="shared" si="480"/>
        <v>0</v>
      </c>
      <c r="AB4418" s="49">
        <f t="shared" si="481"/>
        <v>0</v>
      </c>
      <c r="AC4418" s="60">
        <f t="shared" si="482"/>
        <v>0</v>
      </c>
    </row>
    <row r="4419" spans="1:29">
      <c r="A4419" s="83" t="str">
        <f t="shared" ref="A4419:A4482" si="484">IF(G4419&amp;Q4419&lt;&gt;"",U4419&amp;Q4419,"")</f>
        <v/>
      </c>
      <c r="B4419" s="83" t="str">
        <f t="shared" si="483"/>
        <v/>
      </c>
      <c r="U4419" s="83" t="str">
        <f t="shared" ref="U4419:U4482" si="485">IF(G4419&lt;&gt;"",IF(StyleSpaceSplit,IFERROR(IF(FIND(" ",G4419)&gt;=1,MID(G4419,1,FIND(" ",G4419)-1),G4419),G4419),G4419),"")</f>
        <v/>
      </c>
      <c r="V4419" s="83" t="str">
        <f t="shared" ref="V4419:V4482" si="486">IF(A4419&lt;&gt;"",IFERROR(IF(FIND(" ",G4419)&gt;=1,MID(G4419,FIND(" ",G4419)+1,LEN(G4419)),""),G4419),"")</f>
        <v/>
      </c>
      <c r="AA4419" s="60">
        <f t="shared" ref="AA4419:AA4482" si="487">IFERROR(VALUE(MID($C4419,1,2)),0)</f>
        <v>0</v>
      </c>
      <c r="AB4419" s="49">
        <f t="shared" ref="AB4419:AB4482" si="488">IFERROR(VALUE(MID($C4419,4,3)),0)</f>
        <v>0</v>
      </c>
      <c r="AC4419" s="60">
        <f t="shared" ref="AC4419:AC4482" si="489">VALUE(RIGHT("00"&amp;AA4419,2)&amp;RIGHT("000"&amp;AB4419,3))</f>
        <v>0</v>
      </c>
    </row>
    <row r="4420" spans="1:29">
      <c r="A4420" s="83" t="str">
        <f t="shared" si="484"/>
        <v/>
      </c>
      <c r="B4420" s="83" t="str">
        <f t="shared" si="483"/>
        <v/>
      </c>
      <c r="U4420" s="83" t="str">
        <f t="shared" si="485"/>
        <v/>
      </c>
      <c r="V4420" s="83" t="str">
        <f t="shared" si="486"/>
        <v/>
      </c>
      <c r="AA4420" s="60">
        <f t="shared" si="487"/>
        <v>0</v>
      </c>
      <c r="AB4420" s="49">
        <f t="shared" si="488"/>
        <v>0</v>
      </c>
      <c r="AC4420" s="60">
        <f t="shared" si="489"/>
        <v>0</v>
      </c>
    </row>
    <row r="4421" spans="1:29">
      <c r="A4421" s="83" t="str">
        <f t="shared" si="484"/>
        <v/>
      </c>
      <c r="B4421" s="83" t="str">
        <f t="shared" si="483"/>
        <v/>
      </c>
      <c r="U4421" s="83" t="str">
        <f t="shared" si="485"/>
        <v/>
      </c>
      <c r="V4421" s="83" t="str">
        <f t="shared" si="486"/>
        <v/>
      </c>
      <c r="AA4421" s="60">
        <f t="shared" si="487"/>
        <v>0</v>
      </c>
      <c r="AB4421" s="49">
        <f t="shared" si="488"/>
        <v>0</v>
      </c>
      <c r="AC4421" s="60">
        <f t="shared" si="489"/>
        <v>0</v>
      </c>
    </row>
    <row r="4422" spans="1:29">
      <c r="A4422" s="83" t="str">
        <f t="shared" si="484"/>
        <v/>
      </c>
      <c r="B4422" s="83" t="str">
        <f t="shared" si="483"/>
        <v/>
      </c>
      <c r="U4422" s="83" t="str">
        <f t="shared" si="485"/>
        <v/>
      </c>
      <c r="V4422" s="83" t="str">
        <f t="shared" si="486"/>
        <v/>
      </c>
      <c r="AA4422" s="60">
        <f t="shared" si="487"/>
        <v>0</v>
      </c>
      <c r="AB4422" s="49">
        <f t="shared" si="488"/>
        <v>0</v>
      </c>
      <c r="AC4422" s="60">
        <f t="shared" si="489"/>
        <v>0</v>
      </c>
    </row>
    <row r="4423" spans="1:29">
      <c r="A4423" s="83" t="str">
        <f t="shared" si="484"/>
        <v/>
      </c>
      <c r="B4423" s="83" t="str">
        <f t="shared" si="483"/>
        <v/>
      </c>
      <c r="U4423" s="83" t="str">
        <f t="shared" si="485"/>
        <v/>
      </c>
      <c r="V4423" s="83" t="str">
        <f t="shared" si="486"/>
        <v/>
      </c>
      <c r="AA4423" s="60">
        <f t="shared" si="487"/>
        <v>0</v>
      </c>
      <c r="AB4423" s="49">
        <f t="shared" si="488"/>
        <v>0</v>
      </c>
      <c r="AC4423" s="60">
        <f t="shared" si="489"/>
        <v>0</v>
      </c>
    </row>
    <row r="4424" spans="1:29">
      <c r="A4424" s="83" t="str">
        <f t="shared" si="484"/>
        <v/>
      </c>
      <c r="B4424" s="83" t="str">
        <f t="shared" si="483"/>
        <v/>
      </c>
      <c r="U4424" s="83" t="str">
        <f t="shared" si="485"/>
        <v/>
      </c>
      <c r="V4424" s="83" t="str">
        <f t="shared" si="486"/>
        <v/>
      </c>
      <c r="AA4424" s="60">
        <f t="shared" si="487"/>
        <v>0</v>
      </c>
      <c r="AB4424" s="49">
        <f t="shared" si="488"/>
        <v>0</v>
      </c>
      <c r="AC4424" s="60">
        <f t="shared" si="489"/>
        <v>0</v>
      </c>
    </row>
    <row r="4425" spans="1:29">
      <c r="A4425" s="83" t="str">
        <f t="shared" si="484"/>
        <v/>
      </c>
      <c r="B4425" s="83" t="str">
        <f t="shared" si="483"/>
        <v/>
      </c>
      <c r="U4425" s="83" t="str">
        <f t="shared" si="485"/>
        <v/>
      </c>
      <c r="V4425" s="83" t="str">
        <f t="shared" si="486"/>
        <v/>
      </c>
      <c r="AA4425" s="60">
        <f t="shared" si="487"/>
        <v>0</v>
      </c>
      <c r="AB4425" s="49">
        <f t="shared" si="488"/>
        <v>0</v>
      </c>
      <c r="AC4425" s="60">
        <f t="shared" si="489"/>
        <v>0</v>
      </c>
    </row>
    <row r="4426" spans="1:29">
      <c r="A4426" s="83" t="str">
        <f t="shared" si="484"/>
        <v/>
      </c>
      <c r="B4426" s="83" t="str">
        <f t="shared" si="483"/>
        <v/>
      </c>
      <c r="U4426" s="83" t="str">
        <f t="shared" si="485"/>
        <v/>
      </c>
      <c r="V4426" s="83" t="str">
        <f t="shared" si="486"/>
        <v/>
      </c>
      <c r="AA4426" s="60">
        <f t="shared" si="487"/>
        <v>0</v>
      </c>
      <c r="AB4426" s="49">
        <f t="shared" si="488"/>
        <v>0</v>
      </c>
      <c r="AC4426" s="60">
        <f t="shared" si="489"/>
        <v>0</v>
      </c>
    </row>
    <row r="4427" spans="1:29">
      <c r="A4427" s="83" t="str">
        <f t="shared" si="484"/>
        <v/>
      </c>
      <c r="B4427" s="83" t="str">
        <f t="shared" si="483"/>
        <v/>
      </c>
      <c r="U4427" s="83" t="str">
        <f t="shared" si="485"/>
        <v/>
      </c>
      <c r="V4427" s="83" t="str">
        <f t="shared" si="486"/>
        <v/>
      </c>
      <c r="AA4427" s="60">
        <f t="shared" si="487"/>
        <v>0</v>
      </c>
      <c r="AB4427" s="49">
        <f t="shared" si="488"/>
        <v>0</v>
      </c>
      <c r="AC4427" s="60">
        <f t="shared" si="489"/>
        <v>0</v>
      </c>
    </row>
    <row r="4428" spans="1:29">
      <c r="A4428" s="83" t="str">
        <f t="shared" si="484"/>
        <v/>
      </c>
      <c r="B4428" s="83" t="str">
        <f t="shared" si="483"/>
        <v/>
      </c>
      <c r="U4428" s="83" t="str">
        <f t="shared" si="485"/>
        <v/>
      </c>
      <c r="V4428" s="83" t="str">
        <f t="shared" si="486"/>
        <v/>
      </c>
      <c r="AA4428" s="60">
        <f t="shared" si="487"/>
        <v>0</v>
      </c>
      <c r="AB4428" s="49">
        <f t="shared" si="488"/>
        <v>0</v>
      </c>
      <c r="AC4428" s="60">
        <f t="shared" si="489"/>
        <v>0</v>
      </c>
    </row>
    <row r="4429" spans="1:29">
      <c r="A4429" s="83" t="str">
        <f t="shared" si="484"/>
        <v/>
      </c>
      <c r="B4429" s="83" t="str">
        <f t="shared" si="483"/>
        <v/>
      </c>
      <c r="U4429" s="83" t="str">
        <f t="shared" si="485"/>
        <v/>
      </c>
      <c r="V4429" s="83" t="str">
        <f t="shared" si="486"/>
        <v/>
      </c>
      <c r="AA4429" s="60">
        <f t="shared" si="487"/>
        <v>0</v>
      </c>
      <c r="AB4429" s="49">
        <f t="shared" si="488"/>
        <v>0</v>
      </c>
      <c r="AC4429" s="60">
        <f t="shared" si="489"/>
        <v>0</v>
      </c>
    </row>
    <row r="4430" spans="1:29">
      <c r="A4430" s="83" t="str">
        <f t="shared" si="484"/>
        <v/>
      </c>
      <c r="B4430" s="83" t="str">
        <f t="shared" si="483"/>
        <v/>
      </c>
      <c r="U4430" s="83" t="str">
        <f t="shared" si="485"/>
        <v/>
      </c>
      <c r="V4430" s="83" t="str">
        <f t="shared" si="486"/>
        <v/>
      </c>
      <c r="AA4430" s="60">
        <f t="shared" si="487"/>
        <v>0</v>
      </c>
      <c r="AB4430" s="49">
        <f t="shared" si="488"/>
        <v>0</v>
      </c>
      <c r="AC4430" s="60">
        <f t="shared" si="489"/>
        <v>0</v>
      </c>
    </row>
    <row r="4431" spans="1:29">
      <c r="A4431" s="83" t="str">
        <f t="shared" si="484"/>
        <v/>
      </c>
      <c r="B4431" s="83" t="str">
        <f t="shared" si="483"/>
        <v/>
      </c>
      <c r="U4431" s="83" t="str">
        <f t="shared" si="485"/>
        <v/>
      </c>
      <c r="V4431" s="83" t="str">
        <f t="shared" si="486"/>
        <v/>
      </c>
      <c r="AA4431" s="60">
        <f t="shared" si="487"/>
        <v>0</v>
      </c>
      <c r="AB4431" s="49">
        <f t="shared" si="488"/>
        <v>0</v>
      </c>
      <c r="AC4431" s="60">
        <f t="shared" si="489"/>
        <v>0</v>
      </c>
    </row>
    <row r="4432" spans="1:29">
      <c r="A4432" s="83" t="str">
        <f t="shared" si="484"/>
        <v/>
      </c>
      <c r="B4432" s="83" t="str">
        <f t="shared" si="483"/>
        <v/>
      </c>
      <c r="U4432" s="83" t="str">
        <f t="shared" si="485"/>
        <v/>
      </c>
      <c r="V4432" s="83" t="str">
        <f t="shared" si="486"/>
        <v/>
      </c>
      <c r="AA4432" s="60">
        <f t="shared" si="487"/>
        <v>0</v>
      </c>
      <c r="AB4432" s="49">
        <f t="shared" si="488"/>
        <v>0</v>
      </c>
      <c r="AC4432" s="60">
        <f t="shared" si="489"/>
        <v>0</v>
      </c>
    </row>
    <row r="4433" spans="1:29">
      <c r="A4433" s="83" t="str">
        <f t="shared" si="484"/>
        <v/>
      </c>
      <c r="B4433" s="83" t="str">
        <f t="shared" si="483"/>
        <v/>
      </c>
      <c r="U4433" s="83" t="str">
        <f t="shared" si="485"/>
        <v/>
      </c>
      <c r="V4433" s="83" t="str">
        <f t="shared" si="486"/>
        <v/>
      </c>
      <c r="AA4433" s="60">
        <f t="shared" si="487"/>
        <v>0</v>
      </c>
      <c r="AB4433" s="49">
        <f t="shared" si="488"/>
        <v>0</v>
      </c>
      <c r="AC4433" s="60">
        <f t="shared" si="489"/>
        <v>0</v>
      </c>
    </row>
    <row r="4434" spans="1:29">
      <c r="A4434" s="83" t="str">
        <f t="shared" si="484"/>
        <v/>
      </c>
      <c r="B4434" s="83" t="str">
        <f t="shared" si="483"/>
        <v/>
      </c>
      <c r="U4434" s="83" t="str">
        <f t="shared" si="485"/>
        <v/>
      </c>
      <c r="V4434" s="83" t="str">
        <f t="shared" si="486"/>
        <v/>
      </c>
      <c r="AA4434" s="60">
        <f t="shared" si="487"/>
        <v>0</v>
      </c>
      <c r="AB4434" s="49">
        <f t="shared" si="488"/>
        <v>0</v>
      </c>
      <c r="AC4434" s="60">
        <f t="shared" si="489"/>
        <v>0</v>
      </c>
    </row>
    <row r="4435" spans="1:29">
      <c r="A4435" s="83" t="str">
        <f t="shared" si="484"/>
        <v/>
      </c>
      <c r="B4435" s="83" t="str">
        <f t="shared" si="483"/>
        <v/>
      </c>
      <c r="U4435" s="83" t="str">
        <f t="shared" si="485"/>
        <v/>
      </c>
      <c r="V4435" s="83" t="str">
        <f t="shared" si="486"/>
        <v/>
      </c>
      <c r="AA4435" s="60">
        <f t="shared" si="487"/>
        <v>0</v>
      </c>
      <c r="AB4435" s="49">
        <f t="shared" si="488"/>
        <v>0</v>
      </c>
      <c r="AC4435" s="60">
        <f t="shared" si="489"/>
        <v>0</v>
      </c>
    </row>
    <row r="4436" spans="1:29">
      <c r="A4436" s="83" t="str">
        <f t="shared" si="484"/>
        <v/>
      </c>
      <c r="B4436" s="83" t="str">
        <f t="shared" si="483"/>
        <v/>
      </c>
      <c r="U4436" s="83" t="str">
        <f t="shared" si="485"/>
        <v/>
      </c>
      <c r="V4436" s="83" t="str">
        <f t="shared" si="486"/>
        <v/>
      </c>
      <c r="AA4436" s="60">
        <f t="shared" si="487"/>
        <v>0</v>
      </c>
      <c r="AB4436" s="49">
        <f t="shared" si="488"/>
        <v>0</v>
      </c>
      <c r="AC4436" s="60">
        <f t="shared" si="489"/>
        <v>0</v>
      </c>
    </row>
    <row r="4437" spans="1:29">
      <c r="A4437" s="83" t="str">
        <f t="shared" si="484"/>
        <v/>
      </c>
      <c r="B4437" s="83" t="str">
        <f t="shared" si="483"/>
        <v/>
      </c>
      <c r="U4437" s="83" t="str">
        <f t="shared" si="485"/>
        <v/>
      </c>
      <c r="V4437" s="83" t="str">
        <f t="shared" si="486"/>
        <v/>
      </c>
      <c r="AA4437" s="60">
        <f t="shared" si="487"/>
        <v>0</v>
      </c>
      <c r="AB4437" s="49">
        <f t="shared" si="488"/>
        <v>0</v>
      </c>
      <c r="AC4437" s="60">
        <f t="shared" si="489"/>
        <v>0</v>
      </c>
    </row>
    <row r="4438" spans="1:29">
      <c r="A4438" s="83" t="str">
        <f t="shared" si="484"/>
        <v/>
      </c>
      <c r="B4438" s="83" t="str">
        <f t="shared" si="483"/>
        <v/>
      </c>
      <c r="U4438" s="83" t="str">
        <f t="shared" si="485"/>
        <v/>
      </c>
      <c r="V4438" s="83" t="str">
        <f t="shared" si="486"/>
        <v/>
      </c>
      <c r="AA4438" s="60">
        <f t="shared" si="487"/>
        <v>0</v>
      </c>
      <c r="AB4438" s="49">
        <f t="shared" si="488"/>
        <v>0</v>
      </c>
      <c r="AC4438" s="60">
        <f t="shared" si="489"/>
        <v>0</v>
      </c>
    </row>
    <row r="4439" spans="1:29">
      <c r="A4439" s="83" t="str">
        <f t="shared" si="484"/>
        <v/>
      </c>
      <c r="B4439" s="83" t="str">
        <f t="shared" si="483"/>
        <v/>
      </c>
      <c r="U4439" s="83" t="str">
        <f t="shared" si="485"/>
        <v/>
      </c>
      <c r="V4439" s="83" t="str">
        <f t="shared" si="486"/>
        <v/>
      </c>
      <c r="AA4439" s="60">
        <f t="shared" si="487"/>
        <v>0</v>
      </c>
      <c r="AB4439" s="49">
        <f t="shared" si="488"/>
        <v>0</v>
      </c>
      <c r="AC4439" s="60">
        <f t="shared" si="489"/>
        <v>0</v>
      </c>
    </row>
    <row r="4440" spans="1:29">
      <c r="A4440" s="83" t="str">
        <f t="shared" si="484"/>
        <v/>
      </c>
      <c r="B4440" s="83" t="str">
        <f t="shared" si="483"/>
        <v/>
      </c>
      <c r="U4440" s="83" t="str">
        <f t="shared" si="485"/>
        <v/>
      </c>
      <c r="V4440" s="83" t="str">
        <f t="shared" si="486"/>
        <v/>
      </c>
      <c r="AA4440" s="60">
        <f t="shared" si="487"/>
        <v>0</v>
      </c>
      <c r="AB4440" s="49">
        <f t="shared" si="488"/>
        <v>0</v>
      </c>
      <c r="AC4440" s="60">
        <f t="shared" si="489"/>
        <v>0</v>
      </c>
    </row>
    <row r="4441" spans="1:29">
      <c r="A4441" s="83" t="str">
        <f t="shared" si="484"/>
        <v/>
      </c>
      <c r="B4441" s="83" t="str">
        <f t="shared" si="483"/>
        <v/>
      </c>
      <c r="U4441" s="83" t="str">
        <f t="shared" si="485"/>
        <v/>
      </c>
      <c r="V4441" s="83" t="str">
        <f t="shared" si="486"/>
        <v/>
      </c>
      <c r="AA4441" s="60">
        <f t="shared" si="487"/>
        <v>0</v>
      </c>
      <c r="AB4441" s="49">
        <f t="shared" si="488"/>
        <v>0</v>
      </c>
      <c r="AC4441" s="60">
        <f t="shared" si="489"/>
        <v>0</v>
      </c>
    </row>
    <row r="4442" spans="1:29">
      <c r="A4442" s="83" t="str">
        <f t="shared" si="484"/>
        <v/>
      </c>
      <c r="B4442" s="83" t="str">
        <f t="shared" si="483"/>
        <v/>
      </c>
      <c r="U4442" s="83" t="str">
        <f t="shared" si="485"/>
        <v/>
      </c>
      <c r="V4442" s="83" t="str">
        <f t="shared" si="486"/>
        <v/>
      </c>
      <c r="AA4442" s="60">
        <f t="shared" si="487"/>
        <v>0</v>
      </c>
      <c r="AB4442" s="49">
        <f t="shared" si="488"/>
        <v>0</v>
      </c>
      <c r="AC4442" s="60">
        <f t="shared" si="489"/>
        <v>0</v>
      </c>
    </row>
    <row r="4443" spans="1:29">
      <c r="A4443" s="83" t="str">
        <f t="shared" si="484"/>
        <v/>
      </c>
      <c r="B4443" s="83" t="str">
        <f t="shared" si="483"/>
        <v/>
      </c>
      <c r="U4443" s="83" t="str">
        <f t="shared" si="485"/>
        <v/>
      </c>
      <c r="V4443" s="83" t="str">
        <f t="shared" si="486"/>
        <v/>
      </c>
      <c r="AA4443" s="60">
        <f t="shared" si="487"/>
        <v>0</v>
      </c>
      <c r="AB4443" s="49">
        <f t="shared" si="488"/>
        <v>0</v>
      </c>
      <c r="AC4443" s="60">
        <f t="shared" si="489"/>
        <v>0</v>
      </c>
    </row>
    <row r="4444" spans="1:29">
      <c r="A4444" s="83" t="str">
        <f t="shared" si="484"/>
        <v/>
      </c>
      <c r="B4444" s="83" t="str">
        <f t="shared" si="483"/>
        <v/>
      </c>
      <c r="U4444" s="83" t="str">
        <f t="shared" si="485"/>
        <v/>
      </c>
      <c r="V4444" s="83" t="str">
        <f t="shared" si="486"/>
        <v/>
      </c>
      <c r="AA4444" s="60">
        <f t="shared" si="487"/>
        <v>0</v>
      </c>
      <c r="AB4444" s="49">
        <f t="shared" si="488"/>
        <v>0</v>
      </c>
      <c r="AC4444" s="60">
        <f t="shared" si="489"/>
        <v>0</v>
      </c>
    </row>
    <row r="4445" spans="1:29">
      <c r="A4445" s="83" t="str">
        <f t="shared" si="484"/>
        <v/>
      </c>
      <c r="B4445" s="83" t="str">
        <f t="shared" si="483"/>
        <v/>
      </c>
      <c r="U4445" s="83" t="str">
        <f t="shared" si="485"/>
        <v/>
      </c>
      <c r="V4445" s="83" t="str">
        <f t="shared" si="486"/>
        <v/>
      </c>
      <c r="AA4445" s="60">
        <f t="shared" si="487"/>
        <v>0</v>
      </c>
      <c r="AB4445" s="49">
        <f t="shared" si="488"/>
        <v>0</v>
      </c>
      <c r="AC4445" s="60">
        <f t="shared" si="489"/>
        <v>0</v>
      </c>
    </row>
    <row r="4446" spans="1:29">
      <c r="A4446" s="83" t="str">
        <f t="shared" si="484"/>
        <v/>
      </c>
      <c r="B4446" s="83" t="str">
        <f t="shared" si="483"/>
        <v/>
      </c>
      <c r="U4446" s="83" t="str">
        <f t="shared" si="485"/>
        <v/>
      </c>
      <c r="V4446" s="83" t="str">
        <f t="shared" si="486"/>
        <v/>
      </c>
      <c r="AA4446" s="60">
        <f t="shared" si="487"/>
        <v>0</v>
      </c>
      <c r="AB4446" s="49">
        <f t="shared" si="488"/>
        <v>0</v>
      </c>
      <c r="AC4446" s="60">
        <f t="shared" si="489"/>
        <v>0</v>
      </c>
    </row>
    <row r="4447" spans="1:29">
      <c r="A4447" s="83" t="str">
        <f t="shared" si="484"/>
        <v/>
      </c>
      <c r="B4447" s="83" t="str">
        <f t="shared" si="483"/>
        <v/>
      </c>
      <c r="U4447" s="83" t="str">
        <f t="shared" si="485"/>
        <v/>
      </c>
      <c r="V4447" s="83" t="str">
        <f t="shared" si="486"/>
        <v/>
      </c>
      <c r="AA4447" s="60">
        <f t="shared" si="487"/>
        <v>0</v>
      </c>
      <c r="AB4447" s="49">
        <f t="shared" si="488"/>
        <v>0</v>
      </c>
      <c r="AC4447" s="60">
        <f t="shared" si="489"/>
        <v>0</v>
      </c>
    </row>
    <row r="4448" spans="1:29">
      <c r="A4448" s="83" t="str">
        <f t="shared" si="484"/>
        <v/>
      </c>
      <c r="B4448" s="83" t="str">
        <f t="shared" si="483"/>
        <v/>
      </c>
      <c r="U4448" s="83" t="str">
        <f t="shared" si="485"/>
        <v/>
      </c>
      <c r="V4448" s="83" t="str">
        <f t="shared" si="486"/>
        <v/>
      </c>
      <c r="AA4448" s="60">
        <f t="shared" si="487"/>
        <v>0</v>
      </c>
      <c r="AB4448" s="49">
        <f t="shared" si="488"/>
        <v>0</v>
      </c>
      <c r="AC4448" s="60">
        <f t="shared" si="489"/>
        <v>0</v>
      </c>
    </row>
    <row r="4449" spans="1:29">
      <c r="A4449" s="83" t="str">
        <f t="shared" si="484"/>
        <v/>
      </c>
      <c r="B4449" s="83" t="str">
        <f t="shared" ref="B4449:B4512" si="490">IF(C4449&lt;&gt;"",LEFT(C4449,9),"")</f>
        <v/>
      </c>
      <c r="U4449" s="83" t="str">
        <f t="shared" si="485"/>
        <v/>
      </c>
      <c r="V4449" s="83" t="str">
        <f t="shared" si="486"/>
        <v/>
      </c>
      <c r="AA4449" s="60">
        <f t="shared" si="487"/>
        <v>0</v>
      </c>
      <c r="AB4449" s="49">
        <f t="shared" si="488"/>
        <v>0</v>
      </c>
      <c r="AC4449" s="60">
        <f t="shared" si="489"/>
        <v>0</v>
      </c>
    </row>
    <row r="4450" spans="1:29">
      <c r="A4450" s="83" t="str">
        <f t="shared" si="484"/>
        <v/>
      </c>
      <c r="B4450" s="83" t="str">
        <f t="shared" si="490"/>
        <v/>
      </c>
      <c r="U4450" s="83" t="str">
        <f t="shared" si="485"/>
        <v/>
      </c>
      <c r="V4450" s="83" t="str">
        <f t="shared" si="486"/>
        <v/>
      </c>
      <c r="AA4450" s="60">
        <f t="shared" si="487"/>
        <v>0</v>
      </c>
      <c r="AB4450" s="49">
        <f t="shared" si="488"/>
        <v>0</v>
      </c>
      <c r="AC4450" s="60">
        <f t="shared" si="489"/>
        <v>0</v>
      </c>
    </row>
    <row r="4451" spans="1:29">
      <c r="A4451" s="83" t="str">
        <f t="shared" si="484"/>
        <v/>
      </c>
      <c r="B4451" s="83" t="str">
        <f t="shared" si="490"/>
        <v/>
      </c>
      <c r="U4451" s="83" t="str">
        <f t="shared" si="485"/>
        <v/>
      </c>
      <c r="V4451" s="83" t="str">
        <f t="shared" si="486"/>
        <v/>
      </c>
      <c r="AA4451" s="60">
        <f t="shared" si="487"/>
        <v>0</v>
      </c>
      <c r="AB4451" s="49">
        <f t="shared" si="488"/>
        <v>0</v>
      </c>
      <c r="AC4451" s="60">
        <f t="shared" si="489"/>
        <v>0</v>
      </c>
    </row>
    <row r="4452" spans="1:29">
      <c r="A4452" s="83" t="str">
        <f t="shared" si="484"/>
        <v/>
      </c>
      <c r="B4452" s="83" t="str">
        <f t="shared" si="490"/>
        <v/>
      </c>
      <c r="U4452" s="83" t="str">
        <f t="shared" si="485"/>
        <v/>
      </c>
      <c r="V4452" s="83" t="str">
        <f t="shared" si="486"/>
        <v/>
      </c>
      <c r="AA4452" s="60">
        <f t="shared" si="487"/>
        <v>0</v>
      </c>
      <c r="AB4452" s="49">
        <f t="shared" si="488"/>
        <v>0</v>
      </c>
      <c r="AC4452" s="60">
        <f t="shared" si="489"/>
        <v>0</v>
      </c>
    </row>
    <row r="4453" spans="1:29">
      <c r="A4453" s="83" t="str">
        <f t="shared" si="484"/>
        <v/>
      </c>
      <c r="B4453" s="83" t="str">
        <f t="shared" si="490"/>
        <v/>
      </c>
      <c r="U4453" s="83" t="str">
        <f t="shared" si="485"/>
        <v/>
      </c>
      <c r="V4453" s="83" t="str">
        <f t="shared" si="486"/>
        <v/>
      </c>
      <c r="AA4453" s="60">
        <f t="shared" si="487"/>
        <v>0</v>
      </c>
      <c r="AB4453" s="49">
        <f t="shared" si="488"/>
        <v>0</v>
      </c>
      <c r="AC4453" s="60">
        <f t="shared" si="489"/>
        <v>0</v>
      </c>
    </row>
    <row r="4454" spans="1:29">
      <c r="A4454" s="83" t="str">
        <f t="shared" si="484"/>
        <v/>
      </c>
      <c r="B4454" s="83" t="str">
        <f t="shared" si="490"/>
        <v/>
      </c>
      <c r="U4454" s="83" t="str">
        <f t="shared" si="485"/>
        <v/>
      </c>
      <c r="V4454" s="83" t="str">
        <f t="shared" si="486"/>
        <v/>
      </c>
      <c r="AA4454" s="60">
        <f t="shared" si="487"/>
        <v>0</v>
      </c>
      <c r="AB4454" s="49">
        <f t="shared" si="488"/>
        <v>0</v>
      </c>
      <c r="AC4454" s="60">
        <f t="shared" si="489"/>
        <v>0</v>
      </c>
    </row>
    <row r="4455" spans="1:29">
      <c r="A4455" s="83" t="str">
        <f t="shared" si="484"/>
        <v/>
      </c>
      <c r="B4455" s="83" t="str">
        <f t="shared" si="490"/>
        <v/>
      </c>
      <c r="U4455" s="83" t="str">
        <f t="shared" si="485"/>
        <v/>
      </c>
      <c r="V4455" s="83" t="str">
        <f t="shared" si="486"/>
        <v/>
      </c>
      <c r="AA4455" s="60">
        <f t="shared" si="487"/>
        <v>0</v>
      </c>
      <c r="AB4455" s="49">
        <f t="shared" si="488"/>
        <v>0</v>
      </c>
      <c r="AC4455" s="60">
        <f t="shared" si="489"/>
        <v>0</v>
      </c>
    </row>
    <row r="4456" spans="1:29">
      <c r="A4456" s="83" t="str">
        <f t="shared" si="484"/>
        <v/>
      </c>
      <c r="B4456" s="83" t="str">
        <f t="shared" si="490"/>
        <v/>
      </c>
      <c r="U4456" s="83" t="str">
        <f t="shared" si="485"/>
        <v/>
      </c>
      <c r="V4456" s="83" t="str">
        <f t="shared" si="486"/>
        <v/>
      </c>
      <c r="AA4456" s="60">
        <f t="shared" si="487"/>
        <v>0</v>
      </c>
      <c r="AB4456" s="49">
        <f t="shared" si="488"/>
        <v>0</v>
      </c>
      <c r="AC4456" s="60">
        <f t="shared" si="489"/>
        <v>0</v>
      </c>
    </row>
    <row r="4457" spans="1:29">
      <c r="A4457" s="83" t="str">
        <f t="shared" si="484"/>
        <v/>
      </c>
      <c r="B4457" s="83" t="str">
        <f t="shared" si="490"/>
        <v/>
      </c>
      <c r="U4457" s="83" t="str">
        <f t="shared" si="485"/>
        <v/>
      </c>
      <c r="V4457" s="83" t="str">
        <f t="shared" si="486"/>
        <v/>
      </c>
      <c r="AA4457" s="60">
        <f t="shared" si="487"/>
        <v>0</v>
      </c>
      <c r="AB4457" s="49">
        <f t="shared" si="488"/>
        <v>0</v>
      </c>
      <c r="AC4457" s="60">
        <f t="shared" si="489"/>
        <v>0</v>
      </c>
    </row>
    <row r="4458" spans="1:29">
      <c r="A4458" s="83" t="str">
        <f t="shared" si="484"/>
        <v/>
      </c>
      <c r="B4458" s="83" t="str">
        <f t="shared" si="490"/>
        <v/>
      </c>
      <c r="U4458" s="83" t="str">
        <f t="shared" si="485"/>
        <v/>
      </c>
      <c r="V4458" s="83" t="str">
        <f t="shared" si="486"/>
        <v/>
      </c>
      <c r="AA4458" s="60">
        <f t="shared" si="487"/>
        <v>0</v>
      </c>
      <c r="AB4458" s="49">
        <f t="shared" si="488"/>
        <v>0</v>
      </c>
      <c r="AC4458" s="60">
        <f t="shared" si="489"/>
        <v>0</v>
      </c>
    </row>
    <row r="4459" spans="1:29">
      <c r="A4459" s="83" t="str">
        <f t="shared" si="484"/>
        <v/>
      </c>
      <c r="B4459" s="83" t="str">
        <f t="shared" si="490"/>
        <v/>
      </c>
      <c r="U4459" s="83" t="str">
        <f t="shared" si="485"/>
        <v/>
      </c>
      <c r="V4459" s="83" t="str">
        <f t="shared" si="486"/>
        <v/>
      </c>
      <c r="AA4459" s="60">
        <f t="shared" si="487"/>
        <v>0</v>
      </c>
      <c r="AB4459" s="49">
        <f t="shared" si="488"/>
        <v>0</v>
      </c>
      <c r="AC4459" s="60">
        <f t="shared" si="489"/>
        <v>0</v>
      </c>
    </row>
    <row r="4460" spans="1:29">
      <c r="A4460" s="83" t="str">
        <f t="shared" si="484"/>
        <v/>
      </c>
      <c r="B4460" s="83" t="str">
        <f t="shared" si="490"/>
        <v/>
      </c>
      <c r="U4460" s="83" t="str">
        <f t="shared" si="485"/>
        <v/>
      </c>
      <c r="V4460" s="83" t="str">
        <f t="shared" si="486"/>
        <v/>
      </c>
      <c r="AA4460" s="60">
        <f t="shared" si="487"/>
        <v>0</v>
      </c>
      <c r="AB4460" s="49">
        <f t="shared" si="488"/>
        <v>0</v>
      </c>
      <c r="AC4460" s="60">
        <f t="shared" si="489"/>
        <v>0</v>
      </c>
    </row>
    <row r="4461" spans="1:29">
      <c r="A4461" s="83" t="str">
        <f t="shared" si="484"/>
        <v/>
      </c>
      <c r="B4461" s="83" t="str">
        <f t="shared" si="490"/>
        <v/>
      </c>
      <c r="U4461" s="83" t="str">
        <f t="shared" si="485"/>
        <v/>
      </c>
      <c r="V4461" s="83" t="str">
        <f t="shared" si="486"/>
        <v/>
      </c>
      <c r="AA4461" s="60">
        <f t="shared" si="487"/>
        <v>0</v>
      </c>
      <c r="AB4461" s="49">
        <f t="shared" si="488"/>
        <v>0</v>
      </c>
      <c r="AC4461" s="60">
        <f t="shared" si="489"/>
        <v>0</v>
      </c>
    </row>
    <row r="4462" spans="1:29">
      <c r="A4462" s="83" t="str">
        <f t="shared" si="484"/>
        <v/>
      </c>
      <c r="B4462" s="83" t="str">
        <f t="shared" si="490"/>
        <v/>
      </c>
      <c r="U4462" s="83" t="str">
        <f t="shared" si="485"/>
        <v/>
      </c>
      <c r="V4462" s="83" t="str">
        <f t="shared" si="486"/>
        <v/>
      </c>
      <c r="AA4462" s="60">
        <f t="shared" si="487"/>
        <v>0</v>
      </c>
      <c r="AB4462" s="49">
        <f t="shared" si="488"/>
        <v>0</v>
      </c>
      <c r="AC4462" s="60">
        <f t="shared" si="489"/>
        <v>0</v>
      </c>
    </row>
    <row r="4463" spans="1:29">
      <c r="A4463" s="83" t="str">
        <f t="shared" si="484"/>
        <v/>
      </c>
      <c r="B4463" s="83" t="str">
        <f t="shared" si="490"/>
        <v/>
      </c>
      <c r="U4463" s="83" t="str">
        <f t="shared" si="485"/>
        <v/>
      </c>
      <c r="V4463" s="83" t="str">
        <f t="shared" si="486"/>
        <v/>
      </c>
      <c r="AA4463" s="60">
        <f t="shared" si="487"/>
        <v>0</v>
      </c>
      <c r="AB4463" s="49">
        <f t="shared" si="488"/>
        <v>0</v>
      </c>
      <c r="AC4463" s="60">
        <f t="shared" si="489"/>
        <v>0</v>
      </c>
    </row>
    <row r="4464" spans="1:29">
      <c r="A4464" s="83" t="str">
        <f t="shared" si="484"/>
        <v/>
      </c>
      <c r="B4464" s="83" t="str">
        <f t="shared" si="490"/>
        <v/>
      </c>
      <c r="U4464" s="83" t="str">
        <f t="shared" si="485"/>
        <v/>
      </c>
      <c r="V4464" s="83" t="str">
        <f t="shared" si="486"/>
        <v/>
      </c>
      <c r="AA4464" s="60">
        <f t="shared" si="487"/>
        <v>0</v>
      </c>
      <c r="AB4464" s="49">
        <f t="shared" si="488"/>
        <v>0</v>
      </c>
      <c r="AC4464" s="60">
        <f t="shared" si="489"/>
        <v>0</v>
      </c>
    </row>
    <row r="4465" spans="1:29">
      <c r="A4465" s="83" t="str">
        <f t="shared" si="484"/>
        <v/>
      </c>
      <c r="B4465" s="83" t="str">
        <f t="shared" si="490"/>
        <v/>
      </c>
      <c r="U4465" s="83" t="str">
        <f t="shared" si="485"/>
        <v/>
      </c>
      <c r="V4465" s="83" t="str">
        <f t="shared" si="486"/>
        <v/>
      </c>
      <c r="AA4465" s="60">
        <f t="shared" si="487"/>
        <v>0</v>
      </c>
      <c r="AB4465" s="49">
        <f t="shared" si="488"/>
        <v>0</v>
      </c>
      <c r="AC4465" s="60">
        <f t="shared" si="489"/>
        <v>0</v>
      </c>
    </row>
    <row r="4466" spans="1:29">
      <c r="A4466" s="83" t="str">
        <f t="shared" si="484"/>
        <v/>
      </c>
      <c r="B4466" s="83" t="str">
        <f t="shared" si="490"/>
        <v/>
      </c>
      <c r="U4466" s="83" t="str">
        <f t="shared" si="485"/>
        <v/>
      </c>
      <c r="V4466" s="83" t="str">
        <f t="shared" si="486"/>
        <v/>
      </c>
      <c r="AA4466" s="60">
        <f t="shared" si="487"/>
        <v>0</v>
      </c>
      <c r="AB4466" s="49">
        <f t="shared" si="488"/>
        <v>0</v>
      </c>
      <c r="AC4466" s="60">
        <f t="shared" si="489"/>
        <v>0</v>
      </c>
    </row>
    <row r="4467" spans="1:29">
      <c r="A4467" s="83" t="str">
        <f t="shared" si="484"/>
        <v/>
      </c>
      <c r="B4467" s="83" t="str">
        <f t="shared" si="490"/>
        <v/>
      </c>
      <c r="U4467" s="83" t="str">
        <f t="shared" si="485"/>
        <v/>
      </c>
      <c r="V4467" s="83" t="str">
        <f t="shared" si="486"/>
        <v/>
      </c>
      <c r="AA4467" s="60">
        <f t="shared" si="487"/>
        <v>0</v>
      </c>
      <c r="AB4467" s="49">
        <f t="shared" si="488"/>
        <v>0</v>
      </c>
      <c r="AC4467" s="60">
        <f t="shared" si="489"/>
        <v>0</v>
      </c>
    </row>
    <row r="4468" spans="1:29">
      <c r="A4468" s="83" t="str">
        <f t="shared" si="484"/>
        <v/>
      </c>
      <c r="B4468" s="83" t="str">
        <f t="shared" si="490"/>
        <v/>
      </c>
      <c r="U4468" s="83" t="str">
        <f t="shared" si="485"/>
        <v/>
      </c>
      <c r="V4468" s="83" t="str">
        <f t="shared" si="486"/>
        <v/>
      </c>
      <c r="AA4468" s="60">
        <f t="shared" si="487"/>
        <v>0</v>
      </c>
      <c r="AB4468" s="49">
        <f t="shared" si="488"/>
        <v>0</v>
      </c>
      <c r="AC4468" s="60">
        <f t="shared" si="489"/>
        <v>0</v>
      </c>
    </row>
    <row r="4469" spans="1:29">
      <c r="A4469" s="83" t="str">
        <f t="shared" si="484"/>
        <v/>
      </c>
      <c r="B4469" s="83" t="str">
        <f t="shared" si="490"/>
        <v/>
      </c>
      <c r="U4469" s="83" t="str">
        <f t="shared" si="485"/>
        <v/>
      </c>
      <c r="V4469" s="83" t="str">
        <f t="shared" si="486"/>
        <v/>
      </c>
      <c r="AA4469" s="60">
        <f t="shared" si="487"/>
        <v>0</v>
      </c>
      <c r="AB4469" s="49">
        <f t="shared" si="488"/>
        <v>0</v>
      </c>
      <c r="AC4469" s="60">
        <f t="shared" si="489"/>
        <v>0</v>
      </c>
    </row>
    <row r="4470" spans="1:29">
      <c r="A4470" s="83" t="str">
        <f t="shared" si="484"/>
        <v/>
      </c>
      <c r="B4470" s="83" t="str">
        <f t="shared" si="490"/>
        <v/>
      </c>
      <c r="U4470" s="83" t="str">
        <f t="shared" si="485"/>
        <v/>
      </c>
      <c r="V4470" s="83" t="str">
        <f t="shared" si="486"/>
        <v/>
      </c>
      <c r="AA4470" s="60">
        <f t="shared" si="487"/>
        <v>0</v>
      </c>
      <c r="AB4470" s="49">
        <f t="shared" si="488"/>
        <v>0</v>
      </c>
      <c r="AC4470" s="60">
        <f t="shared" si="489"/>
        <v>0</v>
      </c>
    </row>
    <row r="4471" spans="1:29">
      <c r="A4471" s="83" t="str">
        <f t="shared" si="484"/>
        <v/>
      </c>
      <c r="B4471" s="83" t="str">
        <f t="shared" si="490"/>
        <v/>
      </c>
      <c r="U4471" s="83" t="str">
        <f t="shared" si="485"/>
        <v/>
      </c>
      <c r="V4471" s="83" t="str">
        <f t="shared" si="486"/>
        <v/>
      </c>
      <c r="AA4471" s="60">
        <f t="shared" si="487"/>
        <v>0</v>
      </c>
      <c r="AB4471" s="49">
        <f t="shared" si="488"/>
        <v>0</v>
      </c>
      <c r="AC4471" s="60">
        <f t="shared" si="489"/>
        <v>0</v>
      </c>
    </row>
    <row r="4472" spans="1:29">
      <c r="A4472" s="83" t="str">
        <f t="shared" si="484"/>
        <v/>
      </c>
      <c r="B4472" s="83" t="str">
        <f t="shared" si="490"/>
        <v/>
      </c>
      <c r="U4472" s="83" t="str">
        <f t="shared" si="485"/>
        <v/>
      </c>
      <c r="V4472" s="83" t="str">
        <f t="shared" si="486"/>
        <v/>
      </c>
      <c r="AA4472" s="60">
        <f t="shared" si="487"/>
        <v>0</v>
      </c>
      <c r="AB4472" s="49">
        <f t="shared" si="488"/>
        <v>0</v>
      </c>
      <c r="AC4472" s="60">
        <f t="shared" si="489"/>
        <v>0</v>
      </c>
    </row>
    <row r="4473" spans="1:29">
      <c r="A4473" s="83" t="str">
        <f t="shared" si="484"/>
        <v/>
      </c>
      <c r="B4473" s="83" t="str">
        <f t="shared" si="490"/>
        <v/>
      </c>
      <c r="U4473" s="83" t="str">
        <f t="shared" si="485"/>
        <v/>
      </c>
      <c r="V4473" s="83" t="str">
        <f t="shared" si="486"/>
        <v/>
      </c>
      <c r="AA4473" s="60">
        <f t="shared" si="487"/>
        <v>0</v>
      </c>
      <c r="AB4473" s="49">
        <f t="shared" si="488"/>
        <v>0</v>
      </c>
      <c r="AC4473" s="60">
        <f t="shared" si="489"/>
        <v>0</v>
      </c>
    </row>
    <row r="4474" spans="1:29">
      <c r="A4474" s="83" t="str">
        <f t="shared" si="484"/>
        <v/>
      </c>
      <c r="B4474" s="83" t="str">
        <f t="shared" si="490"/>
        <v/>
      </c>
      <c r="U4474" s="83" t="str">
        <f t="shared" si="485"/>
        <v/>
      </c>
      <c r="V4474" s="83" t="str">
        <f t="shared" si="486"/>
        <v/>
      </c>
      <c r="AA4474" s="60">
        <f t="shared" si="487"/>
        <v>0</v>
      </c>
      <c r="AB4474" s="49">
        <f t="shared" si="488"/>
        <v>0</v>
      </c>
      <c r="AC4474" s="60">
        <f t="shared" si="489"/>
        <v>0</v>
      </c>
    </row>
    <row r="4475" spans="1:29">
      <c r="A4475" s="83" t="str">
        <f t="shared" si="484"/>
        <v/>
      </c>
      <c r="B4475" s="83" t="str">
        <f t="shared" si="490"/>
        <v/>
      </c>
      <c r="U4475" s="83" t="str">
        <f t="shared" si="485"/>
        <v/>
      </c>
      <c r="V4475" s="83" t="str">
        <f t="shared" si="486"/>
        <v/>
      </c>
      <c r="AA4475" s="60">
        <f t="shared" si="487"/>
        <v>0</v>
      </c>
      <c r="AB4475" s="49">
        <f t="shared" si="488"/>
        <v>0</v>
      </c>
      <c r="AC4475" s="60">
        <f t="shared" si="489"/>
        <v>0</v>
      </c>
    </row>
    <row r="4476" spans="1:29">
      <c r="A4476" s="83" t="str">
        <f t="shared" si="484"/>
        <v/>
      </c>
      <c r="B4476" s="83" t="str">
        <f t="shared" si="490"/>
        <v/>
      </c>
      <c r="U4476" s="83" t="str">
        <f t="shared" si="485"/>
        <v/>
      </c>
      <c r="V4476" s="83" t="str">
        <f t="shared" si="486"/>
        <v/>
      </c>
      <c r="AA4476" s="60">
        <f t="shared" si="487"/>
        <v>0</v>
      </c>
      <c r="AB4476" s="49">
        <f t="shared" si="488"/>
        <v>0</v>
      </c>
      <c r="AC4476" s="60">
        <f t="shared" si="489"/>
        <v>0</v>
      </c>
    </row>
    <row r="4477" spans="1:29">
      <c r="A4477" s="83" t="str">
        <f t="shared" si="484"/>
        <v/>
      </c>
      <c r="B4477" s="83" t="str">
        <f t="shared" si="490"/>
        <v/>
      </c>
      <c r="U4477" s="83" t="str">
        <f t="shared" si="485"/>
        <v/>
      </c>
      <c r="V4477" s="83" t="str">
        <f t="shared" si="486"/>
        <v/>
      </c>
      <c r="AA4477" s="60">
        <f t="shared" si="487"/>
        <v>0</v>
      </c>
      <c r="AB4477" s="49">
        <f t="shared" si="488"/>
        <v>0</v>
      </c>
      <c r="AC4477" s="60">
        <f t="shared" si="489"/>
        <v>0</v>
      </c>
    </row>
    <row r="4478" spans="1:29">
      <c r="A4478" s="83" t="str">
        <f t="shared" si="484"/>
        <v/>
      </c>
      <c r="B4478" s="83" t="str">
        <f t="shared" si="490"/>
        <v/>
      </c>
      <c r="U4478" s="83" t="str">
        <f t="shared" si="485"/>
        <v/>
      </c>
      <c r="V4478" s="83" t="str">
        <f t="shared" si="486"/>
        <v/>
      </c>
      <c r="AA4478" s="60">
        <f t="shared" si="487"/>
        <v>0</v>
      </c>
      <c r="AB4478" s="49">
        <f t="shared" si="488"/>
        <v>0</v>
      </c>
      <c r="AC4478" s="60">
        <f t="shared" si="489"/>
        <v>0</v>
      </c>
    </row>
    <row r="4479" spans="1:29">
      <c r="A4479" s="83" t="str">
        <f t="shared" si="484"/>
        <v/>
      </c>
      <c r="B4479" s="83" t="str">
        <f t="shared" si="490"/>
        <v/>
      </c>
      <c r="U4479" s="83" t="str">
        <f t="shared" si="485"/>
        <v/>
      </c>
      <c r="V4479" s="83" t="str">
        <f t="shared" si="486"/>
        <v/>
      </c>
      <c r="AA4479" s="60">
        <f t="shared" si="487"/>
        <v>0</v>
      </c>
      <c r="AB4479" s="49">
        <f t="shared" si="488"/>
        <v>0</v>
      </c>
      <c r="AC4479" s="60">
        <f t="shared" si="489"/>
        <v>0</v>
      </c>
    </row>
    <row r="4480" spans="1:29">
      <c r="A4480" s="83" t="str">
        <f t="shared" si="484"/>
        <v/>
      </c>
      <c r="B4480" s="83" t="str">
        <f t="shared" si="490"/>
        <v/>
      </c>
      <c r="U4480" s="83" t="str">
        <f t="shared" si="485"/>
        <v/>
      </c>
      <c r="V4480" s="83" t="str">
        <f t="shared" si="486"/>
        <v/>
      </c>
      <c r="AA4480" s="60">
        <f t="shared" si="487"/>
        <v>0</v>
      </c>
      <c r="AB4480" s="49">
        <f t="shared" si="488"/>
        <v>0</v>
      </c>
      <c r="AC4480" s="60">
        <f t="shared" si="489"/>
        <v>0</v>
      </c>
    </row>
    <row r="4481" spans="1:29">
      <c r="A4481" s="83" t="str">
        <f t="shared" si="484"/>
        <v/>
      </c>
      <c r="B4481" s="83" t="str">
        <f t="shared" si="490"/>
        <v/>
      </c>
      <c r="U4481" s="83" t="str">
        <f t="shared" si="485"/>
        <v/>
      </c>
      <c r="V4481" s="83" t="str">
        <f t="shared" si="486"/>
        <v/>
      </c>
      <c r="AA4481" s="60">
        <f t="shared" si="487"/>
        <v>0</v>
      </c>
      <c r="AB4481" s="49">
        <f t="shared" si="488"/>
        <v>0</v>
      </c>
      <c r="AC4481" s="60">
        <f t="shared" si="489"/>
        <v>0</v>
      </c>
    </row>
    <row r="4482" spans="1:29">
      <c r="A4482" s="83" t="str">
        <f t="shared" si="484"/>
        <v/>
      </c>
      <c r="B4482" s="83" t="str">
        <f t="shared" si="490"/>
        <v/>
      </c>
      <c r="U4482" s="83" t="str">
        <f t="shared" si="485"/>
        <v/>
      </c>
      <c r="V4482" s="83" t="str">
        <f t="shared" si="486"/>
        <v/>
      </c>
      <c r="AA4482" s="60">
        <f t="shared" si="487"/>
        <v>0</v>
      </c>
      <c r="AB4482" s="49">
        <f t="shared" si="488"/>
        <v>0</v>
      </c>
      <c r="AC4482" s="60">
        <f t="shared" si="489"/>
        <v>0</v>
      </c>
    </row>
    <row r="4483" spans="1:29">
      <c r="A4483" s="83" t="str">
        <f t="shared" ref="A4483:A4546" si="491">IF(G4483&amp;Q4483&lt;&gt;"",U4483&amp;Q4483,"")</f>
        <v/>
      </c>
      <c r="B4483" s="83" t="str">
        <f t="shared" si="490"/>
        <v/>
      </c>
      <c r="U4483" s="83" t="str">
        <f t="shared" ref="U4483:U4546" si="492">IF(G4483&lt;&gt;"",IF(StyleSpaceSplit,IFERROR(IF(FIND(" ",G4483)&gt;=1,MID(G4483,1,FIND(" ",G4483)-1),G4483),G4483),G4483),"")</f>
        <v/>
      </c>
      <c r="V4483" s="83" t="str">
        <f t="shared" ref="V4483:V4546" si="493">IF(A4483&lt;&gt;"",IFERROR(IF(FIND(" ",G4483)&gt;=1,MID(G4483,FIND(" ",G4483)+1,LEN(G4483)),""),G4483),"")</f>
        <v/>
      </c>
      <c r="AA4483" s="60">
        <f t="shared" ref="AA4483:AA4546" si="494">IFERROR(VALUE(MID($C4483,1,2)),0)</f>
        <v>0</v>
      </c>
      <c r="AB4483" s="49">
        <f t="shared" ref="AB4483:AB4546" si="495">IFERROR(VALUE(MID($C4483,4,3)),0)</f>
        <v>0</v>
      </c>
      <c r="AC4483" s="60">
        <f t="shared" ref="AC4483:AC4546" si="496">VALUE(RIGHT("00"&amp;AA4483,2)&amp;RIGHT("000"&amp;AB4483,3))</f>
        <v>0</v>
      </c>
    </row>
    <row r="4484" spans="1:29">
      <c r="A4484" s="83" t="str">
        <f t="shared" si="491"/>
        <v/>
      </c>
      <c r="B4484" s="83" t="str">
        <f t="shared" si="490"/>
        <v/>
      </c>
      <c r="U4484" s="83" t="str">
        <f t="shared" si="492"/>
        <v/>
      </c>
      <c r="V4484" s="83" t="str">
        <f t="shared" si="493"/>
        <v/>
      </c>
      <c r="AA4484" s="60">
        <f t="shared" si="494"/>
        <v>0</v>
      </c>
      <c r="AB4484" s="49">
        <f t="shared" si="495"/>
        <v>0</v>
      </c>
      <c r="AC4484" s="60">
        <f t="shared" si="496"/>
        <v>0</v>
      </c>
    </row>
    <row r="4485" spans="1:29">
      <c r="A4485" s="83" t="str">
        <f t="shared" si="491"/>
        <v/>
      </c>
      <c r="B4485" s="83" t="str">
        <f t="shared" si="490"/>
        <v/>
      </c>
      <c r="U4485" s="83" t="str">
        <f t="shared" si="492"/>
        <v/>
      </c>
      <c r="V4485" s="83" t="str">
        <f t="shared" si="493"/>
        <v/>
      </c>
      <c r="AA4485" s="60">
        <f t="shared" si="494"/>
        <v>0</v>
      </c>
      <c r="AB4485" s="49">
        <f t="shared" si="495"/>
        <v>0</v>
      </c>
      <c r="AC4485" s="60">
        <f t="shared" si="496"/>
        <v>0</v>
      </c>
    </row>
    <row r="4486" spans="1:29">
      <c r="A4486" s="83" t="str">
        <f t="shared" si="491"/>
        <v/>
      </c>
      <c r="B4486" s="83" t="str">
        <f t="shared" si="490"/>
        <v/>
      </c>
      <c r="U4486" s="83" t="str">
        <f t="shared" si="492"/>
        <v/>
      </c>
      <c r="V4486" s="83" t="str">
        <f t="shared" si="493"/>
        <v/>
      </c>
      <c r="AA4486" s="60">
        <f t="shared" si="494"/>
        <v>0</v>
      </c>
      <c r="AB4486" s="49">
        <f t="shared" si="495"/>
        <v>0</v>
      </c>
      <c r="AC4486" s="60">
        <f t="shared" si="496"/>
        <v>0</v>
      </c>
    </row>
    <row r="4487" spans="1:29">
      <c r="A4487" s="83" t="str">
        <f t="shared" si="491"/>
        <v/>
      </c>
      <c r="B4487" s="83" t="str">
        <f t="shared" si="490"/>
        <v/>
      </c>
      <c r="U4487" s="83" t="str">
        <f t="shared" si="492"/>
        <v/>
      </c>
      <c r="V4487" s="83" t="str">
        <f t="shared" si="493"/>
        <v/>
      </c>
      <c r="AA4487" s="60">
        <f t="shared" si="494"/>
        <v>0</v>
      </c>
      <c r="AB4487" s="49">
        <f t="shared" si="495"/>
        <v>0</v>
      </c>
      <c r="AC4487" s="60">
        <f t="shared" si="496"/>
        <v>0</v>
      </c>
    </row>
    <row r="4488" spans="1:29">
      <c r="A4488" s="83" t="str">
        <f t="shared" si="491"/>
        <v/>
      </c>
      <c r="B4488" s="83" t="str">
        <f t="shared" si="490"/>
        <v/>
      </c>
      <c r="U4488" s="83" t="str">
        <f t="shared" si="492"/>
        <v/>
      </c>
      <c r="V4488" s="83" t="str">
        <f t="shared" si="493"/>
        <v/>
      </c>
      <c r="AA4488" s="60">
        <f t="shared" si="494"/>
        <v>0</v>
      </c>
      <c r="AB4488" s="49">
        <f t="shared" si="495"/>
        <v>0</v>
      </c>
      <c r="AC4488" s="60">
        <f t="shared" si="496"/>
        <v>0</v>
      </c>
    </row>
    <row r="4489" spans="1:29">
      <c r="A4489" s="83" t="str">
        <f t="shared" si="491"/>
        <v/>
      </c>
      <c r="B4489" s="83" t="str">
        <f t="shared" si="490"/>
        <v/>
      </c>
      <c r="U4489" s="83" t="str">
        <f t="shared" si="492"/>
        <v/>
      </c>
      <c r="V4489" s="83" t="str">
        <f t="shared" si="493"/>
        <v/>
      </c>
      <c r="AA4489" s="60">
        <f t="shared" si="494"/>
        <v>0</v>
      </c>
      <c r="AB4489" s="49">
        <f t="shared" si="495"/>
        <v>0</v>
      </c>
      <c r="AC4489" s="60">
        <f t="shared" si="496"/>
        <v>0</v>
      </c>
    </row>
    <row r="4490" spans="1:29">
      <c r="A4490" s="83" t="str">
        <f t="shared" si="491"/>
        <v/>
      </c>
      <c r="B4490" s="83" t="str">
        <f t="shared" si="490"/>
        <v/>
      </c>
      <c r="U4490" s="83" t="str">
        <f t="shared" si="492"/>
        <v/>
      </c>
      <c r="V4490" s="83" t="str">
        <f t="shared" si="493"/>
        <v/>
      </c>
      <c r="AA4490" s="60">
        <f t="shared" si="494"/>
        <v>0</v>
      </c>
      <c r="AB4490" s="49">
        <f t="shared" si="495"/>
        <v>0</v>
      </c>
      <c r="AC4490" s="60">
        <f t="shared" si="496"/>
        <v>0</v>
      </c>
    </row>
    <row r="4491" spans="1:29">
      <c r="A4491" s="83" t="str">
        <f t="shared" si="491"/>
        <v/>
      </c>
      <c r="B4491" s="83" t="str">
        <f t="shared" si="490"/>
        <v/>
      </c>
      <c r="U4491" s="83" t="str">
        <f t="shared" si="492"/>
        <v/>
      </c>
      <c r="V4491" s="83" t="str">
        <f t="shared" si="493"/>
        <v/>
      </c>
      <c r="AA4491" s="60">
        <f t="shared" si="494"/>
        <v>0</v>
      </c>
      <c r="AB4491" s="49">
        <f t="shared" si="495"/>
        <v>0</v>
      </c>
      <c r="AC4491" s="60">
        <f t="shared" si="496"/>
        <v>0</v>
      </c>
    </row>
    <row r="4492" spans="1:29">
      <c r="A4492" s="83" t="str">
        <f t="shared" si="491"/>
        <v/>
      </c>
      <c r="B4492" s="83" t="str">
        <f t="shared" si="490"/>
        <v/>
      </c>
      <c r="U4492" s="83" t="str">
        <f t="shared" si="492"/>
        <v/>
      </c>
      <c r="V4492" s="83" t="str">
        <f t="shared" si="493"/>
        <v/>
      </c>
      <c r="AA4492" s="60">
        <f t="shared" si="494"/>
        <v>0</v>
      </c>
      <c r="AB4492" s="49">
        <f t="shared" si="495"/>
        <v>0</v>
      </c>
      <c r="AC4492" s="60">
        <f t="shared" si="496"/>
        <v>0</v>
      </c>
    </row>
    <row r="4493" spans="1:29">
      <c r="A4493" s="83" t="str">
        <f t="shared" si="491"/>
        <v/>
      </c>
      <c r="B4493" s="83" t="str">
        <f t="shared" si="490"/>
        <v/>
      </c>
      <c r="U4493" s="83" t="str">
        <f t="shared" si="492"/>
        <v/>
      </c>
      <c r="V4493" s="83" t="str">
        <f t="shared" si="493"/>
        <v/>
      </c>
      <c r="AA4493" s="60">
        <f t="shared" si="494"/>
        <v>0</v>
      </c>
      <c r="AB4493" s="49">
        <f t="shared" si="495"/>
        <v>0</v>
      </c>
      <c r="AC4493" s="60">
        <f t="shared" si="496"/>
        <v>0</v>
      </c>
    </row>
    <row r="4494" spans="1:29">
      <c r="A4494" s="83" t="str">
        <f t="shared" si="491"/>
        <v/>
      </c>
      <c r="B4494" s="83" t="str">
        <f t="shared" si="490"/>
        <v/>
      </c>
      <c r="U4494" s="83" t="str">
        <f t="shared" si="492"/>
        <v/>
      </c>
      <c r="V4494" s="83" t="str">
        <f t="shared" si="493"/>
        <v/>
      </c>
      <c r="AA4494" s="60">
        <f t="shared" si="494"/>
        <v>0</v>
      </c>
      <c r="AB4494" s="49">
        <f t="shared" si="495"/>
        <v>0</v>
      </c>
      <c r="AC4494" s="60">
        <f t="shared" si="496"/>
        <v>0</v>
      </c>
    </row>
    <row r="4495" spans="1:29">
      <c r="A4495" s="83" t="str">
        <f t="shared" si="491"/>
        <v/>
      </c>
      <c r="B4495" s="83" t="str">
        <f t="shared" si="490"/>
        <v/>
      </c>
      <c r="U4495" s="83" t="str">
        <f t="shared" si="492"/>
        <v/>
      </c>
      <c r="V4495" s="83" t="str">
        <f t="shared" si="493"/>
        <v/>
      </c>
      <c r="AA4495" s="60">
        <f t="shared" si="494"/>
        <v>0</v>
      </c>
      <c r="AB4495" s="49">
        <f t="shared" si="495"/>
        <v>0</v>
      </c>
      <c r="AC4495" s="60">
        <f t="shared" si="496"/>
        <v>0</v>
      </c>
    </row>
    <row r="4496" spans="1:29">
      <c r="A4496" s="83" t="str">
        <f t="shared" si="491"/>
        <v/>
      </c>
      <c r="B4496" s="83" t="str">
        <f t="shared" si="490"/>
        <v/>
      </c>
      <c r="U4496" s="83" t="str">
        <f t="shared" si="492"/>
        <v/>
      </c>
      <c r="V4496" s="83" t="str">
        <f t="shared" si="493"/>
        <v/>
      </c>
      <c r="AA4496" s="60">
        <f t="shared" si="494"/>
        <v>0</v>
      </c>
      <c r="AB4496" s="49">
        <f t="shared" si="495"/>
        <v>0</v>
      </c>
      <c r="AC4496" s="60">
        <f t="shared" si="496"/>
        <v>0</v>
      </c>
    </row>
    <row r="4497" spans="1:29">
      <c r="A4497" s="83" t="str">
        <f t="shared" si="491"/>
        <v/>
      </c>
      <c r="B4497" s="83" t="str">
        <f t="shared" si="490"/>
        <v/>
      </c>
      <c r="U4497" s="83" t="str">
        <f t="shared" si="492"/>
        <v/>
      </c>
      <c r="V4497" s="83" t="str">
        <f t="shared" si="493"/>
        <v/>
      </c>
      <c r="AA4497" s="60">
        <f t="shared" si="494"/>
        <v>0</v>
      </c>
      <c r="AB4497" s="49">
        <f t="shared" si="495"/>
        <v>0</v>
      </c>
      <c r="AC4497" s="60">
        <f t="shared" si="496"/>
        <v>0</v>
      </c>
    </row>
    <row r="4498" spans="1:29">
      <c r="A4498" s="83" t="str">
        <f t="shared" si="491"/>
        <v/>
      </c>
      <c r="B4498" s="83" t="str">
        <f t="shared" si="490"/>
        <v/>
      </c>
      <c r="U4498" s="83" t="str">
        <f t="shared" si="492"/>
        <v/>
      </c>
      <c r="V4498" s="83" t="str">
        <f t="shared" si="493"/>
        <v/>
      </c>
      <c r="AA4498" s="60">
        <f t="shared" si="494"/>
        <v>0</v>
      </c>
      <c r="AB4498" s="49">
        <f t="shared" si="495"/>
        <v>0</v>
      </c>
      <c r="AC4498" s="60">
        <f t="shared" si="496"/>
        <v>0</v>
      </c>
    </row>
    <row r="4499" spans="1:29">
      <c r="A4499" s="83" t="str">
        <f t="shared" si="491"/>
        <v/>
      </c>
      <c r="B4499" s="83" t="str">
        <f t="shared" si="490"/>
        <v/>
      </c>
      <c r="U4499" s="83" t="str">
        <f t="shared" si="492"/>
        <v/>
      </c>
      <c r="V4499" s="83" t="str">
        <f t="shared" si="493"/>
        <v/>
      </c>
      <c r="AA4499" s="60">
        <f t="shared" si="494"/>
        <v>0</v>
      </c>
      <c r="AB4499" s="49">
        <f t="shared" si="495"/>
        <v>0</v>
      </c>
      <c r="AC4499" s="60">
        <f t="shared" si="496"/>
        <v>0</v>
      </c>
    </row>
    <row r="4500" spans="1:29">
      <c r="A4500" s="83" t="str">
        <f t="shared" si="491"/>
        <v/>
      </c>
      <c r="B4500" s="83" t="str">
        <f t="shared" si="490"/>
        <v/>
      </c>
      <c r="U4500" s="83" t="str">
        <f t="shared" si="492"/>
        <v/>
      </c>
      <c r="V4500" s="83" t="str">
        <f t="shared" si="493"/>
        <v/>
      </c>
      <c r="AA4500" s="60">
        <f t="shared" si="494"/>
        <v>0</v>
      </c>
      <c r="AB4500" s="49">
        <f t="shared" si="495"/>
        <v>0</v>
      </c>
      <c r="AC4500" s="60">
        <f t="shared" si="496"/>
        <v>0</v>
      </c>
    </row>
    <row r="4501" spans="1:29">
      <c r="A4501" s="83" t="str">
        <f t="shared" si="491"/>
        <v/>
      </c>
      <c r="B4501" s="83" t="str">
        <f t="shared" si="490"/>
        <v/>
      </c>
      <c r="U4501" s="83" t="str">
        <f t="shared" si="492"/>
        <v/>
      </c>
      <c r="V4501" s="83" t="str">
        <f t="shared" si="493"/>
        <v/>
      </c>
      <c r="AA4501" s="60">
        <f t="shared" si="494"/>
        <v>0</v>
      </c>
      <c r="AB4501" s="49">
        <f t="shared" si="495"/>
        <v>0</v>
      </c>
      <c r="AC4501" s="60">
        <f t="shared" si="496"/>
        <v>0</v>
      </c>
    </row>
    <row r="4502" spans="1:29">
      <c r="A4502" s="83" t="str">
        <f t="shared" si="491"/>
        <v/>
      </c>
      <c r="B4502" s="83" t="str">
        <f t="shared" si="490"/>
        <v/>
      </c>
      <c r="U4502" s="83" t="str">
        <f t="shared" si="492"/>
        <v/>
      </c>
      <c r="V4502" s="83" t="str">
        <f t="shared" si="493"/>
        <v/>
      </c>
      <c r="AA4502" s="60">
        <f t="shared" si="494"/>
        <v>0</v>
      </c>
      <c r="AB4502" s="49">
        <f t="shared" si="495"/>
        <v>0</v>
      </c>
      <c r="AC4502" s="60">
        <f t="shared" si="496"/>
        <v>0</v>
      </c>
    </row>
    <row r="4503" spans="1:29">
      <c r="A4503" s="83" t="str">
        <f t="shared" si="491"/>
        <v/>
      </c>
      <c r="B4503" s="83" t="str">
        <f t="shared" si="490"/>
        <v/>
      </c>
      <c r="U4503" s="83" t="str">
        <f t="shared" si="492"/>
        <v/>
      </c>
      <c r="V4503" s="83" t="str">
        <f t="shared" si="493"/>
        <v/>
      </c>
      <c r="AA4503" s="60">
        <f t="shared" si="494"/>
        <v>0</v>
      </c>
      <c r="AB4503" s="49">
        <f t="shared" si="495"/>
        <v>0</v>
      </c>
      <c r="AC4503" s="60">
        <f t="shared" si="496"/>
        <v>0</v>
      </c>
    </row>
    <row r="4504" spans="1:29">
      <c r="A4504" s="83" t="str">
        <f t="shared" si="491"/>
        <v/>
      </c>
      <c r="B4504" s="83" t="str">
        <f t="shared" si="490"/>
        <v/>
      </c>
      <c r="U4504" s="83" t="str">
        <f t="shared" si="492"/>
        <v/>
      </c>
      <c r="V4504" s="83" t="str">
        <f t="shared" si="493"/>
        <v/>
      </c>
      <c r="AA4504" s="60">
        <f t="shared" si="494"/>
        <v>0</v>
      </c>
      <c r="AB4504" s="49">
        <f t="shared" si="495"/>
        <v>0</v>
      </c>
      <c r="AC4504" s="60">
        <f t="shared" si="496"/>
        <v>0</v>
      </c>
    </row>
    <row r="4505" spans="1:29">
      <c r="A4505" s="83" t="str">
        <f t="shared" si="491"/>
        <v/>
      </c>
      <c r="B4505" s="83" t="str">
        <f t="shared" si="490"/>
        <v/>
      </c>
      <c r="U4505" s="83" t="str">
        <f t="shared" si="492"/>
        <v/>
      </c>
      <c r="V4505" s="83" t="str">
        <f t="shared" si="493"/>
        <v/>
      </c>
      <c r="AA4505" s="60">
        <f t="shared" si="494"/>
        <v>0</v>
      </c>
      <c r="AB4505" s="49">
        <f t="shared" si="495"/>
        <v>0</v>
      </c>
      <c r="AC4505" s="60">
        <f t="shared" si="496"/>
        <v>0</v>
      </c>
    </row>
    <row r="4506" spans="1:29">
      <c r="A4506" s="83" t="str">
        <f t="shared" si="491"/>
        <v/>
      </c>
      <c r="B4506" s="83" t="str">
        <f t="shared" si="490"/>
        <v/>
      </c>
      <c r="U4506" s="83" t="str">
        <f t="shared" si="492"/>
        <v/>
      </c>
      <c r="V4506" s="83" t="str">
        <f t="shared" si="493"/>
        <v/>
      </c>
      <c r="AA4506" s="60">
        <f t="shared" si="494"/>
        <v>0</v>
      </c>
      <c r="AB4506" s="49">
        <f t="shared" si="495"/>
        <v>0</v>
      </c>
      <c r="AC4506" s="60">
        <f t="shared" si="496"/>
        <v>0</v>
      </c>
    </row>
    <row r="4507" spans="1:29">
      <c r="A4507" s="83" t="str">
        <f t="shared" si="491"/>
        <v/>
      </c>
      <c r="B4507" s="83" t="str">
        <f t="shared" si="490"/>
        <v/>
      </c>
      <c r="U4507" s="83" t="str">
        <f t="shared" si="492"/>
        <v/>
      </c>
      <c r="V4507" s="83" t="str">
        <f t="shared" si="493"/>
        <v/>
      </c>
      <c r="AA4507" s="60">
        <f t="shared" si="494"/>
        <v>0</v>
      </c>
      <c r="AB4507" s="49">
        <f t="shared" si="495"/>
        <v>0</v>
      </c>
      <c r="AC4507" s="60">
        <f t="shared" si="496"/>
        <v>0</v>
      </c>
    </row>
    <row r="4508" spans="1:29">
      <c r="A4508" s="83" t="str">
        <f t="shared" si="491"/>
        <v/>
      </c>
      <c r="B4508" s="83" t="str">
        <f t="shared" si="490"/>
        <v/>
      </c>
      <c r="U4508" s="83" t="str">
        <f t="shared" si="492"/>
        <v/>
      </c>
      <c r="V4508" s="83" t="str">
        <f t="shared" si="493"/>
        <v/>
      </c>
      <c r="AA4508" s="60">
        <f t="shared" si="494"/>
        <v>0</v>
      </c>
      <c r="AB4508" s="49">
        <f t="shared" si="495"/>
        <v>0</v>
      </c>
      <c r="AC4508" s="60">
        <f t="shared" si="496"/>
        <v>0</v>
      </c>
    </row>
    <row r="4509" spans="1:29">
      <c r="A4509" s="83" t="str">
        <f t="shared" si="491"/>
        <v/>
      </c>
      <c r="B4509" s="83" t="str">
        <f t="shared" si="490"/>
        <v/>
      </c>
      <c r="U4509" s="83" t="str">
        <f t="shared" si="492"/>
        <v/>
      </c>
      <c r="V4509" s="83" t="str">
        <f t="shared" si="493"/>
        <v/>
      </c>
      <c r="AA4509" s="60">
        <f t="shared" si="494"/>
        <v>0</v>
      </c>
      <c r="AB4509" s="49">
        <f t="shared" si="495"/>
        <v>0</v>
      </c>
      <c r="AC4509" s="60">
        <f t="shared" si="496"/>
        <v>0</v>
      </c>
    </row>
    <row r="4510" spans="1:29">
      <c r="A4510" s="83" t="str">
        <f t="shared" si="491"/>
        <v/>
      </c>
      <c r="B4510" s="83" t="str">
        <f t="shared" si="490"/>
        <v/>
      </c>
      <c r="U4510" s="83" t="str">
        <f t="shared" si="492"/>
        <v/>
      </c>
      <c r="V4510" s="83" t="str">
        <f t="shared" si="493"/>
        <v/>
      </c>
      <c r="AA4510" s="60">
        <f t="shared" si="494"/>
        <v>0</v>
      </c>
      <c r="AB4510" s="49">
        <f t="shared" si="495"/>
        <v>0</v>
      </c>
      <c r="AC4510" s="60">
        <f t="shared" si="496"/>
        <v>0</v>
      </c>
    </row>
    <row r="4511" spans="1:29">
      <c r="A4511" s="83" t="str">
        <f t="shared" si="491"/>
        <v/>
      </c>
      <c r="B4511" s="83" t="str">
        <f t="shared" si="490"/>
        <v/>
      </c>
      <c r="U4511" s="83" t="str">
        <f t="shared" si="492"/>
        <v/>
      </c>
      <c r="V4511" s="83" t="str">
        <f t="shared" si="493"/>
        <v/>
      </c>
      <c r="AA4511" s="60">
        <f t="shared" si="494"/>
        <v>0</v>
      </c>
      <c r="AB4511" s="49">
        <f t="shared" si="495"/>
        <v>0</v>
      </c>
      <c r="AC4511" s="60">
        <f t="shared" si="496"/>
        <v>0</v>
      </c>
    </row>
    <row r="4512" spans="1:29">
      <c r="A4512" s="83" t="str">
        <f t="shared" si="491"/>
        <v/>
      </c>
      <c r="B4512" s="83" t="str">
        <f t="shared" si="490"/>
        <v/>
      </c>
      <c r="U4512" s="83" t="str">
        <f t="shared" si="492"/>
        <v/>
      </c>
      <c r="V4512" s="83" t="str">
        <f t="shared" si="493"/>
        <v/>
      </c>
      <c r="AA4512" s="60">
        <f t="shared" si="494"/>
        <v>0</v>
      </c>
      <c r="AB4512" s="49">
        <f t="shared" si="495"/>
        <v>0</v>
      </c>
      <c r="AC4512" s="60">
        <f t="shared" si="496"/>
        <v>0</v>
      </c>
    </row>
    <row r="4513" spans="1:29">
      <c r="A4513" s="83" t="str">
        <f t="shared" si="491"/>
        <v/>
      </c>
      <c r="B4513" s="83" t="str">
        <f t="shared" ref="B4513:B4576" si="497">IF(C4513&lt;&gt;"",LEFT(C4513,9),"")</f>
        <v/>
      </c>
      <c r="U4513" s="83" t="str">
        <f t="shared" si="492"/>
        <v/>
      </c>
      <c r="V4513" s="83" t="str">
        <f t="shared" si="493"/>
        <v/>
      </c>
      <c r="AA4513" s="60">
        <f t="shared" si="494"/>
        <v>0</v>
      </c>
      <c r="AB4513" s="49">
        <f t="shared" si="495"/>
        <v>0</v>
      </c>
      <c r="AC4513" s="60">
        <f t="shared" si="496"/>
        <v>0</v>
      </c>
    </row>
    <row r="4514" spans="1:29">
      <c r="A4514" s="83" t="str">
        <f t="shared" si="491"/>
        <v/>
      </c>
      <c r="B4514" s="83" t="str">
        <f t="shared" si="497"/>
        <v/>
      </c>
      <c r="U4514" s="83" t="str">
        <f t="shared" si="492"/>
        <v/>
      </c>
      <c r="V4514" s="83" t="str">
        <f t="shared" si="493"/>
        <v/>
      </c>
      <c r="AA4514" s="60">
        <f t="shared" si="494"/>
        <v>0</v>
      </c>
      <c r="AB4514" s="49">
        <f t="shared" si="495"/>
        <v>0</v>
      </c>
      <c r="AC4514" s="60">
        <f t="shared" si="496"/>
        <v>0</v>
      </c>
    </row>
    <row r="4515" spans="1:29">
      <c r="A4515" s="83" t="str">
        <f t="shared" si="491"/>
        <v/>
      </c>
      <c r="B4515" s="83" t="str">
        <f t="shared" si="497"/>
        <v/>
      </c>
      <c r="U4515" s="83" t="str">
        <f t="shared" si="492"/>
        <v/>
      </c>
      <c r="V4515" s="83" t="str">
        <f t="shared" si="493"/>
        <v/>
      </c>
      <c r="AA4515" s="60">
        <f t="shared" si="494"/>
        <v>0</v>
      </c>
      <c r="AB4515" s="49">
        <f t="shared" si="495"/>
        <v>0</v>
      </c>
      <c r="AC4515" s="60">
        <f t="shared" si="496"/>
        <v>0</v>
      </c>
    </row>
    <row r="4516" spans="1:29">
      <c r="A4516" s="83" t="str">
        <f t="shared" si="491"/>
        <v/>
      </c>
      <c r="B4516" s="83" t="str">
        <f t="shared" si="497"/>
        <v/>
      </c>
      <c r="U4516" s="83" t="str">
        <f t="shared" si="492"/>
        <v/>
      </c>
      <c r="V4516" s="83" t="str">
        <f t="shared" si="493"/>
        <v/>
      </c>
      <c r="AA4516" s="60">
        <f t="shared" si="494"/>
        <v>0</v>
      </c>
      <c r="AB4516" s="49">
        <f t="shared" si="495"/>
        <v>0</v>
      </c>
      <c r="AC4516" s="60">
        <f t="shared" si="496"/>
        <v>0</v>
      </c>
    </row>
    <row r="4517" spans="1:29">
      <c r="A4517" s="83" t="str">
        <f t="shared" si="491"/>
        <v/>
      </c>
      <c r="B4517" s="83" t="str">
        <f t="shared" si="497"/>
        <v/>
      </c>
      <c r="U4517" s="83" t="str">
        <f t="shared" si="492"/>
        <v/>
      </c>
      <c r="V4517" s="83" t="str">
        <f t="shared" si="493"/>
        <v/>
      </c>
      <c r="AA4517" s="60">
        <f t="shared" si="494"/>
        <v>0</v>
      </c>
      <c r="AB4517" s="49">
        <f t="shared" si="495"/>
        <v>0</v>
      </c>
      <c r="AC4517" s="60">
        <f t="shared" si="496"/>
        <v>0</v>
      </c>
    </row>
    <row r="4518" spans="1:29">
      <c r="A4518" s="83" t="str">
        <f t="shared" si="491"/>
        <v/>
      </c>
      <c r="B4518" s="83" t="str">
        <f t="shared" si="497"/>
        <v/>
      </c>
      <c r="U4518" s="83" t="str">
        <f t="shared" si="492"/>
        <v/>
      </c>
      <c r="V4518" s="83" t="str">
        <f t="shared" si="493"/>
        <v/>
      </c>
      <c r="AA4518" s="60">
        <f t="shared" si="494"/>
        <v>0</v>
      </c>
      <c r="AB4518" s="49">
        <f t="shared" si="495"/>
        <v>0</v>
      </c>
      <c r="AC4518" s="60">
        <f t="shared" si="496"/>
        <v>0</v>
      </c>
    </row>
    <row r="4519" spans="1:29">
      <c r="A4519" s="83" t="str">
        <f t="shared" si="491"/>
        <v/>
      </c>
      <c r="B4519" s="83" t="str">
        <f t="shared" si="497"/>
        <v/>
      </c>
      <c r="U4519" s="83" t="str">
        <f t="shared" si="492"/>
        <v/>
      </c>
      <c r="V4519" s="83" t="str">
        <f t="shared" si="493"/>
        <v/>
      </c>
      <c r="AA4519" s="60">
        <f t="shared" si="494"/>
        <v>0</v>
      </c>
      <c r="AB4519" s="49">
        <f t="shared" si="495"/>
        <v>0</v>
      </c>
      <c r="AC4519" s="60">
        <f t="shared" si="496"/>
        <v>0</v>
      </c>
    </row>
    <row r="4520" spans="1:29">
      <c r="A4520" s="83" t="str">
        <f t="shared" si="491"/>
        <v/>
      </c>
      <c r="B4520" s="83" t="str">
        <f t="shared" si="497"/>
        <v/>
      </c>
      <c r="U4520" s="83" t="str">
        <f t="shared" si="492"/>
        <v/>
      </c>
      <c r="V4520" s="83" t="str">
        <f t="shared" si="493"/>
        <v/>
      </c>
      <c r="AA4520" s="60">
        <f t="shared" si="494"/>
        <v>0</v>
      </c>
      <c r="AB4520" s="49">
        <f t="shared" si="495"/>
        <v>0</v>
      </c>
      <c r="AC4520" s="60">
        <f t="shared" si="496"/>
        <v>0</v>
      </c>
    </row>
    <row r="4521" spans="1:29">
      <c r="A4521" s="83" t="str">
        <f t="shared" si="491"/>
        <v/>
      </c>
      <c r="B4521" s="83" t="str">
        <f t="shared" si="497"/>
        <v/>
      </c>
      <c r="U4521" s="83" t="str">
        <f t="shared" si="492"/>
        <v/>
      </c>
      <c r="V4521" s="83" t="str">
        <f t="shared" si="493"/>
        <v/>
      </c>
      <c r="AA4521" s="60">
        <f t="shared" si="494"/>
        <v>0</v>
      </c>
      <c r="AB4521" s="49">
        <f t="shared" si="495"/>
        <v>0</v>
      </c>
      <c r="AC4521" s="60">
        <f t="shared" si="496"/>
        <v>0</v>
      </c>
    </row>
    <row r="4522" spans="1:29">
      <c r="A4522" s="83" t="str">
        <f t="shared" si="491"/>
        <v/>
      </c>
      <c r="B4522" s="83" t="str">
        <f t="shared" si="497"/>
        <v/>
      </c>
      <c r="U4522" s="83" t="str">
        <f t="shared" si="492"/>
        <v/>
      </c>
      <c r="V4522" s="83" t="str">
        <f t="shared" si="493"/>
        <v/>
      </c>
      <c r="AA4522" s="60">
        <f t="shared" si="494"/>
        <v>0</v>
      </c>
      <c r="AB4522" s="49">
        <f t="shared" si="495"/>
        <v>0</v>
      </c>
      <c r="AC4522" s="60">
        <f t="shared" si="496"/>
        <v>0</v>
      </c>
    </row>
    <row r="4523" spans="1:29">
      <c r="A4523" s="83" t="str">
        <f t="shared" si="491"/>
        <v/>
      </c>
      <c r="B4523" s="83" t="str">
        <f t="shared" si="497"/>
        <v/>
      </c>
      <c r="U4523" s="83" t="str">
        <f t="shared" si="492"/>
        <v/>
      </c>
      <c r="V4523" s="83" t="str">
        <f t="shared" si="493"/>
        <v/>
      </c>
      <c r="AA4523" s="60">
        <f t="shared" si="494"/>
        <v>0</v>
      </c>
      <c r="AB4523" s="49">
        <f t="shared" si="495"/>
        <v>0</v>
      </c>
      <c r="AC4523" s="60">
        <f t="shared" si="496"/>
        <v>0</v>
      </c>
    </row>
    <row r="4524" spans="1:29">
      <c r="A4524" s="83" t="str">
        <f t="shared" si="491"/>
        <v/>
      </c>
      <c r="B4524" s="83" t="str">
        <f t="shared" si="497"/>
        <v/>
      </c>
      <c r="U4524" s="83" t="str">
        <f t="shared" si="492"/>
        <v/>
      </c>
      <c r="V4524" s="83" t="str">
        <f t="shared" si="493"/>
        <v/>
      </c>
      <c r="AA4524" s="60">
        <f t="shared" si="494"/>
        <v>0</v>
      </c>
      <c r="AB4524" s="49">
        <f t="shared" si="495"/>
        <v>0</v>
      </c>
      <c r="AC4524" s="60">
        <f t="shared" si="496"/>
        <v>0</v>
      </c>
    </row>
    <row r="4525" spans="1:29">
      <c r="A4525" s="83" t="str">
        <f t="shared" si="491"/>
        <v/>
      </c>
      <c r="B4525" s="83" t="str">
        <f t="shared" si="497"/>
        <v/>
      </c>
      <c r="U4525" s="83" t="str">
        <f t="shared" si="492"/>
        <v/>
      </c>
      <c r="V4525" s="83" t="str">
        <f t="shared" si="493"/>
        <v/>
      </c>
      <c r="AA4525" s="60">
        <f t="shared" si="494"/>
        <v>0</v>
      </c>
      <c r="AB4525" s="49">
        <f t="shared" si="495"/>
        <v>0</v>
      </c>
      <c r="AC4525" s="60">
        <f t="shared" si="496"/>
        <v>0</v>
      </c>
    </row>
    <row r="4526" spans="1:29">
      <c r="A4526" s="83" t="str">
        <f t="shared" si="491"/>
        <v/>
      </c>
      <c r="B4526" s="83" t="str">
        <f t="shared" si="497"/>
        <v/>
      </c>
      <c r="U4526" s="83" t="str">
        <f t="shared" si="492"/>
        <v/>
      </c>
      <c r="V4526" s="83" t="str">
        <f t="shared" si="493"/>
        <v/>
      </c>
      <c r="AA4526" s="60">
        <f t="shared" si="494"/>
        <v>0</v>
      </c>
      <c r="AB4526" s="49">
        <f t="shared" si="495"/>
        <v>0</v>
      </c>
      <c r="AC4526" s="60">
        <f t="shared" si="496"/>
        <v>0</v>
      </c>
    </row>
    <row r="4527" spans="1:29">
      <c r="A4527" s="83" t="str">
        <f t="shared" si="491"/>
        <v/>
      </c>
      <c r="B4527" s="83" t="str">
        <f t="shared" si="497"/>
        <v/>
      </c>
      <c r="U4527" s="83" t="str">
        <f t="shared" si="492"/>
        <v/>
      </c>
      <c r="V4527" s="83" t="str">
        <f t="shared" si="493"/>
        <v/>
      </c>
      <c r="AA4527" s="60">
        <f t="shared" si="494"/>
        <v>0</v>
      </c>
      <c r="AB4527" s="49">
        <f t="shared" si="495"/>
        <v>0</v>
      </c>
      <c r="AC4527" s="60">
        <f t="shared" si="496"/>
        <v>0</v>
      </c>
    </row>
    <row r="4528" spans="1:29">
      <c r="A4528" s="83" t="str">
        <f t="shared" si="491"/>
        <v/>
      </c>
      <c r="B4528" s="83" t="str">
        <f t="shared" si="497"/>
        <v/>
      </c>
      <c r="U4528" s="83" t="str">
        <f t="shared" si="492"/>
        <v/>
      </c>
      <c r="V4528" s="83" t="str">
        <f t="shared" si="493"/>
        <v/>
      </c>
      <c r="AA4528" s="60">
        <f t="shared" si="494"/>
        <v>0</v>
      </c>
      <c r="AB4528" s="49">
        <f t="shared" si="495"/>
        <v>0</v>
      </c>
      <c r="AC4528" s="60">
        <f t="shared" si="496"/>
        <v>0</v>
      </c>
    </row>
    <row r="4529" spans="1:29">
      <c r="A4529" s="83" t="str">
        <f t="shared" si="491"/>
        <v/>
      </c>
      <c r="B4529" s="83" t="str">
        <f t="shared" si="497"/>
        <v/>
      </c>
      <c r="U4529" s="83" t="str">
        <f t="shared" si="492"/>
        <v/>
      </c>
      <c r="V4529" s="83" t="str">
        <f t="shared" si="493"/>
        <v/>
      </c>
      <c r="AA4529" s="60">
        <f t="shared" si="494"/>
        <v>0</v>
      </c>
      <c r="AB4529" s="49">
        <f t="shared" si="495"/>
        <v>0</v>
      </c>
      <c r="AC4529" s="60">
        <f t="shared" si="496"/>
        <v>0</v>
      </c>
    </row>
    <row r="4530" spans="1:29">
      <c r="A4530" s="83" t="str">
        <f t="shared" si="491"/>
        <v/>
      </c>
      <c r="B4530" s="83" t="str">
        <f t="shared" si="497"/>
        <v/>
      </c>
      <c r="U4530" s="83" t="str">
        <f t="shared" si="492"/>
        <v/>
      </c>
      <c r="V4530" s="83" t="str">
        <f t="shared" si="493"/>
        <v/>
      </c>
      <c r="AA4530" s="60">
        <f t="shared" si="494"/>
        <v>0</v>
      </c>
      <c r="AB4530" s="49">
        <f t="shared" si="495"/>
        <v>0</v>
      </c>
      <c r="AC4530" s="60">
        <f t="shared" si="496"/>
        <v>0</v>
      </c>
    </row>
    <row r="4531" spans="1:29">
      <c r="A4531" s="83" t="str">
        <f t="shared" si="491"/>
        <v/>
      </c>
      <c r="B4531" s="83" t="str">
        <f t="shared" si="497"/>
        <v/>
      </c>
      <c r="U4531" s="83" t="str">
        <f t="shared" si="492"/>
        <v/>
      </c>
      <c r="V4531" s="83" t="str">
        <f t="shared" si="493"/>
        <v/>
      </c>
      <c r="AA4531" s="60">
        <f t="shared" si="494"/>
        <v>0</v>
      </c>
      <c r="AB4531" s="49">
        <f t="shared" si="495"/>
        <v>0</v>
      </c>
      <c r="AC4531" s="60">
        <f t="shared" si="496"/>
        <v>0</v>
      </c>
    </row>
    <row r="4532" spans="1:29">
      <c r="A4532" s="83" t="str">
        <f t="shared" si="491"/>
        <v/>
      </c>
      <c r="B4532" s="83" t="str">
        <f t="shared" si="497"/>
        <v/>
      </c>
      <c r="U4532" s="83" t="str">
        <f t="shared" si="492"/>
        <v/>
      </c>
      <c r="V4532" s="83" t="str">
        <f t="shared" si="493"/>
        <v/>
      </c>
      <c r="AA4532" s="60">
        <f t="shared" si="494"/>
        <v>0</v>
      </c>
      <c r="AB4532" s="49">
        <f t="shared" si="495"/>
        <v>0</v>
      </c>
      <c r="AC4532" s="60">
        <f t="shared" si="496"/>
        <v>0</v>
      </c>
    </row>
    <row r="4533" spans="1:29">
      <c r="A4533" s="83" t="str">
        <f t="shared" si="491"/>
        <v/>
      </c>
      <c r="B4533" s="83" t="str">
        <f t="shared" si="497"/>
        <v/>
      </c>
      <c r="U4533" s="83" t="str">
        <f t="shared" si="492"/>
        <v/>
      </c>
      <c r="V4533" s="83" t="str">
        <f t="shared" si="493"/>
        <v/>
      </c>
      <c r="AA4533" s="60">
        <f t="shared" si="494"/>
        <v>0</v>
      </c>
      <c r="AB4533" s="49">
        <f t="shared" si="495"/>
        <v>0</v>
      </c>
      <c r="AC4533" s="60">
        <f t="shared" si="496"/>
        <v>0</v>
      </c>
    </row>
    <row r="4534" spans="1:29">
      <c r="A4534" s="83" t="str">
        <f t="shared" si="491"/>
        <v/>
      </c>
      <c r="B4534" s="83" t="str">
        <f t="shared" si="497"/>
        <v/>
      </c>
      <c r="U4534" s="83" t="str">
        <f t="shared" si="492"/>
        <v/>
      </c>
      <c r="V4534" s="83" t="str">
        <f t="shared" si="493"/>
        <v/>
      </c>
      <c r="AA4534" s="60">
        <f t="shared" si="494"/>
        <v>0</v>
      </c>
      <c r="AB4534" s="49">
        <f t="shared" si="495"/>
        <v>0</v>
      </c>
      <c r="AC4534" s="60">
        <f t="shared" si="496"/>
        <v>0</v>
      </c>
    </row>
    <row r="4535" spans="1:29">
      <c r="A4535" s="83" t="str">
        <f t="shared" si="491"/>
        <v/>
      </c>
      <c r="B4535" s="83" t="str">
        <f t="shared" si="497"/>
        <v/>
      </c>
      <c r="U4535" s="83" t="str">
        <f t="shared" si="492"/>
        <v/>
      </c>
      <c r="V4535" s="83" t="str">
        <f t="shared" si="493"/>
        <v/>
      </c>
      <c r="AA4535" s="60">
        <f t="shared" si="494"/>
        <v>0</v>
      </c>
      <c r="AB4535" s="49">
        <f t="shared" si="495"/>
        <v>0</v>
      </c>
      <c r="AC4535" s="60">
        <f t="shared" si="496"/>
        <v>0</v>
      </c>
    </row>
    <row r="4536" spans="1:29">
      <c r="A4536" s="83" t="str">
        <f t="shared" si="491"/>
        <v/>
      </c>
      <c r="B4536" s="83" t="str">
        <f t="shared" si="497"/>
        <v/>
      </c>
      <c r="U4536" s="83" t="str">
        <f t="shared" si="492"/>
        <v/>
      </c>
      <c r="V4536" s="83" t="str">
        <f t="shared" si="493"/>
        <v/>
      </c>
      <c r="AA4536" s="60">
        <f t="shared" si="494"/>
        <v>0</v>
      </c>
      <c r="AB4536" s="49">
        <f t="shared" si="495"/>
        <v>0</v>
      </c>
      <c r="AC4536" s="60">
        <f t="shared" si="496"/>
        <v>0</v>
      </c>
    </row>
    <row r="4537" spans="1:29">
      <c r="A4537" s="83" t="str">
        <f t="shared" si="491"/>
        <v/>
      </c>
      <c r="B4537" s="83" t="str">
        <f t="shared" si="497"/>
        <v/>
      </c>
      <c r="U4537" s="83" t="str">
        <f t="shared" si="492"/>
        <v/>
      </c>
      <c r="V4537" s="83" t="str">
        <f t="shared" si="493"/>
        <v/>
      </c>
      <c r="AA4537" s="60">
        <f t="shared" si="494"/>
        <v>0</v>
      </c>
      <c r="AB4537" s="49">
        <f t="shared" si="495"/>
        <v>0</v>
      </c>
      <c r="AC4537" s="60">
        <f t="shared" si="496"/>
        <v>0</v>
      </c>
    </row>
    <row r="4538" spans="1:29">
      <c r="A4538" s="83" t="str">
        <f t="shared" si="491"/>
        <v/>
      </c>
      <c r="B4538" s="83" t="str">
        <f t="shared" si="497"/>
        <v/>
      </c>
      <c r="U4538" s="83" t="str">
        <f t="shared" si="492"/>
        <v/>
      </c>
      <c r="V4538" s="83" t="str">
        <f t="shared" si="493"/>
        <v/>
      </c>
      <c r="AA4538" s="60">
        <f t="shared" si="494"/>
        <v>0</v>
      </c>
      <c r="AB4538" s="49">
        <f t="shared" si="495"/>
        <v>0</v>
      </c>
      <c r="AC4538" s="60">
        <f t="shared" si="496"/>
        <v>0</v>
      </c>
    </row>
    <row r="4539" spans="1:29">
      <c r="A4539" s="83" t="str">
        <f t="shared" si="491"/>
        <v/>
      </c>
      <c r="B4539" s="83" t="str">
        <f t="shared" si="497"/>
        <v/>
      </c>
      <c r="U4539" s="83" t="str">
        <f t="shared" si="492"/>
        <v/>
      </c>
      <c r="V4539" s="83" t="str">
        <f t="shared" si="493"/>
        <v/>
      </c>
      <c r="AA4539" s="60">
        <f t="shared" si="494"/>
        <v>0</v>
      </c>
      <c r="AB4539" s="49">
        <f t="shared" si="495"/>
        <v>0</v>
      </c>
      <c r="AC4539" s="60">
        <f t="shared" si="496"/>
        <v>0</v>
      </c>
    </row>
    <row r="4540" spans="1:29">
      <c r="A4540" s="83" t="str">
        <f t="shared" si="491"/>
        <v/>
      </c>
      <c r="B4540" s="83" t="str">
        <f t="shared" si="497"/>
        <v/>
      </c>
      <c r="U4540" s="83" t="str">
        <f t="shared" si="492"/>
        <v/>
      </c>
      <c r="V4540" s="83" t="str">
        <f t="shared" si="493"/>
        <v/>
      </c>
      <c r="AA4540" s="60">
        <f t="shared" si="494"/>
        <v>0</v>
      </c>
      <c r="AB4540" s="49">
        <f t="shared" si="495"/>
        <v>0</v>
      </c>
      <c r="AC4540" s="60">
        <f t="shared" si="496"/>
        <v>0</v>
      </c>
    </row>
    <row r="4541" spans="1:29">
      <c r="A4541" s="83" t="str">
        <f t="shared" si="491"/>
        <v/>
      </c>
      <c r="B4541" s="83" t="str">
        <f t="shared" si="497"/>
        <v/>
      </c>
      <c r="U4541" s="83" t="str">
        <f t="shared" si="492"/>
        <v/>
      </c>
      <c r="V4541" s="83" t="str">
        <f t="shared" si="493"/>
        <v/>
      </c>
      <c r="AA4541" s="60">
        <f t="shared" si="494"/>
        <v>0</v>
      </c>
      <c r="AB4541" s="49">
        <f t="shared" si="495"/>
        <v>0</v>
      </c>
      <c r="AC4541" s="60">
        <f t="shared" si="496"/>
        <v>0</v>
      </c>
    </row>
    <row r="4542" spans="1:29">
      <c r="A4542" s="83" t="str">
        <f t="shared" si="491"/>
        <v/>
      </c>
      <c r="B4542" s="83" t="str">
        <f t="shared" si="497"/>
        <v/>
      </c>
      <c r="U4542" s="83" t="str">
        <f t="shared" si="492"/>
        <v/>
      </c>
      <c r="V4542" s="83" t="str">
        <f t="shared" si="493"/>
        <v/>
      </c>
      <c r="AA4542" s="60">
        <f t="shared" si="494"/>
        <v>0</v>
      </c>
      <c r="AB4542" s="49">
        <f t="shared" si="495"/>
        <v>0</v>
      </c>
      <c r="AC4542" s="60">
        <f t="shared" si="496"/>
        <v>0</v>
      </c>
    </row>
    <row r="4543" spans="1:29">
      <c r="A4543" s="83" t="str">
        <f t="shared" si="491"/>
        <v/>
      </c>
      <c r="B4543" s="83" t="str">
        <f t="shared" si="497"/>
        <v/>
      </c>
      <c r="U4543" s="83" t="str">
        <f t="shared" si="492"/>
        <v/>
      </c>
      <c r="V4543" s="83" t="str">
        <f t="shared" si="493"/>
        <v/>
      </c>
      <c r="AA4543" s="60">
        <f t="shared" si="494"/>
        <v>0</v>
      </c>
      <c r="AB4543" s="49">
        <f t="shared" si="495"/>
        <v>0</v>
      </c>
      <c r="AC4543" s="60">
        <f t="shared" si="496"/>
        <v>0</v>
      </c>
    </row>
    <row r="4544" spans="1:29">
      <c r="A4544" s="83" t="str">
        <f t="shared" si="491"/>
        <v/>
      </c>
      <c r="B4544" s="83" t="str">
        <f t="shared" si="497"/>
        <v/>
      </c>
      <c r="U4544" s="83" t="str">
        <f t="shared" si="492"/>
        <v/>
      </c>
      <c r="V4544" s="83" t="str">
        <f t="shared" si="493"/>
        <v/>
      </c>
      <c r="AA4544" s="60">
        <f t="shared" si="494"/>
        <v>0</v>
      </c>
      <c r="AB4544" s="49">
        <f t="shared" si="495"/>
        <v>0</v>
      </c>
      <c r="AC4544" s="60">
        <f t="shared" si="496"/>
        <v>0</v>
      </c>
    </row>
    <row r="4545" spans="1:29">
      <c r="A4545" s="83" t="str">
        <f t="shared" si="491"/>
        <v/>
      </c>
      <c r="B4545" s="83" t="str">
        <f t="shared" si="497"/>
        <v/>
      </c>
      <c r="U4545" s="83" t="str">
        <f t="shared" si="492"/>
        <v/>
      </c>
      <c r="V4545" s="83" t="str">
        <f t="shared" si="493"/>
        <v/>
      </c>
      <c r="AA4545" s="60">
        <f t="shared" si="494"/>
        <v>0</v>
      </c>
      <c r="AB4545" s="49">
        <f t="shared" si="495"/>
        <v>0</v>
      </c>
      <c r="AC4545" s="60">
        <f t="shared" si="496"/>
        <v>0</v>
      </c>
    </row>
    <row r="4546" spans="1:29">
      <c r="A4546" s="83" t="str">
        <f t="shared" si="491"/>
        <v/>
      </c>
      <c r="B4546" s="83" t="str">
        <f t="shared" si="497"/>
        <v/>
      </c>
      <c r="U4546" s="83" t="str">
        <f t="shared" si="492"/>
        <v/>
      </c>
      <c r="V4546" s="83" t="str">
        <f t="shared" si="493"/>
        <v/>
      </c>
      <c r="AA4546" s="60">
        <f t="shared" si="494"/>
        <v>0</v>
      </c>
      <c r="AB4546" s="49">
        <f t="shared" si="495"/>
        <v>0</v>
      </c>
      <c r="AC4546" s="60">
        <f t="shared" si="496"/>
        <v>0</v>
      </c>
    </row>
    <row r="4547" spans="1:29">
      <c r="A4547" s="83" t="str">
        <f t="shared" ref="A4547:A4610" si="498">IF(G4547&amp;Q4547&lt;&gt;"",U4547&amp;Q4547,"")</f>
        <v/>
      </c>
      <c r="B4547" s="83" t="str">
        <f t="shared" si="497"/>
        <v/>
      </c>
      <c r="U4547" s="83" t="str">
        <f t="shared" ref="U4547:U4610" si="499">IF(G4547&lt;&gt;"",IF(StyleSpaceSplit,IFERROR(IF(FIND(" ",G4547)&gt;=1,MID(G4547,1,FIND(" ",G4547)-1),G4547),G4547),G4547),"")</f>
        <v/>
      </c>
      <c r="V4547" s="83" t="str">
        <f t="shared" ref="V4547:V4610" si="500">IF(A4547&lt;&gt;"",IFERROR(IF(FIND(" ",G4547)&gt;=1,MID(G4547,FIND(" ",G4547)+1,LEN(G4547)),""),G4547),"")</f>
        <v/>
      </c>
      <c r="AA4547" s="60">
        <f t="shared" ref="AA4547:AA4610" si="501">IFERROR(VALUE(MID($C4547,1,2)),0)</f>
        <v>0</v>
      </c>
      <c r="AB4547" s="49">
        <f t="shared" ref="AB4547:AB4610" si="502">IFERROR(VALUE(MID($C4547,4,3)),0)</f>
        <v>0</v>
      </c>
      <c r="AC4547" s="60">
        <f t="shared" ref="AC4547:AC4610" si="503">VALUE(RIGHT("00"&amp;AA4547,2)&amp;RIGHT("000"&amp;AB4547,3))</f>
        <v>0</v>
      </c>
    </row>
    <row r="4548" spans="1:29">
      <c r="A4548" s="83" t="str">
        <f t="shared" si="498"/>
        <v/>
      </c>
      <c r="B4548" s="83" t="str">
        <f t="shared" si="497"/>
        <v/>
      </c>
      <c r="U4548" s="83" t="str">
        <f t="shared" si="499"/>
        <v/>
      </c>
      <c r="V4548" s="83" t="str">
        <f t="shared" si="500"/>
        <v/>
      </c>
      <c r="AA4548" s="60">
        <f t="shared" si="501"/>
        <v>0</v>
      </c>
      <c r="AB4548" s="49">
        <f t="shared" si="502"/>
        <v>0</v>
      </c>
      <c r="AC4548" s="60">
        <f t="shared" si="503"/>
        <v>0</v>
      </c>
    </row>
    <row r="4549" spans="1:29">
      <c r="A4549" s="83" t="str">
        <f t="shared" si="498"/>
        <v/>
      </c>
      <c r="B4549" s="83" t="str">
        <f t="shared" si="497"/>
        <v/>
      </c>
      <c r="U4549" s="83" t="str">
        <f t="shared" si="499"/>
        <v/>
      </c>
      <c r="V4549" s="83" t="str">
        <f t="shared" si="500"/>
        <v/>
      </c>
      <c r="AA4549" s="60">
        <f t="shared" si="501"/>
        <v>0</v>
      </c>
      <c r="AB4549" s="49">
        <f t="shared" si="502"/>
        <v>0</v>
      </c>
      <c r="AC4549" s="60">
        <f t="shared" si="503"/>
        <v>0</v>
      </c>
    </row>
    <row r="4550" spans="1:29">
      <c r="A4550" s="83" t="str">
        <f t="shared" si="498"/>
        <v/>
      </c>
      <c r="B4550" s="83" t="str">
        <f t="shared" si="497"/>
        <v/>
      </c>
      <c r="U4550" s="83" t="str">
        <f t="shared" si="499"/>
        <v/>
      </c>
      <c r="V4550" s="83" t="str">
        <f t="shared" si="500"/>
        <v/>
      </c>
      <c r="AA4550" s="60">
        <f t="shared" si="501"/>
        <v>0</v>
      </c>
      <c r="AB4550" s="49">
        <f t="shared" si="502"/>
        <v>0</v>
      </c>
      <c r="AC4550" s="60">
        <f t="shared" si="503"/>
        <v>0</v>
      </c>
    </row>
    <row r="4551" spans="1:29">
      <c r="A4551" s="83" t="str">
        <f t="shared" si="498"/>
        <v/>
      </c>
      <c r="B4551" s="83" t="str">
        <f t="shared" si="497"/>
        <v/>
      </c>
      <c r="U4551" s="83" t="str">
        <f t="shared" si="499"/>
        <v/>
      </c>
      <c r="V4551" s="83" t="str">
        <f t="shared" si="500"/>
        <v/>
      </c>
      <c r="AA4551" s="60">
        <f t="shared" si="501"/>
        <v>0</v>
      </c>
      <c r="AB4551" s="49">
        <f t="shared" si="502"/>
        <v>0</v>
      </c>
      <c r="AC4551" s="60">
        <f t="shared" si="503"/>
        <v>0</v>
      </c>
    </row>
    <row r="4552" spans="1:29">
      <c r="A4552" s="83" t="str">
        <f t="shared" si="498"/>
        <v/>
      </c>
      <c r="B4552" s="83" t="str">
        <f t="shared" si="497"/>
        <v/>
      </c>
      <c r="U4552" s="83" t="str">
        <f t="shared" si="499"/>
        <v/>
      </c>
      <c r="V4552" s="83" t="str">
        <f t="shared" si="500"/>
        <v/>
      </c>
      <c r="AA4552" s="60">
        <f t="shared" si="501"/>
        <v>0</v>
      </c>
      <c r="AB4552" s="49">
        <f t="shared" si="502"/>
        <v>0</v>
      </c>
      <c r="AC4552" s="60">
        <f t="shared" si="503"/>
        <v>0</v>
      </c>
    </row>
    <row r="4553" spans="1:29">
      <c r="A4553" s="83" t="str">
        <f t="shared" si="498"/>
        <v/>
      </c>
      <c r="B4553" s="83" t="str">
        <f t="shared" si="497"/>
        <v/>
      </c>
      <c r="U4553" s="83" t="str">
        <f t="shared" si="499"/>
        <v/>
      </c>
      <c r="V4553" s="83" t="str">
        <f t="shared" si="500"/>
        <v/>
      </c>
      <c r="AA4553" s="60">
        <f t="shared" si="501"/>
        <v>0</v>
      </c>
      <c r="AB4553" s="49">
        <f t="shared" si="502"/>
        <v>0</v>
      </c>
      <c r="AC4553" s="60">
        <f t="shared" si="503"/>
        <v>0</v>
      </c>
    </row>
    <row r="4554" spans="1:29">
      <c r="A4554" s="83" t="str">
        <f t="shared" si="498"/>
        <v/>
      </c>
      <c r="B4554" s="83" t="str">
        <f t="shared" si="497"/>
        <v/>
      </c>
      <c r="U4554" s="83" t="str">
        <f t="shared" si="499"/>
        <v/>
      </c>
      <c r="V4554" s="83" t="str">
        <f t="shared" si="500"/>
        <v/>
      </c>
      <c r="AA4554" s="60">
        <f t="shared" si="501"/>
        <v>0</v>
      </c>
      <c r="AB4554" s="49">
        <f t="shared" si="502"/>
        <v>0</v>
      </c>
      <c r="AC4554" s="60">
        <f t="shared" si="503"/>
        <v>0</v>
      </c>
    </row>
    <row r="4555" spans="1:29">
      <c r="A4555" s="83" t="str">
        <f t="shared" si="498"/>
        <v/>
      </c>
      <c r="B4555" s="83" t="str">
        <f t="shared" si="497"/>
        <v/>
      </c>
      <c r="U4555" s="83" t="str">
        <f t="shared" si="499"/>
        <v/>
      </c>
      <c r="V4555" s="83" t="str">
        <f t="shared" si="500"/>
        <v/>
      </c>
      <c r="AA4555" s="60">
        <f t="shared" si="501"/>
        <v>0</v>
      </c>
      <c r="AB4555" s="49">
        <f t="shared" si="502"/>
        <v>0</v>
      </c>
      <c r="AC4555" s="60">
        <f t="shared" si="503"/>
        <v>0</v>
      </c>
    </row>
    <row r="4556" spans="1:29">
      <c r="A4556" s="83" t="str">
        <f t="shared" si="498"/>
        <v/>
      </c>
      <c r="B4556" s="83" t="str">
        <f t="shared" si="497"/>
        <v/>
      </c>
      <c r="U4556" s="83" t="str">
        <f t="shared" si="499"/>
        <v/>
      </c>
      <c r="V4556" s="83" t="str">
        <f t="shared" si="500"/>
        <v/>
      </c>
      <c r="AA4556" s="60">
        <f t="shared" si="501"/>
        <v>0</v>
      </c>
      <c r="AB4556" s="49">
        <f t="shared" si="502"/>
        <v>0</v>
      </c>
      <c r="AC4556" s="60">
        <f t="shared" si="503"/>
        <v>0</v>
      </c>
    </row>
    <row r="4557" spans="1:29">
      <c r="A4557" s="83" t="str">
        <f t="shared" si="498"/>
        <v/>
      </c>
      <c r="B4557" s="83" t="str">
        <f t="shared" si="497"/>
        <v/>
      </c>
      <c r="U4557" s="83" t="str">
        <f t="shared" si="499"/>
        <v/>
      </c>
      <c r="V4557" s="83" t="str">
        <f t="shared" si="500"/>
        <v/>
      </c>
      <c r="AA4557" s="60">
        <f t="shared" si="501"/>
        <v>0</v>
      </c>
      <c r="AB4557" s="49">
        <f t="shared" si="502"/>
        <v>0</v>
      </c>
      <c r="AC4557" s="60">
        <f t="shared" si="503"/>
        <v>0</v>
      </c>
    </row>
    <row r="4558" spans="1:29">
      <c r="A4558" s="83" t="str">
        <f t="shared" si="498"/>
        <v/>
      </c>
      <c r="B4558" s="83" t="str">
        <f t="shared" si="497"/>
        <v/>
      </c>
      <c r="U4558" s="83" t="str">
        <f t="shared" si="499"/>
        <v/>
      </c>
      <c r="V4558" s="83" t="str">
        <f t="shared" si="500"/>
        <v/>
      </c>
      <c r="AA4558" s="60">
        <f t="shared" si="501"/>
        <v>0</v>
      </c>
      <c r="AB4558" s="49">
        <f t="shared" si="502"/>
        <v>0</v>
      </c>
      <c r="AC4558" s="60">
        <f t="shared" si="503"/>
        <v>0</v>
      </c>
    </row>
    <row r="4559" spans="1:29">
      <c r="A4559" s="83" t="str">
        <f t="shared" si="498"/>
        <v/>
      </c>
      <c r="B4559" s="83" t="str">
        <f t="shared" si="497"/>
        <v/>
      </c>
      <c r="U4559" s="83" t="str">
        <f t="shared" si="499"/>
        <v/>
      </c>
      <c r="V4559" s="83" t="str">
        <f t="shared" si="500"/>
        <v/>
      </c>
      <c r="AA4559" s="60">
        <f t="shared" si="501"/>
        <v>0</v>
      </c>
      <c r="AB4559" s="49">
        <f t="shared" si="502"/>
        <v>0</v>
      </c>
      <c r="AC4559" s="60">
        <f t="shared" si="503"/>
        <v>0</v>
      </c>
    </row>
    <row r="4560" spans="1:29">
      <c r="A4560" s="83" t="str">
        <f t="shared" si="498"/>
        <v/>
      </c>
      <c r="B4560" s="83" t="str">
        <f t="shared" si="497"/>
        <v/>
      </c>
      <c r="U4560" s="83" t="str">
        <f t="shared" si="499"/>
        <v/>
      </c>
      <c r="V4560" s="83" t="str">
        <f t="shared" si="500"/>
        <v/>
      </c>
      <c r="AA4560" s="60">
        <f t="shared" si="501"/>
        <v>0</v>
      </c>
      <c r="AB4560" s="49">
        <f t="shared" si="502"/>
        <v>0</v>
      </c>
      <c r="AC4560" s="60">
        <f t="shared" si="503"/>
        <v>0</v>
      </c>
    </row>
    <row r="4561" spans="1:29">
      <c r="A4561" s="83" t="str">
        <f t="shared" si="498"/>
        <v/>
      </c>
      <c r="B4561" s="83" t="str">
        <f t="shared" si="497"/>
        <v/>
      </c>
      <c r="U4561" s="83" t="str">
        <f t="shared" si="499"/>
        <v/>
      </c>
      <c r="V4561" s="83" t="str">
        <f t="shared" si="500"/>
        <v/>
      </c>
      <c r="AA4561" s="60">
        <f t="shared" si="501"/>
        <v>0</v>
      </c>
      <c r="AB4561" s="49">
        <f t="shared" si="502"/>
        <v>0</v>
      </c>
      <c r="AC4561" s="60">
        <f t="shared" si="503"/>
        <v>0</v>
      </c>
    </row>
    <row r="4562" spans="1:29">
      <c r="A4562" s="83" t="str">
        <f t="shared" si="498"/>
        <v/>
      </c>
      <c r="B4562" s="83" t="str">
        <f t="shared" si="497"/>
        <v/>
      </c>
      <c r="U4562" s="83" t="str">
        <f t="shared" si="499"/>
        <v/>
      </c>
      <c r="V4562" s="83" t="str">
        <f t="shared" si="500"/>
        <v/>
      </c>
      <c r="AA4562" s="60">
        <f t="shared" si="501"/>
        <v>0</v>
      </c>
      <c r="AB4562" s="49">
        <f t="shared" si="502"/>
        <v>0</v>
      </c>
      <c r="AC4562" s="60">
        <f t="shared" si="503"/>
        <v>0</v>
      </c>
    </row>
    <row r="4563" spans="1:29">
      <c r="A4563" s="83" t="str">
        <f t="shared" si="498"/>
        <v/>
      </c>
      <c r="B4563" s="83" t="str">
        <f t="shared" si="497"/>
        <v/>
      </c>
      <c r="U4563" s="83" t="str">
        <f t="shared" si="499"/>
        <v/>
      </c>
      <c r="V4563" s="83" t="str">
        <f t="shared" si="500"/>
        <v/>
      </c>
      <c r="AA4563" s="60">
        <f t="shared" si="501"/>
        <v>0</v>
      </c>
      <c r="AB4563" s="49">
        <f t="shared" si="502"/>
        <v>0</v>
      </c>
      <c r="AC4563" s="60">
        <f t="shared" si="503"/>
        <v>0</v>
      </c>
    </row>
    <row r="4564" spans="1:29">
      <c r="A4564" s="83" t="str">
        <f t="shared" si="498"/>
        <v/>
      </c>
      <c r="B4564" s="83" t="str">
        <f t="shared" si="497"/>
        <v/>
      </c>
      <c r="U4564" s="83" t="str">
        <f t="shared" si="499"/>
        <v/>
      </c>
      <c r="V4564" s="83" t="str">
        <f t="shared" si="500"/>
        <v/>
      </c>
      <c r="AA4564" s="60">
        <f t="shared" si="501"/>
        <v>0</v>
      </c>
      <c r="AB4564" s="49">
        <f t="shared" si="502"/>
        <v>0</v>
      </c>
      <c r="AC4564" s="60">
        <f t="shared" si="503"/>
        <v>0</v>
      </c>
    </row>
    <row r="4565" spans="1:29">
      <c r="A4565" s="83" t="str">
        <f t="shared" si="498"/>
        <v/>
      </c>
      <c r="B4565" s="83" t="str">
        <f t="shared" si="497"/>
        <v/>
      </c>
      <c r="U4565" s="83" t="str">
        <f t="shared" si="499"/>
        <v/>
      </c>
      <c r="V4565" s="83" t="str">
        <f t="shared" si="500"/>
        <v/>
      </c>
      <c r="AA4565" s="60">
        <f t="shared" si="501"/>
        <v>0</v>
      </c>
      <c r="AB4565" s="49">
        <f t="shared" si="502"/>
        <v>0</v>
      </c>
      <c r="AC4565" s="60">
        <f t="shared" si="503"/>
        <v>0</v>
      </c>
    </row>
    <row r="4566" spans="1:29">
      <c r="A4566" s="83" t="str">
        <f t="shared" si="498"/>
        <v/>
      </c>
      <c r="B4566" s="83" t="str">
        <f t="shared" si="497"/>
        <v/>
      </c>
      <c r="U4566" s="83" t="str">
        <f t="shared" si="499"/>
        <v/>
      </c>
      <c r="V4566" s="83" t="str">
        <f t="shared" si="500"/>
        <v/>
      </c>
      <c r="AA4566" s="60">
        <f t="shared" si="501"/>
        <v>0</v>
      </c>
      <c r="AB4566" s="49">
        <f t="shared" si="502"/>
        <v>0</v>
      </c>
      <c r="AC4566" s="60">
        <f t="shared" si="503"/>
        <v>0</v>
      </c>
    </row>
    <row r="4567" spans="1:29">
      <c r="A4567" s="83" t="str">
        <f t="shared" si="498"/>
        <v/>
      </c>
      <c r="B4567" s="83" t="str">
        <f t="shared" si="497"/>
        <v/>
      </c>
      <c r="U4567" s="83" t="str">
        <f t="shared" si="499"/>
        <v/>
      </c>
      <c r="V4567" s="83" t="str">
        <f t="shared" si="500"/>
        <v/>
      </c>
      <c r="AA4567" s="60">
        <f t="shared" si="501"/>
        <v>0</v>
      </c>
      <c r="AB4567" s="49">
        <f t="shared" si="502"/>
        <v>0</v>
      </c>
      <c r="AC4567" s="60">
        <f t="shared" si="503"/>
        <v>0</v>
      </c>
    </row>
    <row r="4568" spans="1:29">
      <c r="A4568" s="83" t="str">
        <f t="shared" si="498"/>
        <v/>
      </c>
      <c r="B4568" s="83" t="str">
        <f t="shared" si="497"/>
        <v/>
      </c>
      <c r="U4568" s="83" t="str">
        <f t="shared" si="499"/>
        <v/>
      </c>
      <c r="V4568" s="83" t="str">
        <f t="shared" si="500"/>
        <v/>
      </c>
      <c r="AA4568" s="60">
        <f t="shared" si="501"/>
        <v>0</v>
      </c>
      <c r="AB4568" s="49">
        <f t="shared" si="502"/>
        <v>0</v>
      </c>
      <c r="AC4568" s="60">
        <f t="shared" si="503"/>
        <v>0</v>
      </c>
    </row>
    <row r="4569" spans="1:29">
      <c r="A4569" s="83" t="str">
        <f t="shared" si="498"/>
        <v/>
      </c>
      <c r="B4569" s="83" t="str">
        <f t="shared" si="497"/>
        <v/>
      </c>
      <c r="U4569" s="83" t="str">
        <f t="shared" si="499"/>
        <v/>
      </c>
      <c r="V4569" s="83" t="str">
        <f t="shared" si="500"/>
        <v/>
      </c>
      <c r="AA4569" s="60">
        <f t="shared" si="501"/>
        <v>0</v>
      </c>
      <c r="AB4569" s="49">
        <f t="shared" si="502"/>
        <v>0</v>
      </c>
      <c r="AC4569" s="60">
        <f t="shared" si="503"/>
        <v>0</v>
      </c>
    </row>
    <row r="4570" spans="1:29">
      <c r="A4570" s="83" t="str">
        <f t="shared" si="498"/>
        <v/>
      </c>
      <c r="B4570" s="83" t="str">
        <f t="shared" si="497"/>
        <v/>
      </c>
      <c r="U4570" s="83" t="str">
        <f t="shared" si="499"/>
        <v/>
      </c>
      <c r="V4570" s="83" t="str">
        <f t="shared" si="500"/>
        <v/>
      </c>
      <c r="AA4570" s="60">
        <f t="shared" si="501"/>
        <v>0</v>
      </c>
      <c r="AB4570" s="49">
        <f t="shared" si="502"/>
        <v>0</v>
      </c>
      <c r="AC4570" s="60">
        <f t="shared" si="503"/>
        <v>0</v>
      </c>
    </row>
    <row r="4571" spans="1:29">
      <c r="A4571" s="83" t="str">
        <f t="shared" si="498"/>
        <v/>
      </c>
      <c r="B4571" s="83" t="str">
        <f t="shared" si="497"/>
        <v/>
      </c>
      <c r="U4571" s="83" t="str">
        <f t="shared" si="499"/>
        <v/>
      </c>
      <c r="V4571" s="83" t="str">
        <f t="shared" si="500"/>
        <v/>
      </c>
      <c r="AA4571" s="60">
        <f t="shared" si="501"/>
        <v>0</v>
      </c>
      <c r="AB4571" s="49">
        <f t="shared" si="502"/>
        <v>0</v>
      </c>
      <c r="AC4571" s="60">
        <f t="shared" si="503"/>
        <v>0</v>
      </c>
    </row>
    <row r="4572" spans="1:29">
      <c r="A4572" s="83" t="str">
        <f t="shared" si="498"/>
        <v/>
      </c>
      <c r="B4572" s="83" t="str">
        <f t="shared" si="497"/>
        <v/>
      </c>
      <c r="U4572" s="83" t="str">
        <f t="shared" si="499"/>
        <v/>
      </c>
      <c r="V4572" s="83" t="str">
        <f t="shared" si="500"/>
        <v/>
      </c>
      <c r="AA4572" s="60">
        <f t="shared" si="501"/>
        <v>0</v>
      </c>
      <c r="AB4572" s="49">
        <f t="shared" si="502"/>
        <v>0</v>
      </c>
      <c r="AC4572" s="60">
        <f t="shared" si="503"/>
        <v>0</v>
      </c>
    </row>
    <row r="4573" spans="1:29">
      <c r="A4573" s="83" t="str">
        <f t="shared" si="498"/>
        <v/>
      </c>
      <c r="B4573" s="83" t="str">
        <f t="shared" si="497"/>
        <v/>
      </c>
      <c r="U4573" s="83" t="str">
        <f t="shared" si="499"/>
        <v/>
      </c>
      <c r="V4573" s="83" t="str">
        <f t="shared" si="500"/>
        <v/>
      </c>
      <c r="AA4573" s="60">
        <f t="shared" si="501"/>
        <v>0</v>
      </c>
      <c r="AB4573" s="49">
        <f t="shared" si="502"/>
        <v>0</v>
      </c>
      <c r="AC4573" s="60">
        <f t="shared" si="503"/>
        <v>0</v>
      </c>
    </row>
    <row r="4574" spans="1:29">
      <c r="A4574" s="83" t="str">
        <f t="shared" si="498"/>
        <v/>
      </c>
      <c r="B4574" s="83" t="str">
        <f t="shared" si="497"/>
        <v/>
      </c>
      <c r="U4574" s="83" t="str">
        <f t="shared" si="499"/>
        <v/>
      </c>
      <c r="V4574" s="83" t="str">
        <f t="shared" si="500"/>
        <v/>
      </c>
      <c r="AA4574" s="60">
        <f t="shared" si="501"/>
        <v>0</v>
      </c>
      <c r="AB4574" s="49">
        <f t="shared" si="502"/>
        <v>0</v>
      </c>
      <c r="AC4574" s="60">
        <f t="shared" si="503"/>
        <v>0</v>
      </c>
    </row>
    <row r="4575" spans="1:29">
      <c r="A4575" s="83" t="str">
        <f t="shared" si="498"/>
        <v/>
      </c>
      <c r="B4575" s="83" t="str">
        <f t="shared" si="497"/>
        <v/>
      </c>
      <c r="U4575" s="83" t="str">
        <f t="shared" si="499"/>
        <v/>
      </c>
      <c r="V4575" s="83" t="str">
        <f t="shared" si="500"/>
        <v/>
      </c>
      <c r="AA4575" s="60">
        <f t="shared" si="501"/>
        <v>0</v>
      </c>
      <c r="AB4575" s="49">
        <f t="shared" si="502"/>
        <v>0</v>
      </c>
      <c r="AC4575" s="60">
        <f t="shared" si="503"/>
        <v>0</v>
      </c>
    </row>
    <row r="4576" spans="1:29">
      <c r="A4576" s="83" t="str">
        <f t="shared" si="498"/>
        <v/>
      </c>
      <c r="B4576" s="83" t="str">
        <f t="shared" si="497"/>
        <v/>
      </c>
      <c r="U4576" s="83" t="str">
        <f t="shared" si="499"/>
        <v/>
      </c>
      <c r="V4576" s="83" t="str">
        <f t="shared" si="500"/>
        <v/>
      </c>
      <c r="AA4576" s="60">
        <f t="shared" si="501"/>
        <v>0</v>
      </c>
      <c r="AB4576" s="49">
        <f t="shared" si="502"/>
        <v>0</v>
      </c>
      <c r="AC4576" s="60">
        <f t="shared" si="503"/>
        <v>0</v>
      </c>
    </row>
    <row r="4577" spans="1:29">
      <c r="A4577" s="83" t="str">
        <f t="shared" si="498"/>
        <v/>
      </c>
      <c r="B4577" s="83" t="str">
        <f t="shared" ref="B4577:B4640" si="504">IF(C4577&lt;&gt;"",LEFT(C4577,9),"")</f>
        <v/>
      </c>
      <c r="U4577" s="83" t="str">
        <f t="shared" si="499"/>
        <v/>
      </c>
      <c r="V4577" s="83" t="str">
        <f t="shared" si="500"/>
        <v/>
      </c>
      <c r="AA4577" s="60">
        <f t="shared" si="501"/>
        <v>0</v>
      </c>
      <c r="AB4577" s="49">
        <f t="shared" si="502"/>
        <v>0</v>
      </c>
      <c r="AC4577" s="60">
        <f t="shared" si="503"/>
        <v>0</v>
      </c>
    </row>
    <row r="4578" spans="1:29">
      <c r="A4578" s="83" t="str">
        <f t="shared" si="498"/>
        <v/>
      </c>
      <c r="B4578" s="83" t="str">
        <f t="shared" si="504"/>
        <v/>
      </c>
      <c r="U4578" s="83" t="str">
        <f t="shared" si="499"/>
        <v/>
      </c>
      <c r="V4578" s="83" t="str">
        <f t="shared" si="500"/>
        <v/>
      </c>
      <c r="AA4578" s="60">
        <f t="shared" si="501"/>
        <v>0</v>
      </c>
      <c r="AB4578" s="49">
        <f t="shared" si="502"/>
        <v>0</v>
      </c>
      <c r="AC4578" s="60">
        <f t="shared" si="503"/>
        <v>0</v>
      </c>
    </row>
    <row r="4579" spans="1:29">
      <c r="A4579" s="83" t="str">
        <f t="shared" si="498"/>
        <v/>
      </c>
      <c r="B4579" s="83" t="str">
        <f t="shared" si="504"/>
        <v/>
      </c>
      <c r="U4579" s="83" t="str">
        <f t="shared" si="499"/>
        <v/>
      </c>
      <c r="V4579" s="83" t="str">
        <f t="shared" si="500"/>
        <v/>
      </c>
      <c r="AA4579" s="60">
        <f t="shared" si="501"/>
        <v>0</v>
      </c>
      <c r="AB4579" s="49">
        <f t="shared" si="502"/>
        <v>0</v>
      </c>
      <c r="AC4579" s="60">
        <f t="shared" si="503"/>
        <v>0</v>
      </c>
    </row>
    <row r="4580" spans="1:29">
      <c r="A4580" s="83" t="str">
        <f t="shared" si="498"/>
        <v/>
      </c>
      <c r="B4580" s="83" t="str">
        <f t="shared" si="504"/>
        <v/>
      </c>
      <c r="U4580" s="83" t="str">
        <f t="shared" si="499"/>
        <v/>
      </c>
      <c r="V4580" s="83" t="str">
        <f t="shared" si="500"/>
        <v/>
      </c>
      <c r="AA4580" s="60">
        <f t="shared" si="501"/>
        <v>0</v>
      </c>
      <c r="AB4580" s="49">
        <f t="shared" si="502"/>
        <v>0</v>
      </c>
      <c r="AC4580" s="60">
        <f t="shared" si="503"/>
        <v>0</v>
      </c>
    </row>
    <row r="4581" spans="1:29">
      <c r="A4581" s="83" t="str">
        <f t="shared" si="498"/>
        <v/>
      </c>
      <c r="B4581" s="83" t="str">
        <f t="shared" si="504"/>
        <v/>
      </c>
      <c r="U4581" s="83" t="str">
        <f t="shared" si="499"/>
        <v/>
      </c>
      <c r="V4581" s="83" t="str">
        <f t="shared" si="500"/>
        <v/>
      </c>
      <c r="AA4581" s="60">
        <f t="shared" si="501"/>
        <v>0</v>
      </c>
      <c r="AB4581" s="49">
        <f t="shared" si="502"/>
        <v>0</v>
      </c>
      <c r="AC4581" s="60">
        <f t="shared" si="503"/>
        <v>0</v>
      </c>
    </row>
    <row r="4582" spans="1:29">
      <c r="A4582" s="83" t="str">
        <f t="shared" si="498"/>
        <v/>
      </c>
      <c r="B4582" s="83" t="str">
        <f t="shared" si="504"/>
        <v/>
      </c>
      <c r="U4582" s="83" t="str">
        <f t="shared" si="499"/>
        <v/>
      </c>
      <c r="V4582" s="83" t="str">
        <f t="shared" si="500"/>
        <v/>
      </c>
      <c r="AA4582" s="60">
        <f t="shared" si="501"/>
        <v>0</v>
      </c>
      <c r="AB4582" s="49">
        <f t="shared" si="502"/>
        <v>0</v>
      </c>
      <c r="AC4582" s="60">
        <f t="shared" si="503"/>
        <v>0</v>
      </c>
    </row>
    <row r="4583" spans="1:29">
      <c r="A4583" s="83" t="str">
        <f t="shared" si="498"/>
        <v/>
      </c>
      <c r="B4583" s="83" t="str">
        <f t="shared" si="504"/>
        <v/>
      </c>
      <c r="U4583" s="83" t="str">
        <f t="shared" si="499"/>
        <v/>
      </c>
      <c r="V4583" s="83" t="str">
        <f t="shared" si="500"/>
        <v/>
      </c>
      <c r="AA4583" s="60">
        <f t="shared" si="501"/>
        <v>0</v>
      </c>
      <c r="AB4583" s="49">
        <f t="shared" si="502"/>
        <v>0</v>
      </c>
      <c r="AC4583" s="60">
        <f t="shared" si="503"/>
        <v>0</v>
      </c>
    </row>
    <row r="4584" spans="1:29">
      <c r="A4584" s="83" t="str">
        <f t="shared" si="498"/>
        <v/>
      </c>
      <c r="B4584" s="83" t="str">
        <f t="shared" si="504"/>
        <v/>
      </c>
      <c r="U4584" s="83" t="str">
        <f t="shared" si="499"/>
        <v/>
      </c>
      <c r="V4584" s="83" t="str">
        <f t="shared" si="500"/>
        <v/>
      </c>
      <c r="AA4584" s="60">
        <f t="shared" si="501"/>
        <v>0</v>
      </c>
      <c r="AB4584" s="49">
        <f t="shared" si="502"/>
        <v>0</v>
      </c>
      <c r="AC4584" s="60">
        <f t="shared" si="503"/>
        <v>0</v>
      </c>
    </row>
    <row r="4585" spans="1:29">
      <c r="A4585" s="83" t="str">
        <f t="shared" si="498"/>
        <v/>
      </c>
      <c r="B4585" s="83" t="str">
        <f t="shared" si="504"/>
        <v/>
      </c>
      <c r="U4585" s="83" t="str">
        <f t="shared" si="499"/>
        <v/>
      </c>
      <c r="V4585" s="83" t="str">
        <f t="shared" si="500"/>
        <v/>
      </c>
      <c r="AA4585" s="60">
        <f t="shared" si="501"/>
        <v>0</v>
      </c>
      <c r="AB4585" s="49">
        <f t="shared" si="502"/>
        <v>0</v>
      </c>
      <c r="AC4585" s="60">
        <f t="shared" si="503"/>
        <v>0</v>
      </c>
    </row>
    <row r="4586" spans="1:29">
      <c r="A4586" s="83" t="str">
        <f t="shared" si="498"/>
        <v/>
      </c>
      <c r="B4586" s="83" t="str">
        <f t="shared" si="504"/>
        <v/>
      </c>
      <c r="U4586" s="83" t="str">
        <f t="shared" si="499"/>
        <v/>
      </c>
      <c r="V4586" s="83" t="str">
        <f t="shared" si="500"/>
        <v/>
      </c>
      <c r="AA4586" s="60">
        <f t="shared" si="501"/>
        <v>0</v>
      </c>
      <c r="AB4586" s="49">
        <f t="shared" si="502"/>
        <v>0</v>
      </c>
      <c r="AC4586" s="60">
        <f t="shared" si="503"/>
        <v>0</v>
      </c>
    </row>
    <row r="4587" spans="1:29">
      <c r="A4587" s="83" t="str">
        <f t="shared" si="498"/>
        <v/>
      </c>
      <c r="B4587" s="83" t="str">
        <f t="shared" si="504"/>
        <v/>
      </c>
      <c r="U4587" s="83" t="str">
        <f t="shared" si="499"/>
        <v/>
      </c>
      <c r="V4587" s="83" t="str">
        <f t="shared" si="500"/>
        <v/>
      </c>
      <c r="AA4587" s="60">
        <f t="shared" si="501"/>
        <v>0</v>
      </c>
      <c r="AB4587" s="49">
        <f t="shared" si="502"/>
        <v>0</v>
      </c>
      <c r="AC4587" s="60">
        <f t="shared" si="503"/>
        <v>0</v>
      </c>
    </row>
    <row r="4588" spans="1:29">
      <c r="A4588" s="83" t="str">
        <f t="shared" si="498"/>
        <v/>
      </c>
      <c r="B4588" s="83" t="str">
        <f t="shared" si="504"/>
        <v/>
      </c>
      <c r="U4588" s="83" t="str">
        <f t="shared" si="499"/>
        <v/>
      </c>
      <c r="V4588" s="83" t="str">
        <f t="shared" si="500"/>
        <v/>
      </c>
      <c r="AA4588" s="60">
        <f t="shared" si="501"/>
        <v>0</v>
      </c>
      <c r="AB4588" s="49">
        <f t="shared" si="502"/>
        <v>0</v>
      </c>
      <c r="AC4588" s="60">
        <f t="shared" si="503"/>
        <v>0</v>
      </c>
    </row>
    <row r="4589" spans="1:29">
      <c r="A4589" s="83" t="str">
        <f t="shared" si="498"/>
        <v/>
      </c>
      <c r="B4589" s="83" t="str">
        <f t="shared" si="504"/>
        <v/>
      </c>
      <c r="U4589" s="83" t="str">
        <f t="shared" si="499"/>
        <v/>
      </c>
      <c r="V4589" s="83" t="str">
        <f t="shared" si="500"/>
        <v/>
      </c>
      <c r="AA4589" s="60">
        <f t="shared" si="501"/>
        <v>0</v>
      </c>
      <c r="AB4589" s="49">
        <f t="shared" si="502"/>
        <v>0</v>
      </c>
      <c r="AC4589" s="60">
        <f t="shared" si="503"/>
        <v>0</v>
      </c>
    </row>
    <row r="4590" spans="1:29">
      <c r="A4590" s="83" t="str">
        <f t="shared" si="498"/>
        <v/>
      </c>
      <c r="B4590" s="83" t="str">
        <f t="shared" si="504"/>
        <v/>
      </c>
      <c r="U4590" s="83" t="str">
        <f t="shared" si="499"/>
        <v/>
      </c>
      <c r="V4590" s="83" t="str">
        <f t="shared" si="500"/>
        <v/>
      </c>
      <c r="AA4590" s="60">
        <f t="shared" si="501"/>
        <v>0</v>
      </c>
      <c r="AB4590" s="49">
        <f t="shared" si="502"/>
        <v>0</v>
      </c>
      <c r="AC4590" s="60">
        <f t="shared" si="503"/>
        <v>0</v>
      </c>
    </row>
    <row r="4591" spans="1:29">
      <c r="A4591" s="83" t="str">
        <f t="shared" si="498"/>
        <v/>
      </c>
      <c r="B4591" s="83" t="str">
        <f t="shared" si="504"/>
        <v/>
      </c>
      <c r="U4591" s="83" t="str">
        <f t="shared" si="499"/>
        <v/>
      </c>
      <c r="V4591" s="83" t="str">
        <f t="shared" si="500"/>
        <v/>
      </c>
      <c r="AA4591" s="60">
        <f t="shared" si="501"/>
        <v>0</v>
      </c>
      <c r="AB4591" s="49">
        <f t="shared" si="502"/>
        <v>0</v>
      </c>
      <c r="AC4591" s="60">
        <f t="shared" si="503"/>
        <v>0</v>
      </c>
    </row>
    <row r="4592" spans="1:29">
      <c r="A4592" s="83" t="str">
        <f t="shared" si="498"/>
        <v/>
      </c>
      <c r="B4592" s="83" t="str">
        <f t="shared" si="504"/>
        <v/>
      </c>
      <c r="U4592" s="83" t="str">
        <f t="shared" si="499"/>
        <v/>
      </c>
      <c r="V4592" s="83" t="str">
        <f t="shared" si="500"/>
        <v/>
      </c>
      <c r="AA4592" s="60">
        <f t="shared" si="501"/>
        <v>0</v>
      </c>
      <c r="AB4592" s="49">
        <f t="shared" si="502"/>
        <v>0</v>
      </c>
      <c r="AC4592" s="60">
        <f t="shared" si="503"/>
        <v>0</v>
      </c>
    </row>
    <row r="4593" spans="1:29">
      <c r="A4593" s="83" t="str">
        <f t="shared" si="498"/>
        <v/>
      </c>
      <c r="B4593" s="83" t="str">
        <f t="shared" si="504"/>
        <v/>
      </c>
      <c r="U4593" s="83" t="str">
        <f t="shared" si="499"/>
        <v/>
      </c>
      <c r="V4593" s="83" t="str">
        <f t="shared" si="500"/>
        <v/>
      </c>
      <c r="AA4593" s="60">
        <f t="shared" si="501"/>
        <v>0</v>
      </c>
      <c r="AB4593" s="49">
        <f t="shared" si="502"/>
        <v>0</v>
      </c>
      <c r="AC4593" s="60">
        <f t="shared" si="503"/>
        <v>0</v>
      </c>
    </row>
    <row r="4594" spans="1:29">
      <c r="A4594" s="83" t="str">
        <f t="shared" si="498"/>
        <v/>
      </c>
      <c r="B4594" s="83" t="str">
        <f t="shared" si="504"/>
        <v/>
      </c>
      <c r="U4594" s="83" t="str">
        <f t="shared" si="499"/>
        <v/>
      </c>
      <c r="V4594" s="83" t="str">
        <f t="shared" si="500"/>
        <v/>
      </c>
      <c r="AA4594" s="60">
        <f t="shared" si="501"/>
        <v>0</v>
      </c>
      <c r="AB4594" s="49">
        <f t="shared" si="502"/>
        <v>0</v>
      </c>
      <c r="AC4594" s="60">
        <f t="shared" si="503"/>
        <v>0</v>
      </c>
    </row>
    <row r="4595" spans="1:29">
      <c r="A4595" s="83" t="str">
        <f t="shared" si="498"/>
        <v/>
      </c>
      <c r="B4595" s="83" t="str">
        <f t="shared" si="504"/>
        <v/>
      </c>
      <c r="U4595" s="83" t="str">
        <f t="shared" si="499"/>
        <v/>
      </c>
      <c r="V4595" s="83" t="str">
        <f t="shared" si="500"/>
        <v/>
      </c>
      <c r="AA4595" s="60">
        <f t="shared" si="501"/>
        <v>0</v>
      </c>
      <c r="AB4595" s="49">
        <f t="shared" si="502"/>
        <v>0</v>
      </c>
      <c r="AC4595" s="60">
        <f t="shared" si="503"/>
        <v>0</v>
      </c>
    </row>
    <row r="4596" spans="1:29">
      <c r="A4596" s="83" t="str">
        <f t="shared" si="498"/>
        <v/>
      </c>
      <c r="B4596" s="83" t="str">
        <f t="shared" si="504"/>
        <v/>
      </c>
      <c r="U4596" s="83" t="str">
        <f t="shared" si="499"/>
        <v/>
      </c>
      <c r="V4596" s="83" t="str">
        <f t="shared" si="500"/>
        <v/>
      </c>
      <c r="AA4596" s="60">
        <f t="shared" si="501"/>
        <v>0</v>
      </c>
      <c r="AB4596" s="49">
        <f t="shared" si="502"/>
        <v>0</v>
      </c>
      <c r="AC4596" s="60">
        <f t="shared" si="503"/>
        <v>0</v>
      </c>
    </row>
    <row r="4597" spans="1:29">
      <c r="A4597" s="83" t="str">
        <f t="shared" si="498"/>
        <v/>
      </c>
      <c r="B4597" s="83" t="str">
        <f t="shared" si="504"/>
        <v/>
      </c>
      <c r="U4597" s="83" t="str">
        <f t="shared" si="499"/>
        <v/>
      </c>
      <c r="V4597" s="83" t="str">
        <f t="shared" si="500"/>
        <v/>
      </c>
      <c r="AA4597" s="60">
        <f t="shared" si="501"/>
        <v>0</v>
      </c>
      <c r="AB4597" s="49">
        <f t="shared" si="502"/>
        <v>0</v>
      </c>
      <c r="AC4597" s="60">
        <f t="shared" si="503"/>
        <v>0</v>
      </c>
    </row>
    <row r="4598" spans="1:29">
      <c r="A4598" s="83" t="str">
        <f t="shared" si="498"/>
        <v/>
      </c>
      <c r="B4598" s="83" t="str">
        <f t="shared" si="504"/>
        <v/>
      </c>
      <c r="U4598" s="83" t="str">
        <f t="shared" si="499"/>
        <v/>
      </c>
      <c r="V4598" s="83" t="str">
        <f t="shared" si="500"/>
        <v/>
      </c>
      <c r="AA4598" s="60">
        <f t="shared" si="501"/>
        <v>0</v>
      </c>
      <c r="AB4598" s="49">
        <f t="shared" si="502"/>
        <v>0</v>
      </c>
      <c r="AC4598" s="60">
        <f t="shared" si="503"/>
        <v>0</v>
      </c>
    </row>
    <row r="4599" spans="1:29">
      <c r="A4599" s="83" t="str">
        <f t="shared" si="498"/>
        <v/>
      </c>
      <c r="B4599" s="83" t="str">
        <f t="shared" si="504"/>
        <v/>
      </c>
      <c r="U4599" s="83" t="str">
        <f t="shared" si="499"/>
        <v/>
      </c>
      <c r="V4599" s="83" t="str">
        <f t="shared" si="500"/>
        <v/>
      </c>
      <c r="AA4599" s="60">
        <f t="shared" si="501"/>
        <v>0</v>
      </c>
      <c r="AB4599" s="49">
        <f t="shared" si="502"/>
        <v>0</v>
      </c>
      <c r="AC4599" s="60">
        <f t="shared" si="503"/>
        <v>0</v>
      </c>
    </row>
    <row r="4600" spans="1:29">
      <c r="A4600" s="83" t="str">
        <f t="shared" si="498"/>
        <v/>
      </c>
      <c r="B4600" s="83" t="str">
        <f t="shared" si="504"/>
        <v/>
      </c>
      <c r="U4600" s="83" t="str">
        <f t="shared" si="499"/>
        <v/>
      </c>
      <c r="V4600" s="83" t="str">
        <f t="shared" si="500"/>
        <v/>
      </c>
      <c r="AA4600" s="60">
        <f t="shared" si="501"/>
        <v>0</v>
      </c>
      <c r="AB4600" s="49">
        <f t="shared" si="502"/>
        <v>0</v>
      </c>
      <c r="AC4600" s="60">
        <f t="shared" si="503"/>
        <v>0</v>
      </c>
    </row>
    <row r="4601" spans="1:29">
      <c r="A4601" s="83" t="str">
        <f t="shared" si="498"/>
        <v/>
      </c>
      <c r="B4601" s="83" t="str">
        <f t="shared" si="504"/>
        <v/>
      </c>
      <c r="U4601" s="83" t="str">
        <f t="shared" si="499"/>
        <v/>
      </c>
      <c r="V4601" s="83" t="str">
        <f t="shared" si="500"/>
        <v/>
      </c>
      <c r="AA4601" s="60">
        <f t="shared" si="501"/>
        <v>0</v>
      </c>
      <c r="AB4601" s="49">
        <f t="shared" si="502"/>
        <v>0</v>
      </c>
      <c r="AC4601" s="60">
        <f t="shared" si="503"/>
        <v>0</v>
      </c>
    </row>
    <row r="4602" spans="1:29">
      <c r="A4602" s="83" t="str">
        <f t="shared" si="498"/>
        <v/>
      </c>
      <c r="B4602" s="83" t="str">
        <f t="shared" si="504"/>
        <v/>
      </c>
      <c r="U4602" s="83" t="str">
        <f t="shared" si="499"/>
        <v/>
      </c>
      <c r="V4602" s="83" t="str">
        <f t="shared" si="500"/>
        <v/>
      </c>
      <c r="AA4602" s="60">
        <f t="shared" si="501"/>
        <v>0</v>
      </c>
      <c r="AB4602" s="49">
        <f t="shared" si="502"/>
        <v>0</v>
      </c>
      <c r="AC4602" s="60">
        <f t="shared" si="503"/>
        <v>0</v>
      </c>
    </row>
    <row r="4603" spans="1:29">
      <c r="A4603" s="83" t="str">
        <f t="shared" si="498"/>
        <v/>
      </c>
      <c r="B4603" s="83" t="str">
        <f t="shared" si="504"/>
        <v/>
      </c>
      <c r="U4603" s="83" t="str">
        <f t="shared" si="499"/>
        <v/>
      </c>
      <c r="V4603" s="83" t="str">
        <f t="shared" si="500"/>
        <v/>
      </c>
      <c r="AA4603" s="60">
        <f t="shared" si="501"/>
        <v>0</v>
      </c>
      <c r="AB4603" s="49">
        <f t="shared" si="502"/>
        <v>0</v>
      </c>
      <c r="AC4603" s="60">
        <f t="shared" si="503"/>
        <v>0</v>
      </c>
    </row>
    <row r="4604" spans="1:29">
      <c r="A4604" s="83" t="str">
        <f t="shared" si="498"/>
        <v/>
      </c>
      <c r="B4604" s="83" t="str">
        <f t="shared" si="504"/>
        <v/>
      </c>
      <c r="U4604" s="83" t="str">
        <f t="shared" si="499"/>
        <v/>
      </c>
      <c r="V4604" s="83" t="str">
        <f t="shared" si="500"/>
        <v/>
      </c>
      <c r="AA4604" s="60">
        <f t="shared" si="501"/>
        <v>0</v>
      </c>
      <c r="AB4604" s="49">
        <f t="shared" si="502"/>
        <v>0</v>
      </c>
      <c r="AC4604" s="60">
        <f t="shared" si="503"/>
        <v>0</v>
      </c>
    </row>
    <row r="4605" spans="1:29">
      <c r="A4605" s="83" t="str">
        <f t="shared" si="498"/>
        <v/>
      </c>
      <c r="B4605" s="83" t="str">
        <f t="shared" si="504"/>
        <v/>
      </c>
      <c r="U4605" s="83" t="str">
        <f t="shared" si="499"/>
        <v/>
      </c>
      <c r="V4605" s="83" t="str">
        <f t="shared" si="500"/>
        <v/>
      </c>
      <c r="AA4605" s="60">
        <f t="shared" si="501"/>
        <v>0</v>
      </c>
      <c r="AB4605" s="49">
        <f t="shared" si="502"/>
        <v>0</v>
      </c>
      <c r="AC4605" s="60">
        <f t="shared" si="503"/>
        <v>0</v>
      </c>
    </row>
    <row r="4606" spans="1:29">
      <c r="A4606" s="83" t="str">
        <f t="shared" si="498"/>
        <v/>
      </c>
      <c r="B4606" s="83" t="str">
        <f t="shared" si="504"/>
        <v/>
      </c>
      <c r="U4606" s="83" t="str">
        <f t="shared" si="499"/>
        <v/>
      </c>
      <c r="V4606" s="83" t="str">
        <f t="shared" si="500"/>
        <v/>
      </c>
      <c r="AA4606" s="60">
        <f t="shared" si="501"/>
        <v>0</v>
      </c>
      <c r="AB4606" s="49">
        <f t="shared" si="502"/>
        <v>0</v>
      </c>
      <c r="AC4606" s="60">
        <f t="shared" si="503"/>
        <v>0</v>
      </c>
    </row>
    <row r="4607" spans="1:29">
      <c r="A4607" s="83" t="str">
        <f t="shared" si="498"/>
        <v/>
      </c>
      <c r="B4607" s="83" t="str">
        <f t="shared" si="504"/>
        <v/>
      </c>
      <c r="U4607" s="83" t="str">
        <f t="shared" si="499"/>
        <v/>
      </c>
      <c r="V4607" s="83" t="str">
        <f t="shared" si="500"/>
        <v/>
      </c>
      <c r="AA4607" s="60">
        <f t="shared" si="501"/>
        <v>0</v>
      </c>
      <c r="AB4607" s="49">
        <f t="shared" si="502"/>
        <v>0</v>
      </c>
      <c r="AC4607" s="60">
        <f t="shared" si="503"/>
        <v>0</v>
      </c>
    </row>
    <row r="4608" spans="1:29">
      <c r="A4608" s="83" t="str">
        <f t="shared" si="498"/>
        <v/>
      </c>
      <c r="B4608" s="83" t="str">
        <f t="shared" si="504"/>
        <v/>
      </c>
      <c r="U4608" s="83" t="str">
        <f t="shared" si="499"/>
        <v/>
      </c>
      <c r="V4608" s="83" t="str">
        <f t="shared" si="500"/>
        <v/>
      </c>
      <c r="AA4608" s="60">
        <f t="shared" si="501"/>
        <v>0</v>
      </c>
      <c r="AB4608" s="49">
        <f t="shared" si="502"/>
        <v>0</v>
      </c>
      <c r="AC4608" s="60">
        <f t="shared" si="503"/>
        <v>0</v>
      </c>
    </row>
    <row r="4609" spans="1:29">
      <c r="A4609" s="83" t="str">
        <f t="shared" si="498"/>
        <v/>
      </c>
      <c r="B4609" s="83" t="str">
        <f t="shared" si="504"/>
        <v/>
      </c>
      <c r="U4609" s="83" t="str">
        <f t="shared" si="499"/>
        <v/>
      </c>
      <c r="V4609" s="83" t="str">
        <f t="shared" si="500"/>
        <v/>
      </c>
      <c r="AA4609" s="60">
        <f t="shared" si="501"/>
        <v>0</v>
      </c>
      <c r="AB4609" s="49">
        <f t="shared" si="502"/>
        <v>0</v>
      </c>
      <c r="AC4609" s="60">
        <f t="shared" si="503"/>
        <v>0</v>
      </c>
    </row>
    <row r="4610" spans="1:29">
      <c r="A4610" s="83" t="str">
        <f t="shared" si="498"/>
        <v/>
      </c>
      <c r="B4610" s="83" t="str">
        <f t="shared" si="504"/>
        <v/>
      </c>
      <c r="U4610" s="83" t="str">
        <f t="shared" si="499"/>
        <v/>
      </c>
      <c r="V4610" s="83" t="str">
        <f t="shared" si="500"/>
        <v/>
      </c>
      <c r="AA4610" s="60">
        <f t="shared" si="501"/>
        <v>0</v>
      </c>
      <c r="AB4610" s="49">
        <f t="shared" si="502"/>
        <v>0</v>
      </c>
      <c r="AC4610" s="60">
        <f t="shared" si="503"/>
        <v>0</v>
      </c>
    </row>
    <row r="4611" spans="1:29">
      <c r="A4611" s="83" t="str">
        <f t="shared" ref="A4611:A4674" si="505">IF(G4611&amp;Q4611&lt;&gt;"",U4611&amp;Q4611,"")</f>
        <v/>
      </c>
      <c r="B4611" s="83" t="str">
        <f t="shared" si="504"/>
        <v/>
      </c>
      <c r="U4611" s="83" t="str">
        <f t="shared" ref="U4611:U4674" si="506">IF(G4611&lt;&gt;"",IF(StyleSpaceSplit,IFERROR(IF(FIND(" ",G4611)&gt;=1,MID(G4611,1,FIND(" ",G4611)-1),G4611),G4611),G4611),"")</f>
        <v/>
      </c>
      <c r="V4611" s="83" t="str">
        <f t="shared" ref="V4611:V4674" si="507">IF(A4611&lt;&gt;"",IFERROR(IF(FIND(" ",G4611)&gt;=1,MID(G4611,FIND(" ",G4611)+1,LEN(G4611)),""),G4611),"")</f>
        <v/>
      </c>
      <c r="AA4611" s="60">
        <f t="shared" ref="AA4611:AA4674" si="508">IFERROR(VALUE(MID($C4611,1,2)),0)</f>
        <v>0</v>
      </c>
      <c r="AB4611" s="49">
        <f t="shared" ref="AB4611:AB4674" si="509">IFERROR(VALUE(MID($C4611,4,3)),0)</f>
        <v>0</v>
      </c>
      <c r="AC4611" s="60">
        <f t="shared" ref="AC4611:AC4674" si="510">VALUE(RIGHT("00"&amp;AA4611,2)&amp;RIGHT("000"&amp;AB4611,3))</f>
        <v>0</v>
      </c>
    </row>
    <row r="4612" spans="1:29">
      <c r="A4612" s="83" t="str">
        <f t="shared" si="505"/>
        <v/>
      </c>
      <c r="B4612" s="83" t="str">
        <f t="shared" si="504"/>
        <v/>
      </c>
      <c r="U4612" s="83" t="str">
        <f t="shared" si="506"/>
        <v/>
      </c>
      <c r="V4612" s="83" t="str">
        <f t="shared" si="507"/>
        <v/>
      </c>
      <c r="AA4612" s="60">
        <f t="shared" si="508"/>
        <v>0</v>
      </c>
      <c r="AB4612" s="49">
        <f t="shared" si="509"/>
        <v>0</v>
      </c>
      <c r="AC4612" s="60">
        <f t="shared" si="510"/>
        <v>0</v>
      </c>
    </row>
    <row r="4613" spans="1:29">
      <c r="A4613" s="83" t="str">
        <f t="shared" si="505"/>
        <v/>
      </c>
      <c r="B4613" s="83" t="str">
        <f t="shared" si="504"/>
        <v/>
      </c>
      <c r="U4613" s="83" t="str">
        <f t="shared" si="506"/>
        <v/>
      </c>
      <c r="V4613" s="83" t="str">
        <f t="shared" si="507"/>
        <v/>
      </c>
      <c r="AA4613" s="60">
        <f t="shared" si="508"/>
        <v>0</v>
      </c>
      <c r="AB4613" s="49">
        <f t="shared" si="509"/>
        <v>0</v>
      </c>
      <c r="AC4613" s="60">
        <f t="shared" si="510"/>
        <v>0</v>
      </c>
    </row>
    <row r="4614" spans="1:29">
      <c r="A4614" s="83" t="str">
        <f t="shared" si="505"/>
        <v/>
      </c>
      <c r="B4614" s="83" t="str">
        <f t="shared" si="504"/>
        <v/>
      </c>
      <c r="U4614" s="83" t="str">
        <f t="shared" si="506"/>
        <v/>
      </c>
      <c r="V4614" s="83" t="str">
        <f t="shared" si="507"/>
        <v/>
      </c>
      <c r="AA4614" s="60">
        <f t="shared" si="508"/>
        <v>0</v>
      </c>
      <c r="AB4614" s="49">
        <f t="shared" si="509"/>
        <v>0</v>
      </c>
      <c r="AC4614" s="60">
        <f t="shared" si="510"/>
        <v>0</v>
      </c>
    </row>
    <row r="4615" spans="1:29">
      <c r="A4615" s="83" t="str">
        <f t="shared" si="505"/>
        <v/>
      </c>
      <c r="B4615" s="83" t="str">
        <f t="shared" si="504"/>
        <v/>
      </c>
      <c r="U4615" s="83" t="str">
        <f t="shared" si="506"/>
        <v/>
      </c>
      <c r="V4615" s="83" t="str">
        <f t="shared" si="507"/>
        <v/>
      </c>
      <c r="AA4615" s="60">
        <f t="shared" si="508"/>
        <v>0</v>
      </c>
      <c r="AB4615" s="49">
        <f t="shared" si="509"/>
        <v>0</v>
      </c>
      <c r="AC4615" s="60">
        <f t="shared" si="510"/>
        <v>0</v>
      </c>
    </row>
    <row r="4616" spans="1:29">
      <c r="A4616" s="83" t="str">
        <f t="shared" si="505"/>
        <v/>
      </c>
      <c r="B4616" s="83" t="str">
        <f t="shared" si="504"/>
        <v/>
      </c>
      <c r="U4616" s="83" t="str">
        <f t="shared" si="506"/>
        <v/>
      </c>
      <c r="V4616" s="83" t="str">
        <f t="shared" si="507"/>
        <v/>
      </c>
      <c r="AA4616" s="60">
        <f t="shared" si="508"/>
        <v>0</v>
      </c>
      <c r="AB4616" s="49">
        <f t="shared" si="509"/>
        <v>0</v>
      </c>
      <c r="AC4616" s="60">
        <f t="shared" si="510"/>
        <v>0</v>
      </c>
    </row>
    <row r="4617" spans="1:29">
      <c r="A4617" s="83" t="str">
        <f t="shared" si="505"/>
        <v/>
      </c>
      <c r="B4617" s="83" t="str">
        <f t="shared" si="504"/>
        <v/>
      </c>
      <c r="U4617" s="83" t="str">
        <f t="shared" si="506"/>
        <v/>
      </c>
      <c r="V4617" s="83" t="str">
        <f t="shared" si="507"/>
        <v/>
      </c>
      <c r="AA4617" s="60">
        <f t="shared" si="508"/>
        <v>0</v>
      </c>
      <c r="AB4617" s="49">
        <f t="shared" si="509"/>
        <v>0</v>
      </c>
      <c r="AC4617" s="60">
        <f t="shared" si="510"/>
        <v>0</v>
      </c>
    </row>
    <row r="4618" spans="1:29">
      <c r="A4618" s="83" t="str">
        <f t="shared" si="505"/>
        <v/>
      </c>
      <c r="B4618" s="83" t="str">
        <f t="shared" si="504"/>
        <v/>
      </c>
      <c r="U4618" s="83" t="str">
        <f t="shared" si="506"/>
        <v/>
      </c>
      <c r="V4618" s="83" t="str">
        <f t="shared" si="507"/>
        <v/>
      </c>
      <c r="AA4618" s="60">
        <f t="shared" si="508"/>
        <v>0</v>
      </c>
      <c r="AB4618" s="49">
        <f t="shared" si="509"/>
        <v>0</v>
      </c>
      <c r="AC4618" s="60">
        <f t="shared" si="510"/>
        <v>0</v>
      </c>
    </row>
    <row r="4619" spans="1:29">
      <c r="A4619" s="83" t="str">
        <f t="shared" si="505"/>
        <v/>
      </c>
      <c r="B4619" s="83" t="str">
        <f t="shared" si="504"/>
        <v/>
      </c>
      <c r="U4619" s="83" t="str">
        <f t="shared" si="506"/>
        <v/>
      </c>
      <c r="V4619" s="83" t="str">
        <f t="shared" si="507"/>
        <v/>
      </c>
      <c r="AA4619" s="60">
        <f t="shared" si="508"/>
        <v>0</v>
      </c>
      <c r="AB4619" s="49">
        <f t="shared" si="509"/>
        <v>0</v>
      </c>
      <c r="AC4619" s="60">
        <f t="shared" si="510"/>
        <v>0</v>
      </c>
    </row>
    <row r="4620" spans="1:29">
      <c r="A4620" s="83" t="str">
        <f t="shared" si="505"/>
        <v/>
      </c>
      <c r="B4620" s="83" t="str">
        <f t="shared" si="504"/>
        <v/>
      </c>
      <c r="U4620" s="83" t="str">
        <f t="shared" si="506"/>
        <v/>
      </c>
      <c r="V4620" s="83" t="str">
        <f t="shared" si="507"/>
        <v/>
      </c>
      <c r="AA4620" s="60">
        <f t="shared" si="508"/>
        <v>0</v>
      </c>
      <c r="AB4620" s="49">
        <f t="shared" si="509"/>
        <v>0</v>
      </c>
      <c r="AC4620" s="60">
        <f t="shared" si="510"/>
        <v>0</v>
      </c>
    </row>
    <row r="4621" spans="1:29">
      <c r="A4621" s="83" t="str">
        <f t="shared" si="505"/>
        <v/>
      </c>
      <c r="B4621" s="83" t="str">
        <f t="shared" si="504"/>
        <v/>
      </c>
      <c r="U4621" s="83" t="str">
        <f t="shared" si="506"/>
        <v/>
      </c>
      <c r="V4621" s="83" t="str">
        <f t="shared" si="507"/>
        <v/>
      </c>
      <c r="AA4621" s="60">
        <f t="shared" si="508"/>
        <v>0</v>
      </c>
      <c r="AB4621" s="49">
        <f t="shared" si="509"/>
        <v>0</v>
      </c>
      <c r="AC4621" s="60">
        <f t="shared" si="510"/>
        <v>0</v>
      </c>
    </row>
    <row r="4622" spans="1:29">
      <c r="A4622" s="83" t="str">
        <f t="shared" si="505"/>
        <v/>
      </c>
      <c r="B4622" s="83" t="str">
        <f t="shared" si="504"/>
        <v/>
      </c>
      <c r="U4622" s="83" t="str">
        <f t="shared" si="506"/>
        <v/>
      </c>
      <c r="V4622" s="83" t="str">
        <f t="shared" si="507"/>
        <v/>
      </c>
      <c r="AA4622" s="60">
        <f t="shared" si="508"/>
        <v>0</v>
      </c>
      <c r="AB4622" s="49">
        <f t="shared" si="509"/>
        <v>0</v>
      </c>
      <c r="AC4622" s="60">
        <f t="shared" si="510"/>
        <v>0</v>
      </c>
    </row>
    <row r="4623" spans="1:29">
      <c r="A4623" s="83" t="str">
        <f t="shared" si="505"/>
        <v/>
      </c>
      <c r="B4623" s="83" t="str">
        <f t="shared" si="504"/>
        <v/>
      </c>
      <c r="U4623" s="83" t="str">
        <f t="shared" si="506"/>
        <v/>
      </c>
      <c r="V4623" s="83" t="str">
        <f t="shared" si="507"/>
        <v/>
      </c>
      <c r="AA4623" s="60">
        <f t="shared" si="508"/>
        <v>0</v>
      </c>
      <c r="AB4623" s="49">
        <f t="shared" si="509"/>
        <v>0</v>
      </c>
      <c r="AC4623" s="60">
        <f t="shared" si="510"/>
        <v>0</v>
      </c>
    </row>
    <row r="4624" spans="1:29">
      <c r="A4624" s="83" t="str">
        <f t="shared" si="505"/>
        <v/>
      </c>
      <c r="B4624" s="83" t="str">
        <f t="shared" si="504"/>
        <v/>
      </c>
      <c r="U4624" s="83" t="str">
        <f t="shared" si="506"/>
        <v/>
      </c>
      <c r="V4624" s="83" t="str">
        <f t="shared" si="507"/>
        <v/>
      </c>
      <c r="AA4624" s="60">
        <f t="shared" si="508"/>
        <v>0</v>
      </c>
      <c r="AB4624" s="49">
        <f t="shared" si="509"/>
        <v>0</v>
      </c>
      <c r="AC4624" s="60">
        <f t="shared" si="510"/>
        <v>0</v>
      </c>
    </row>
    <row r="4625" spans="1:29">
      <c r="A4625" s="83" t="str">
        <f t="shared" si="505"/>
        <v/>
      </c>
      <c r="B4625" s="83" t="str">
        <f t="shared" si="504"/>
        <v/>
      </c>
      <c r="U4625" s="83" t="str">
        <f t="shared" si="506"/>
        <v/>
      </c>
      <c r="V4625" s="83" t="str">
        <f t="shared" si="507"/>
        <v/>
      </c>
      <c r="AA4625" s="60">
        <f t="shared" si="508"/>
        <v>0</v>
      </c>
      <c r="AB4625" s="49">
        <f t="shared" si="509"/>
        <v>0</v>
      </c>
      <c r="AC4625" s="60">
        <f t="shared" si="510"/>
        <v>0</v>
      </c>
    </row>
    <row r="4626" spans="1:29">
      <c r="A4626" s="83" t="str">
        <f t="shared" si="505"/>
        <v/>
      </c>
      <c r="B4626" s="83" t="str">
        <f t="shared" si="504"/>
        <v/>
      </c>
      <c r="U4626" s="83" t="str">
        <f t="shared" si="506"/>
        <v/>
      </c>
      <c r="V4626" s="83" t="str">
        <f t="shared" si="507"/>
        <v/>
      </c>
      <c r="AA4626" s="60">
        <f t="shared" si="508"/>
        <v>0</v>
      </c>
      <c r="AB4626" s="49">
        <f t="shared" si="509"/>
        <v>0</v>
      </c>
      <c r="AC4626" s="60">
        <f t="shared" si="510"/>
        <v>0</v>
      </c>
    </row>
    <row r="4627" spans="1:29">
      <c r="A4627" s="83" t="str">
        <f t="shared" si="505"/>
        <v/>
      </c>
      <c r="B4627" s="83" t="str">
        <f t="shared" si="504"/>
        <v/>
      </c>
      <c r="U4627" s="83" t="str">
        <f t="shared" si="506"/>
        <v/>
      </c>
      <c r="V4627" s="83" t="str">
        <f t="shared" si="507"/>
        <v/>
      </c>
      <c r="AA4627" s="60">
        <f t="shared" si="508"/>
        <v>0</v>
      </c>
      <c r="AB4627" s="49">
        <f t="shared" si="509"/>
        <v>0</v>
      </c>
      <c r="AC4627" s="60">
        <f t="shared" si="510"/>
        <v>0</v>
      </c>
    </row>
    <row r="4628" spans="1:29">
      <c r="A4628" s="83" t="str">
        <f t="shared" si="505"/>
        <v/>
      </c>
      <c r="B4628" s="83" t="str">
        <f t="shared" si="504"/>
        <v/>
      </c>
      <c r="U4628" s="83" t="str">
        <f t="shared" si="506"/>
        <v/>
      </c>
      <c r="V4628" s="83" t="str">
        <f t="shared" si="507"/>
        <v/>
      </c>
      <c r="AA4628" s="60">
        <f t="shared" si="508"/>
        <v>0</v>
      </c>
      <c r="AB4628" s="49">
        <f t="shared" si="509"/>
        <v>0</v>
      </c>
      <c r="AC4628" s="60">
        <f t="shared" si="510"/>
        <v>0</v>
      </c>
    </row>
    <row r="4629" spans="1:29">
      <c r="A4629" s="83" t="str">
        <f t="shared" si="505"/>
        <v/>
      </c>
      <c r="B4629" s="83" t="str">
        <f t="shared" si="504"/>
        <v/>
      </c>
      <c r="U4629" s="83" t="str">
        <f t="shared" si="506"/>
        <v/>
      </c>
      <c r="V4629" s="83" t="str">
        <f t="shared" si="507"/>
        <v/>
      </c>
      <c r="AA4629" s="60">
        <f t="shared" si="508"/>
        <v>0</v>
      </c>
      <c r="AB4629" s="49">
        <f t="shared" si="509"/>
        <v>0</v>
      </c>
      <c r="AC4629" s="60">
        <f t="shared" si="510"/>
        <v>0</v>
      </c>
    </row>
    <row r="4630" spans="1:29">
      <c r="A4630" s="83" t="str">
        <f t="shared" si="505"/>
        <v/>
      </c>
      <c r="B4630" s="83" t="str">
        <f t="shared" si="504"/>
        <v/>
      </c>
      <c r="U4630" s="83" t="str">
        <f t="shared" si="506"/>
        <v/>
      </c>
      <c r="V4630" s="83" t="str">
        <f t="shared" si="507"/>
        <v/>
      </c>
      <c r="AA4630" s="60">
        <f t="shared" si="508"/>
        <v>0</v>
      </c>
      <c r="AB4630" s="49">
        <f t="shared" si="509"/>
        <v>0</v>
      </c>
      <c r="AC4630" s="60">
        <f t="shared" si="510"/>
        <v>0</v>
      </c>
    </row>
    <row r="4631" spans="1:29">
      <c r="A4631" s="83" t="str">
        <f t="shared" si="505"/>
        <v/>
      </c>
      <c r="B4631" s="83" t="str">
        <f t="shared" si="504"/>
        <v/>
      </c>
      <c r="U4631" s="83" t="str">
        <f t="shared" si="506"/>
        <v/>
      </c>
      <c r="V4631" s="83" t="str">
        <f t="shared" si="507"/>
        <v/>
      </c>
      <c r="AA4631" s="60">
        <f t="shared" si="508"/>
        <v>0</v>
      </c>
      <c r="AB4631" s="49">
        <f t="shared" si="509"/>
        <v>0</v>
      </c>
      <c r="AC4631" s="60">
        <f t="shared" si="510"/>
        <v>0</v>
      </c>
    </row>
    <row r="4632" spans="1:29">
      <c r="A4632" s="83" t="str">
        <f t="shared" si="505"/>
        <v/>
      </c>
      <c r="B4632" s="83" t="str">
        <f t="shared" si="504"/>
        <v/>
      </c>
      <c r="U4632" s="83" t="str">
        <f t="shared" si="506"/>
        <v/>
      </c>
      <c r="V4632" s="83" t="str">
        <f t="shared" si="507"/>
        <v/>
      </c>
      <c r="AA4632" s="60">
        <f t="shared" si="508"/>
        <v>0</v>
      </c>
      <c r="AB4632" s="49">
        <f t="shared" si="509"/>
        <v>0</v>
      </c>
      <c r="AC4632" s="60">
        <f t="shared" si="510"/>
        <v>0</v>
      </c>
    </row>
    <row r="4633" spans="1:29">
      <c r="A4633" s="83" t="str">
        <f t="shared" si="505"/>
        <v/>
      </c>
      <c r="B4633" s="83" t="str">
        <f t="shared" si="504"/>
        <v/>
      </c>
      <c r="U4633" s="83" t="str">
        <f t="shared" si="506"/>
        <v/>
      </c>
      <c r="V4633" s="83" t="str">
        <f t="shared" si="507"/>
        <v/>
      </c>
      <c r="AA4633" s="60">
        <f t="shared" si="508"/>
        <v>0</v>
      </c>
      <c r="AB4633" s="49">
        <f t="shared" si="509"/>
        <v>0</v>
      </c>
      <c r="AC4633" s="60">
        <f t="shared" si="510"/>
        <v>0</v>
      </c>
    </row>
    <row r="4634" spans="1:29">
      <c r="A4634" s="83" t="str">
        <f t="shared" si="505"/>
        <v/>
      </c>
      <c r="B4634" s="83" t="str">
        <f t="shared" si="504"/>
        <v/>
      </c>
      <c r="U4634" s="83" t="str">
        <f t="shared" si="506"/>
        <v/>
      </c>
      <c r="V4634" s="83" t="str">
        <f t="shared" si="507"/>
        <v/>
      </c>
      <c r="AA4634" s="60">
        <f t="shared" si="508"/>
        <v>0</v>
      </c>
      <c r="AB4634" s="49">
        <f t="shared" si="509"/>
        <v>0</v>
      </c>
      <c r="AC4634" s="60">
        <f t="shared" si="510"/>
        <v>0</v>
      </c>
    </row>
    <row r="4635" spans="1:29">
      <c r="A4635" s="83" t="str">
        <f t="shared" si="505"/>
        <v/>
      </c>
      <c r="B4635" s="83" t="str">
        <f t="shared" si="504"/>
        <v/>
      </c>
      <c r="U4635" s="83" t="str">
        <f t="shared" si="506"/>
        <v/>
      </c>
      <c r="V4635" s="83" t="str">
        <f t="shared" si="507"/>
        <v/>
      </c>
      <c r="AA4635" s="60">
        <f t="shared" si="508"/>
        <v>0</v>
      </c>
      <c r="AB4635" s="49">
        <f t="shared" si="509"/>
        <v>0</v>
      </c>
      <c r="AC4635" s="60">
        <f t="shared" si="510"/>
        <v>0</v>
      </c>
    </row>
    <row r="4636" spans="1:29">
      <c r="A4636" s="83" t="str">
        <f t="shared" si="505"/>
        <v/>
      </c>
      <c r="B4636" s="83" t="str">
        <f t="shared" si="504"/>
        <v/>
      </c>
      <c r="U4636" s="83" t="str">
        <f t="shared" si="506"/>
        <v/>
      </c>
      <c r="V4636" s="83" t="str">
        <f t="shared" si="507"/>
        <v/>
      </c>
      <c r="AA4636" s="60">
        <f t="shared" si="508"/>
        <v>0</v>
      </c>
      <c r="AB4636" s="49">
        <f t="shared" si="509"/>
        <v>0</v>
      </c>
      <c r="AC4636" s="60">
        <f t="shared" si="510"/>
        <v>0</v>
      </c>
    </row>
    <row r="4637" spans="1:29">
      <c r="A4637" s="83" t="str">
        <f t="shared" si="505"/>
        <v/>
      </c>
      <c r="B4637" s="83" t="str">
        <f t="shared" si="504"/>
        <v/>
      </c>
      <c r="U4637" s="83" t="str">
        <f t="shared" si="506"/>
        <v/>
      </c>
      <c r="V4637" s="83" t="str">
        <f t="shared" si="507"/>
        <v/>
      </c>
      <c r="AA4637" s="60">
        <f t="shared" si="508"/>
        <v>0</v>
      </c>
      <c r="AB4637" s="49">
        <f t="shared" si="509"/>
        <v>0</v>
      </c>
      <c r="AC4637" s="60">
        <f t="shared" si="510"/>
        <v>0</v>
      </c>
    </row>
    <row r="4638" spans="1:29">
      <c r="A4638" s="83" t="str">
        <f t="shared" si="505"/>
        <v/>
      </c>
      <c r="B4638" s="83" t="str">
        <f t="shared" si="504"/>
        <v/>
      </c>
      <c r="U4638" s="83" t="str">
        <f t="shared" si="506"/>
        <v/>
      </c>
      <c r="V4638" s="83" t="str">
        <f t="shared" si="507"/>
        <v/>
      </c>
      <c r="AA4638" s="60">
        <f t="shared" si="508"/>
        <v>0</v>
      </c>
      <c r="AB4638" s="49">
        <f t="shared" si="509"/>
        <v>0</v>
      </c>
      <c r="AC4638" s="60">
        <f t="shared" si="510"/>
        <v>0</v>
      </c>
    </row>
    <row r="4639" spans="1:29">
      <c r="A4639" s="83" t="str">
        <f t="shared" si="505"/>
        <v/>
      </c>
      <c r="B4639" s="83" t="str">
        <f t="shared" si="504"/>
        <v/>
      </c>
      <c r="U4639" s="83" t="str">
        <f t="shared" si="506"/>
        <v/>
      </c>
      <c r="V4639" s="83" t="str">
        <f t="shared" si="507"/>
        <v/>
      </c>
      <c r="AA4639" s="60">
        <f t="shared" si="508"/>
        <v>0</v>
      </c>
      <c r="AB4639" s="49">
        <f t="shared" si="509"/>
        <v>0</v>
      </c>
      <c r="AC4639" s="60">
        <f t="shared" si="510"/>
        <v>0</v>
      </c>
    </row>
    <row r="4640" spans="1:29">
      <c r="A4640" s="83" t="str">
        <f t="shared" si="505"/>
        <v/>
      </c>
      <c r="B4640" s="83" t="str">
        <f t="shared" si="504"/>
        <v/>
      </c>
      <c r="U4640" s="83" t="str">
        <f t="shared" si="506"/>
        <v/>
      </c>
      <c r="V4640" s="83" t="str">
        <f t="shared" si="507"/>
        <v/>
      </c>
      <c r="AA4640" s="60">
        <f t="shared" si="508"/>
        <v>0</v>
      </c>
      <c r="AB4640" s="49">
        <f t="shared" si="509"/>
        <v>0</v>
      </c>
      <c r="AC4640" s="60">
        <f t="shared" si="510"/>
        <v>0</v>
      </c>
    </row>
    <row r="4641" spans="1:29">
      <c r="A4641" s="83" t="str">
        <f t="shared" si="505"/>
        <v/>
      </c>
      <c r="B4641" s="83" t="str">
        <f t="shared" ref="B4641:B4704" si="511">IF(C4641&lt;&gt;"",LEFT(C4641,9),"")</f>
        <v/>
      </c>
      <c r="U4641" s="83" t="str">
        <f t="shared" si="506"/>
        <v/>
      </c>
      <c r="V4641" s="83" t="str">
        <f t="shared" si="507"/>
        <v/>
      </c>
      <c r="AA4641" s="60">
        <f t="shared" si="508"/>
        <v>0</v>
      </c>
      <c r="AB4641" s="49">
        <f t="shared" si="509"/>
        <v>0</v>
      </c>
      <c r="AC4641" s="60">
        <f t="shared" si="510"/>
        <v>0</v>
      </c>
    </row>
    <row r="4642" spans="1:29">
      <c r="A4642" s="83" t="str">
        <f t="shared" si="505"/>
        <v/>
      </c>
      <c r="B4642" s="83" t="str">
        <f t="shared" si="511"/>
        <v/>
      </c>
      <c r="U4642" s="83" t="str">
        <f t="shared" si="506"/>
        <v/>
      </c>
      <c r="V4642" s="83" t="str">
        <f t="shared" si="507"/>
        <v/>
      </c>
      <c r="AA4642" s="60">
        <f t="shared" si="508"/>
        <v>0</v>
      </c>
      <c r="AB4642" s="49">
        <f t="shared" si="509"/>
        <v>0</v>
      </c>
      <c r="AC4642" s="60">
        <f t="shared" si="510"/>
        <v>0</v>
      </c>
    </row>
    <row r="4643" spans="1:29">
      <c r="A4643" s="83" t="str">
        <f t="shared" si="505"/>
        <v/>
      </c>
      <c r="B4643" s="83" t="str">
        <f t="shared" si="511"/>
        <v/>
      </c>
      <c r="U4643" s="83" t="str">
        <f t="shared" si="506"/>
        <v/>
      </c>
      <c r="V4643" s="83" t="str">
        <f t="shared" si="507"/>
        <v/>
      </c>
      <c r="AA4643" s="60">
        <f t="shared" si="508"/>
        <v>0</v>
      </c>
      <c r="AB4643" s="49">
        <f t="shared" si="509"/>
        <v>0</v>
      </c>
      <c r="AC4643" s="60">
        <f t="shared" si="510"/>
        <v>0</v>
      </c>
    </row>
    <row r="4644" spans="1:29">
      <c r="A4644" s="83" t="str">
        <f t="shared" si="505"/>
        <v/>
      </c>
      <c r="B4644" s="83" t="str">
        <f t="shared" si="511"/>
        <v/>
      </c>
      <c r="U4644" s="83" t="str">
        <f t="shared" si="506"/>
        <v/>
      </c>
      <c r="V4644" s="83" t="str">
        <f t="shared" si="507"/>
        <v/>
      </c>
      <c r="AA4644" s="60">
        <f t="shared" si="508"/>
        <v>0</v>
      </c>
      <c r="AB4644" s="49">
        <f t="shared" si="509"/>
        <v>0</v>
      </c>
      <c r="AC4644" s="60">
        <f t="shared" si="510"/>
        <v>0</v>
      </c>
    </row>
    <row r="4645" spans="1:29">
      <c r="A4645" s="83" t="str">
        <f t="shared" si="505"/>
        <v/>
      </c>
      <c r="B4645" s="83" t="str">
        <f t="shared" si="511"/>
        <v/>
      </c>
      <c r="U4645" s="83" t="str">
        <f t="shared" si="506"/>
        <v/>
      </c>
      <c r="V4645" s="83" t="str">
        <f t="shared" si="507"/>
        <v/>
      </c>
      <c r="AA4645" s="60">
        <f t="shared" si="508"/>
        <v>0</v>
      </c>
      <c r="AB4645" s="49">
        <f t="shared" si="509"/>
        <v>0</v>
      </c>
      <c r="AC4645" s="60">
        <f t="shared" si="510"/>
        <v>0</v>
      </c>
    </row>
    <row r="4646" spans="1:29">
      <c r="A4646" s="83" t="str">
        <f t="shared" si="505"/>
        <v/>
      </c>
      <c r="B4646" s="83" t="str">
        <f t="shared" si="511"/>
        <v/>
      </c>
      <c r="U4646" s="83" t="str">
        <f t="shared" si="506"/>
        <v/>
      </c>
      <c r="V4646" s="83" t="str">
        <f t="shared" si="507"/>
        <v/>
      </c>
      <c r="AA4646" s="60">
        <f t="shared" si="508"/>
        <v>0</v>
      </c>
      <c r="AB4646" s="49">
        <f t="shared" si="509"/>
        <v>0</v>
      </c>
      <c r="AC4646" s="60">
        <f t="shared" si="510"/>
        <v>0</v>
      </c>
    </row>
    <row r="4647" spans="1:29">
      <c r="A4647" s="83" t="str">
        <f t="shared" si="505"/>
        <v/>
      </c>
      <c r="B4647" s="83" t="str">
        <f t="shared" si="511"/>
        <v/>
      </c>
      <c r="U4647" s="83" t="str">
        <f t="shared" si="506"/>
        <v/>
      </c>
      <c r="V4647" s="83" t="str">
        <f t="shared" si="507"/>
        <v/>
      </c>
      <c r="AA4647" s="60">
        <f t="shared" si="508"/>
        <v>0</v>
      </c>
      <c r="AB4647" s="49">
        <f t="shared" si="509"/>
        <v>0</v>
      </c>
      <c r="AC4647" s="60">
        <f t="shared" si="510"/>
        <v>0</v>
      </c>
    </row>
    <row r="4648" spans="1:29">
      <c r="A4648" s="83" t="str">
        <f t="shared" si="505"/>
        <v/>
      </c>
      <c r="B4648" s="83" t="str">
        <f t="shared" si="511"/>
        <v/>
      </c>
      <c r="U4648" s="83" t="str">
        <f t="shared" si="506"/>
        <v/>
      </c>
      <c r="V4648" s="83" t="str">
        <f t="shared" si="507"/>
        <v/>
      </c>
      <c r="AA4648" s="60">
        <f t="shared" si="508"/>
        <v>0</v>
      </c>
      <c r="AB4648" s="49">
        <f t="shared" si="509"/>
        <v>0</v>
      </c>
      <c r="AC4648" s="60">
        <f t="shared" si="510"/>
        <v>0</v>
      </c>
    </row>
    <row r="4649" spans="1:29">
      <c r="A4649" s="83" t="str">
        <f t="shared" si="505"/>
        <v/>
      </c>
      <c r="B4649" s="83" t="str">
        <f t="shared" si="511"/>
        <v/>
      </c>
      <c r="U4649" s="83" t="str">
        <f t="shared" si="506"/>
        <v/>
      </c>
      <c r="V4649" s="83" t="str">
        <f t="shared" si="507"/>
        <v/>
      </c>
      <c r="AA4649" s="60">
        <f t="shared" si="508"/>
        <v>0</v>
      </c>
      <c r="AB4649" s="49">
        <f t="shared" si="509"/>
        <v>0</v>
      </c>
      <c r="AC4649" s="60">
        <f t="shared" si="510"/>
        <v>0</v>
      </c>
    </row>
    <row r="4650" spans="1:29">
      <c r="A4650" s="83" t="str">
        <f t="shared" si="505"/>
        <v/>
      </c>
      <c r="B4650" s="83" t="str">
        <f t="shared" si="511"/>
        <v/>
      </c>
      <c r="U4650" s="83" t="str">
        <f t="shared" si="506"/>
        <v/>
      </c>
      <c r="V4650" s="83" t="str">
        <f t="shared" si="507"/>
        <v/>
      </c>
      <c r="AA4650" s="60">
        <f t="shared" si="508"/>
        <v>0</v>
      </c>
      <c r="AB4650" s="49">
        <f t="shared" si="509"/>
        <v>0</v>
      </c>
      <c r="AC4650" s="60">
        <f t="shared" si="510"/>
        <v>0</v>
      </c>
    </row>
    <row r="4651" spans="1:29">
      <c r="A4651" s="83" t="str">
        <f t="shared" si="505"/>
        <v/>
      </c>
      <c r="B4651" s="83" t="str">
        <f t="shared" si="511"/>
        <v/>
      </c>
      <c r="U4651" s="83" t="str">
        <f t="shared" si="506"/>
        <v/>
      </c>
      <c r="V4651" s="83" t="str">
        <f t="shared" si="507"/>
        <v/>
      </c>
      <c r="AA4651" s="60">
        <f t="shared" si="508"/>
        <v>0</v>
      </c>
      <c r="AB4651" s="49">
        <f t="shared" si="509"/>
        <v>0</v>
      </c>
      <c r="AC4651" s="60">
        <f t="shared" si="510"/>
        <v>0</v>
      </c>
    </row>
    <row r="4652" spans="1:29">
      <c r="A4652" s="83" t="str">
        <f t="shared" si="505"/>
        <v/>
      </c>
      <c r="B4652" s="83" t="str">
        <f t="shared" si="511"/>
        <v/>
      </c>
      <c r="U4652" s="83" t="str">
        <f t="shared" si="506"/>
        <v/>
      </c>
      <c r="V4652" s="83" t="str">
        <f t="shared" si="507"/>
        <v/>
      </c>
      <c r="AA4652" s="60">
        <f t="shared" si="508"/>
        <v>0</v>
      </c>
      <c r="AB4652" s="49">
        <f t="shared" si="509"/>
        <v>0</v>
      </c>
      <c r="AC4652" s="60">
        <f t="shared" si="510"/>
        <v>0</v>
      </c>
    </row>
    <row r="4653" spans="1:29">
      <c r="A4653" s="83" t="str">
        <f t="shared" si="505"/>
        <v/>
      </c>
      <c r="B4653" s="83" t="str">
        <f t="shared" si="511"/>
        <v/>
      </c>
      <c r="U4653" s="83" t="str">
        <f t="shared" si="506"/>
        <v/>
      </c>
      <c r="V4653" s="83" t="str">
        <f t="shared" si="507"/>
        <v/>
      </c>
      <c r="AA4653" s="60">
        <f t="shared" si="508"/>
        <v>0</v>
      </c>
      <c r="AB4653" s="49">
        <f t="shared" si="509"/>
        <v>0</v>
      </c>
      <c r="AC4653" s="60">
        <f t="shared" si="510"/>
        <v>0</v>
      </c>
    </row>
    <row r="4654" spans="1:29">
      <c r="A4654" s="83" t="str">
        <f t="shared" si="505"/>
        <v/>
      </c>
      <c r="B4654" s="83" t="str">
        <f t="shared" si="511"/>
        <v/>
      </c>
      <c r="U4654" s="83" t="str">
        <f t="shared" si="506"/>
        <v/>
      </c>
      <c r="V4654" s="83" t="str">
        <f t="shared" si="507"/>
        <v/>
      </c>
      <c r="AA4654" s="60">
        <f t="shared" si="508"/>
        <v>0</v>
      </c>
      <c r="AB4654" s="49">
        <f t="shared" si="509"/>
        <v>0</v>
      </c>
      <c r="AC4654" s="60">
        <f t="shared" si="510"/>
        <v>0</v>
      </c>
    </row>
    <row r="4655" spans="1:29">
      <c r="A4655" s="83" t="str">
        <f t="shared" si="505"/>
        <v/>
      </c>
      <c r="B4655" s="83" t="str">
        <f t="shared" si="511"/>
        <v/>
      </c>
      <c r="U4655" s="83" t="str">
        <f t="shared" si="506"/>
        <v/>
      </c>
      <c r="V4655" s="83" t="str">
        <f t="shared" si="507"/>
        <v/>
      </c>
      <c r="AA4655" s="60">
        <f t="shared" si="508"/>
        <v>0</v>
      </c>
      <c r="AB4655" s="49">
        <f t="shared" si="509"/>
        <v>0</v>
      </c>
      <c r="AC4655" s="60">
        <f t="shared" si="510"/>
        <v>0</v>
      </c>
    </row>
    <row r="4656" spans="1:29">
      <c r="A4656" s="83" t="str">
        <f t="shared" si="505"/>
        <v/>
      </c>
      <c r="B4656" s="83" t="str">
        <f t="shared" si="511"/>
        <v/>
      </c>
      <c r="U4656" s="83" t="str">
        <f t="shared" si="506"/>
        <v/>
      </c>
      <c r="V4656" s="83" t="str">
        <f t="shared" si="507"/>
        <v/>
      </c>
      <c r="AA4656" s="60">
        <f t="shared" si="508"/>
        <v>0</v>
      </c>
      <c r="AB4656" s="49">
        <f t="shared" si="509"/>
        <v>0</v>
      </c>
      <c r="AC4656" s="60">
        <f t="shared" si="510"/>
        <v>0</v>
      </c>
    </row>
    <row r="4657" spans="1:29">
      <c r="A4657" s="83" t="str">
        <f t="shared" si="505"/>
        <v/>
      </c>
      <c r="B4657" s="83" t="str">
        <f t="shared" si="511"/>
        <v/>
      </c>
      <c r="U4657" s="83" t="str">
        <f t="shared" si="506"/>
        <v/>
      </c>
      <c r="V4657" s="83" t="str">
        <f t="shared" si="507"/>
        <v/>
      </c>
      <c r="AA4657" s="60">
        <f t="shared" si="508"/>
        <v>0</v>
      </c>
      <c r="AB4657" s="49">
        <f t="shared" si="509"/>
        <v>0</v>
      </c>
      <c r="AC4657" s="60">
        <f t="shared" si="510"/>
        <v>0</v>
      </c>
    </row>
    <row r="4658" spans="1:29">
      <c r="A4658" s="83" t="str">
        <f t="shared" si="505"/>
        <v/>
      </c>
      <c r="B4658" s="83" t="str">
        <f t="shared" si="511"/>
        <v/>
      </c>
      <c r="U4658" s="83" t="str">
        <f t="shared" si="506"/>
        <v/>
      </c>
      <c r="V4658" s="83" t="str">
        <f t="shared" si="507"/>
        <v/>
      </c>
      <c r="AA4658" s="60">
        <f t="shared" si="508"/>
        <v>0</v>
      </c>
      <c r="AB4658" s="49">
        <f t="shared" si="509"/>
        <v>0</v>
      </c>
      <c r="AC4658" s="60">
        <f t="shared" si="510"/>
        <v>0</v>
      </c>
    </row>
    <row r="4659" spans="1:29">
      <c r="A4659" s="83" t="str">
        <f t="shared" si="505"/>
        <v/>
      </c>
      <c r="B4659" s="83" t="str">
        <f t="shared" si="511"/>
        <v/>
      </c>
      <c r="U4659" s="83" t="str">
        <f t="shared" si="506"/>
        <v/>
      </c>
      <c r="V4659" s="83" t="str">
        <f t="shared" si="507"/>
        <v/>
      </c>
      <c r="AA4659" s="60">
        <f t="shared" si="508"/>
        <v>0</v>
      </c>
      <c r="AB4659" s="49">
        <f t="shared" si="509"/>
        <v>0</v>
      </c>
      <c r="AC4659" s="60">
        <f t="shared" si="510"/>
        <v>0</v>
      </c>
    </row>
    <row r="4660" spans="1:29">
      <c r="A4660" s="83" t="str">
        <f t="shared" si="505"/>
        <v/>
      </c>
      <c r="B4660" s="83" t="str">
        <f t="shared" si="511"/>
        <v/>
      </c>
      <c r="U4660" s="83" t="str">
        <f t="shared" si="506"/>
        <v/>
      </c>
      <c r="V4660" s="83" t="str">
        <f t="shared" si="507"/>
        <v/>
      </c>
      <c r="AA4660" s="60">
        <f t="shared" si="508"/>
        <v>0</v>
      </c>
      <c r="AB4660" s="49">
        <f t="shared" si="509"/>
        <v>0</v>
      </c>
      <c r="AC4660" s="60">
        <f t="shared" si="510"/>
        <v>0</v>
      </c>
    </row>
    <row r="4661" spans="1:29">
      <c r="A4661" s="83" t="str">
        <f t="shared" si="505"/>
        <v/>
      </c>
      <c r="B4661" s="83" t="str">
        <f t="shared" si="511"/>
        <v/>
      </c>
      <c r="U4661" s="83" t="str">
        <f t="shared" si="506"/>
        <v/>
      </c>
      <c r="V4661" s="83" t="str">
        <f t="shared" si="507"/>
        <v/>
      </c>
      <c r="AA4661" s="60">
        <f t="shared" si="508"/>
        <v>0</v>
      </c>
      <c r="AB4661" s="49">
        <f t="shared" si="509"/>
        <v>0</v>
      </c>
      <c r="AC4661" s="60">
        <f t="shared" si="510"/>
        <v>0</v>
      </c>
    </row>
    <row r="4662" spans="1:29">
      <c r="A4662" s="83" t="str">
        <f t="shared" si="505"/>
        <v/>
      </c>
      <c r="B4662" s="83" t="str">
        <f t="shared" si="511"/>
        <v/>
      </c>
      <c r="U4662" s="83" t="str">
        <f t="shared" si="506"/>
        <v/>
      </c>
      <c r="V4662" s="83" t="str">
        <f t="shared" si="507"/>
        <v/>
      </c>
      <c r="AA4662" s="60">
        <f t="shared" si="508"/>
        <v>0</v>
      </c>
      <c r="AB4662" s="49">
        <f t="shared" si="509"/>
        <v>0</v>
      </c>
      <c r="AC4662" s="60">
        <f t="shared" si="510"/>
        <v>0</v>
      </c>
    </row>
    <row r="4663" spans="1:29">
      <c r="A4663" s="83" t="str">
        <f t="shared" si="505"/>
        <v/>
      </c>
      <c r="B4663" s="83" t="str">
        <f t="shared" si="511"/>
        <v/>
      </c>
      <c r="U4663" s="83" t="str">
        <f t="shared" si="506"/>
        <v/>
      </c>
      <c r="V4663" s="83" t="str">
        <f t="shared" si="507"/>
        <v/>
      </c>
      <c r="AA4663" s="60">
        <f t="shared" si="508"/>
        <v>0</v>
      </c>
      <c r="AB4663" s="49">
        <f t="shared" si="509"/>
        <v>0</v>
      </c>
      <c r="AC4663" s="60">
        <f t="shared" si="510"/>
        <v>0</v>
      </c>
    </row>
    <row r="4664" spans="1:29">
      <c r="A4664" s="83" t="str">
        <f t="shared" si="505"/>
        <v/>
      </c>
      <c r="B4664" s="83" t="str">
        <f t="shared" si="511"/>
        <v/>
      </c>
      <c r="U4664" s="83" t="str">
        <f t="shared" si="506"/>
        <v/>
      </c>
      <c r="V4664" s="83" t="str">
        <f t="shared" si="507"/>
        <v/>
      </c>
      <c r="AA4664" s="60">
        <f t="shared" si="508"/>
        <v>0</v>
      </c>
      <c r="AB4664" s="49">
        <f t="shared" si="509"/>
        <v>0</v>
      </c>
      <c r="AC4664" s="60">
        <f t="shared" si="510"/>
        <v>0</v>
      </c>
    </row>
    <row r="4665" spans="1:29">
      <c r="A4665" s="83" t="str">
        <f t="shared" si="505"/>
        <v/>
      </c>
      <c r="B4665" s="83" t="str">
        <f t="shared" si="511"/>
        <v/>
      </c>
      <c r="U4665" s="83" t="str">
        <f t="shared" si="506"/>
        <v/>
      </c>
      <c r="V4665" s="83" t="str">
        <f t="shared" si="507"/>
        <v/>
      </c>
      <c r="AA4665" s="60">
        <f t="shared" si="508"/>
        <v>0</v>
      </c>
      <c r="AB4665" s="49">
        <f t="shared" si="509"/>
        <v>0</v>
      </c>
      <c r="AC4665" s="60">
        <f t="shared" si="510"/>
        <v>0</v>
      </c>
    </row>
    <row r="4666" spans="1:29">
      <c r="A4666" s="83" t="str">
        <f t="shared" si="505"/>
        <v/>
      </c>
      <c r="B4666" s="83" t="str">
        <f t="shared" si="511"/>
        <v/>
      </c>
      <c r="U4666" s="83" t="str">
        <f t="shared" si="506"/>
        <v/>
      </c>
      <c r="V4666" s="83" t="str">
        <f t="shared" si="507"/>
        <v/>
      </c>
      <c r="AA4666" s="60">
        <f t="shared" si="508"/>
        <v>0</v>
      </c>
      <c r="AB4666" s="49">
        <f t="shared" si="509"/>
        <v>0</v>
      </c>
      <c r="AC4666" s="60">
        <f t="shared" si="510"/>
        <v>0</v>
      </c>
    </row>
    <row r="4667" spans="1:29">
      <c r="A4667" s="83" t="str">
        <f t="shared" si="505"/>
        <v/>
      </c>
      <c r="B4667" s="83" t="str">
        <f t="shared" si="511"/>
        <v/>
      </c>
      <c r="U4667" s="83" t="str">
        <f t="shared" si="506"/>
        <v/>
      </c>
      <c r="V4667" s="83" t="str">
        <f t="shared" si="507"/>
        <v/>
      </c>
      <c r="AA4667" s="60">
        <f t="shared" si="508"/>
        <v>0</v>
      </c>
      <c r="AB4667" s="49">
        <f t="shared" si="509"/>
        <v>0</v>
      </c>
      <c r="AC4667" s="60">
        <f t="shared" si="510"/>
        <v>0</v>
      </c>
    </row>
    <row r="4668" spans="1:29">
      <c r="A4668" s="83" t="str">
        <f t="shared" si="505"/>
        <v/>
      </c>
      <c r="B4668" s="83" t="str">
        <f t="shared" si="511"/>
        <v/>
      </c>
      <c r="U4668" s="83" t="str">
        <f t="shared" si="506"/>
        <v/>
      </c>
      <c r="V4668" s="83" t="str">
        <f t="shared" si="507"/>
        <v/>
      </c>
      <c r="AA4668" s="60">
        <f t="shared" si="508"/>
        <v>0</v>
      </c>
      <c r="AB4668" s="49">
        <f t="shared" si="509"/>
        <v>0</v>
      </c>
      <c r="AC4668" s="60">
        <f t="shared" si="510"/>
        <v>0</v>
      </c>
    </row>
    <row r="4669" spans="1:29">
      <c r="A4669" s="83" t="str">
        <f t="shared" si="505"/>
        <v/>
      </c>
      <c r="B4669" s="83" t="str">
        <f t="shared" si="511"/>
        <v/>
      </c>
      <c r="U4669" s="83" t="str">
        <f t="shared" si="506"/>
        <v/>
      </c>
      <c r="V4669" s="83" t="str">
        <f t="shared" si="507"/>
        <v/>
      </c>
      <c r="AA4669" s="60">
        <f t="shared" si="508"/>
        <v>0</v>
      </c>
      <c r="AB4669" s="49">
        <f t="shared" si="509"/>
        <v>0</v>
      </c>
      <c r="AC4669" s="60">
        <f t="shared" si="510"/>
        <v>0</v>
      </c>
    </row>
    <row r="4670" spans="1:29">
      <c r="A4670" s="83" t="str">
        <f t="shared" si="505"/>
        <v/>
      </c>
      <c r="B4670" s="83" t="str">
        <f t="shared" si="511"/>
        <v/>
      </c>
      <c r="U4670" s="83" t="str">
        <f t="shared" si="506"/>
        <v/>
      </c>
      <c r="V4670" s="83" t="str">
        <f t="shared" si="507"/>
        <v/>
      </c>
      <c r="AA4670" s="60">
        <f t="shared" si="508"/>
        <v>0</v>
      </c>
      <c r="AB4670" s="49">
        <f t="shared" si="509"/>
        <v>0</v>
      </c>
      <c r="AC4670" s="60">
        <f t="shared" si="510"/>
        <v>0</v>
      </c>
    </row>
    <row r="4671" spans="1:29">
      <c r="A4671" s="83" t="str">
        <f t="shared" si="505"/>
        <v/>
      </c>
      <c r="B4671" s="83" t="str">
        <f t="shared" si="511"/>
        <v/>
      </c>
      <c r="U4671" s="83" t="str">
        <f t="shared" si="506"/>
        <v/>
      </c>
      <c r="V4671" s="83" t="str">
        <f t="shared" si="507"/>
        <v/>
      </c>
      <c r="AA4671" s="60">
        <f t="shared" si="508"/>
        <v>0</v>
      </c>
      <c r="AB4671" s="49">
        <f t="shared" si="509"/>
        <v>0</v>
      </c>
      <c r="AC4671" s="60">
        <f t="shared" si="510"/>
        <v>0</v>
      </c>
    </row>
    <row r="4672" spans="1:29">
      <c r="A4672" s="83" t="str">
        <f t="shared" si="505"/>
        <v/>
      </c>
      <c r="B4672" s="83" t="str">
        <f t="shared" si="511"/>
        <v/>
      </c>
      <c r="U4672" s="83" t="str">
        <f t="shared" si="506"/>
        <v/>
      </c>
      <c r="V4672" s="83" t="str">
        <f t="shared" si="507"/>
        <v/>
      </c>
      <c r="AA4672" s="60">
        <f t="shared" si="508"/>
        <v>0</v>
      </c>
      <c r="AB4672" s="49">
        <f t="shared" si="509"/>
        <v>0</v>
      </c>
      <c r="AC4672" s="60">
        <f t="shared" si="510"/>
        <v>0</v>
      </c>
    </row>
    <row r="4673" spans="1:29">
      <c r="A4673" s="83" t="str">
        <f t="shared" si="505"/>
        <v/>
      </c>
      <c r="B4673" s="83" t="str">
        <f t="shared" si="511"/>
        <v/>
      </c>
      <c r="U4673" s="83" t="str">
        <f t="shared" si="506"/>
        <v/>
      </c>
      <c r="V4673" s="83" t="str">
        <f t="shared" si="507"/>
        <v/>
      </c>
      <c r="AA4673" s="60">
        <f t="shared" si="508"/>
        <v>0</v>
      </c>
      <c r="AB4673" s="49">
        <f t="shared" si="509"/>
        <v>0</v>
      </c>
      <c r="AC4673" s="60">
        <f t="shared" si="510"/>
        <v>0</v>
      </c>
    </row>
    <row r="4674" spans="1:29">
      <c r="A4674" s="83" t="str">
        <f t="shared" si="505"/>
        <v/>
      </c>
      <c r="B4674" s="83" t="str">
        <f t="shared" si="511"/>
        <v/>
      </c>
      <c r="U4674" s="83" t="str">
        <f t="shared" si="506"/>
        <v/>
      </c>
      <c r="V4674" s="83" t="str">
        <f t="shared" si="507"/>
        <v/>
      </c>
      <c r="AA4674" s="60">
        <f t="shared" si="508"/>
        <v>0</v>
      </c>
      <c r="AB4674" s="49">
        <f t="shared" si="509"/>
        <v>0</v>
      </c>
      <c r="AC4674" s="60">
        <f t="shared" si="510"/>
        <v>0</v>
      </c>
    </row>
    <row r="4675" spans="1:29">
      <c r="A4675" s="83" t="str">
        <f t="shared" ref="A4675:A4738" si="512">IF(G4675&amp;Q4675&lt;&gt;"",U4675&amp;Q4675,"")</f>
        <v/>
      </c>
      <c r="B4675" s="83" t="str">
        <f t="shared" si="511"/>
        <v/>
      </c>
      <c r="U4675" s="83" t="str">
        <f t="shared" ref="U4675:U4738" si="513">IF(G4675&lt;&gt;"",IF(StyleSpaceSplit,IFERROR(IF(FIND(" ",G4675)&gt;=1,MID(G4675,1,FIND(" ",G4675)-1),G4675),G4675),G4675),"")</f>
        <v/>
      </c>
      <c r="V4675" s="83" t="str">
        <f t="shared" ref="V4675:V4738" si="514">IF(A4675&lt;&gt;"",IFERROR(IF(FIND(" ",G4675)&gt;=1,MID(G4675,FIND(" ",G4675)+1,LEN(G4675)),""),G4675),"")</f>
        <v/>
      </c>
      <c r="AA4675" s="60">
        <f t="shared" ref="AA4675:AA4738" si="515">IFERROR(VALUE(MID($C4675,1,2)),0)</f>
        <v>0</v>
      </c>
      <c r="AB4675" s="49">
        <f t="shared" ref="AB4675:AB4738" si="516">IFERROR(VALUE(MID($C4675,4,3)),0)</f>
        <v>0</v>
      </c>
      <c r="AC4675" s="60">
        <f t="shared" ref="AC4675:AC4738" si="517">VALUE(RIGHT("00"&amp;AA4675,2)&amp;RIGHT("000"&amp;AB4675,3))</f>
        <v>0</v>
      </c>
    </row>
    <row r="4676" spans="1:29">
      <c r="A4676" s="83" t="str">
        <f t="shared" si="512"/>
        <v/>
      </c>
      <c r="B4676" s="83" t="str">
        <f t="shared" si="511"/>
        <v/>
      </c>
      <c r="U4676" s="83" t="str">
        <f t="shared" si="513"/>
        <v/>
      </c>
      <c r="V4676" s="83" t="str">
        <f t="shared" si="514"/>
        <v/>
      </c>
      <c r="AA4676" s="60">
        <f t="shared" si="515"/>
        <v>0</v>
      </c>
      <c r="AB4676" s="49">
        <f t="shared" si="516"/>
        <v>0</v>
      </c>
      <c r="AC4676" s="60">
        <f t="shared" si="517"/>
        <v>0</v>
      </c>
    </row>
    <row r="4677" spans="1:29">
      <c r="A4677" s="83" t="str">
        <f t="shared" si="512"/>
        <v/>
      </c>
      <c r="B4677" s="83" t="str">
        <f t="shared" si="511"/>
        <v/>
      </c>
      <c r="U4677" s="83" t="str">
        <f t="shared" si="513"/>
        <v/>
      </c>
      <c r="V4677" s="83" t="str">
        <f t="shared" si="514"/>
        <v/>
      </c>
      <c r="AA4677" s="60">
        <f t="shared" si="515"/>
        <v>0</v>
      </c>
      <c r="AB4677" s="49">
        <f t="shared" si="516"/>
        <v>0</v>
      </c>
      <c r="AC4677" s="60">
        <f t="shared" si="517"/>
        <v>0</v>
      </c>
    </row>
    <row r="4678" spans="1:29">
      <c r="A4678" s="83" t="str">
        <f t="shared" si="512"/>
        <v/>
      </c>
      <c r="B4678" s="83" t="str">
        <f t="shared" si="511"/>
        <v/>
      </c>
      <c r="U4678" s="83" t="str">
        <f t="shared" si="513"/>
        <v/>
      </c>
      <c r="V4678" s="83" t="str">
        <f t="shared" si="514"/>
        <v/>
      </c>
      <c r="AA4678" s="60">
        <f t="shared" si="515"/>
        <v>0</v>
      </c>
      <c r="AB4678" s="49">
        <f t="shared" si="516"/>
        <v>0</v>
      </c>
      <c r="AC4678" s="60">
        <f t="shared" si="517"/>
        <v>0</v>
      </c>
    </row>
    <row r="4679" spans="1:29">
      <c r="A4679" s="83" t="str">
        <f t="shared" si="512"/>
        <v/>
      </c>
      <c r="B4679" s="83" t="str">
        <f t="shared" si="511"/>
        <v/>
      </c>
      <c r="U4679" s="83" t="str">
        <f t="shared" si="513"/>
        <v/>
      </c>
      <c r="V4679" s="83" t="str">
        <f t="shared" si="514"/>
        <v/>
      </c>
      <c r="AA4679" s="60">
        <f t="shared" si="515"/>
        <v>0</v>
      </c>
      <c r="AB4679" s="49">
        <f t="shared" si="516"/>
        <v>0</v>
      </c>
      <c r="AC4679" s="60">
        <f t="shared" si="517"/>
        <v>0</v>
      </c>
    </row>
    <row r="4680" spans="1:29">
      <c r="A4680" s="83" t="str">
        <f t="shared" si="512"/>
        <v/>
      </c>
      <c r="B4680" s="83" t="str">
        <f t="shared" si="511"/>
        <v/>
      </c>
      <c r="U4680" s="83" t="str">
        <f t="shared" si="513"/>
        <v/>
      </c>
      <c r="V4680" s="83" t="str">
        <f t="shared" si="514"/>
        <v/>
      </c>
      <c r="AA4680" s="60">
        <f t="shared" si="515"/>
        <v>0</v>
      </c>
      <c r="AB4680" s="49">
        <f t="shared" si="516"/>
        <v>0</v>
      </c>
      <c r="AC4680" s="60">
        <f t="shared" si="517"/>
        <v>0</v>
      </c>
    </row>
    <row r="4681" spans="1:29">
      <c r="A4681" s="83" t="str">
        <f t="shared" si="512"/>
        <v/>
      </c>
      <c r="B4681" s="83" t="str">
        <f t="shared" si="511"/>
        <v/>
      </c>
      <c r="U4681" s="83" t="str">
        <f t="shared" si="513"/>
        <v/>
      </c>
      <c r="V4681" s="83" t="str">
        <f t="shared" si="514"/>
        <v/>
      </c>
      <c r="AA4681" s="60">
        <f t="shared" si="515"/>
        <v>0</v>
      </c>
      <c r="AB4681" s="49">
        <f t="shared" si="516"/>
        <v>0</v>
      </c>
      <c r="AC4681" s="60">
        <f t="shared" si="517"/>
        <v>0</v>
      </c>
    </row>
    <row r="4682" spans="1:29">
      <c r="A4682" s="83" t="str">
        <f t="shared" si="512"/>
        <v/>
      </c>
      <c r="B4682" s="83" t="str">
        <f t="shared" si="511"/>
        <v/>
      </c>
      <c r="U4682" s="83" t="str">
        <f t="shared" si="513"/>
        <v/>
      </c>
      <c r="V4682" s="83" t="str">
        <f t="shared" si="514"/>
        <v/>
      </c>
      <c r="AA4682" s="60">
        <f t="shared" si="515"/>
        <v>0</v>
      </c>
      <c r="AB4682" s="49">
        <f t="shared" si="516"/>
        <v>0</v>
      </c>
      <c r="AC4682" s="60">
        <f t="shared" si="517"/>
        <v>0</v>
      </c>
    </row>
    <row r="4683" spans="1:29">
      <c r="A4683" s="83" t="str">
        <f t="shared" si="512"/>
        <v/>
      </c>
      <c r="B4683" s="83" t="str">
        <f t="shared" si="511"/>
        <v/>
      </c>
      <c r="U4683" s="83" t="str">
        <f t="shared" si="513"/>
        <v/>
      </c>
      <c r="V4683" s="83" t="str">
        <f t="shared" si="514"/>
        <v/>
      </c>
      <c r="AA4683" s="60">
        <f t="shared" si="515"/>
        <v>0</v>
      </c>
      <c r="AB4683" s="49">
        <f t="shared" si="516"/>
        <v>0</v>
      </c>
      <c r="AC4683" s="60">
        <f t="shared" si="517"/>
        <v>0</v>
      </c>
    </row>
    <row r="4684" spans="1:29">
      <c r="A4684" s="83" t="str">
        <f t="shared" si="512"/>
        <v/>
      </c>
      <c r="B4684" s="83" t="str">
        <f t="shared" si="511"/>
        <v/>
      </c>
      <c r="U4684" s="83" t="str">
        <f t="shared" si="513"/>
        <v/>
      </c>
      <c r="V4684" s="83" t="str">
        <f t="shared" si="514"/>
        <v/>
      </c>
      <c r="AA4684" s="60">
        <f t="shared" si="515"/>
        <v>0</v>
      </c>
      <c r="AB4684" s="49">
        <f t="shared" si="516"/>
        <v>0</v>
      </c>
      <c r="AC4684" s="60">
        <f t="shared" si="517"/>
        <v>0</v>
      </c>
    </row>
    <row r="4685" spans="1:29">
      <c r="A4685" s="83" t="str">
        <f t="shared" si="512"/>
        <v/>
      </c>
      <c r="B4685" s="83" t="str">
        <f t="shared" si="511"/>
        <v/>
      </c>
      <c r="U4685" s="83" t="str">
        <f t="shared" si="513"/>
        <v/>
      </c>
      <c r="V4685" s="83" t="str">
        <f t="shared" si="514"/>
        <v/>
      </c>
      <c r="AA4685" s="60">
        <f t="shared" si="515"/>
        <v>0</v>
      </c>
      <c r="AB4685" s="49">
        <f t="shared" si="516"/>
        <v>0</v>
      </c>
      <c r="AC4685" s="60">
        <f t="shared" si="517"/>
        <v>0</v>
      </c>
    </row>
    <row r="4686" spans="1:29">
      <c r="A4686" s="83" t="str">
        <f t="shared" si="512"/>
        <v/>
      </c>
      <c r="B4686" s="83" t="str">
        <f t="shared" si="511"/>
        <v/>
      </c>
      <c r="U4686" s="83" t="str">
        <f t="shared" si="513"/>
        <v/>
      </c>
      <c r="V4686" s="83" t="str">
        <f t="shared" si="514"/>
        <v/>
      </c>
      <c r="AA4686" s="60">
        <f t="shared" si="515"/>
        <v>0</v>
      </c>
      <c r="AB4686" s="49">
        <f t="shared" si="516"/>
        <v>0</v>
      </c>
      <c r="AC4686" s="60">
        <f t="shared" si="517"/>
        <v>0</v>
      </c>
    </row>
    <row r="4687" spans="1:29">
      <c r="A4687" s="83" t="str">
        <f t="shared" si="512"/>
        <v/>
      </c>
      <c r="B4687" s="83" t="str">
        <f t="shared" si="511"/>
        <v/>
      </c>
      <c r="U4687" s="83" t="str">
        <f t="shared" si="513"/>
        <v/>
      </c>
      <c r="V4687" s="83" t="str">
        <f t="shared" si="514"/>
        <v/>
      </c>
      <c r="AA4687" s="60">
        <f t="shared" si="515"/>
        <v>0</v>
      </c>
      <c r="AB4687" s="49">
        <f t="shared" si="516"/>
        <v>0</v>
      </c>
      <c r="AC4687" s="60">
        <f t="shared" si="517"/>
        <v>0</v>
      </c>
    </row>
    <row r="4688" spans="1:29">
      <c r="A4688" s="83" t="str">
        <f t="shared" si="512"/>
        <v/>
      </c>
      <c r="B4688" s="83" t="str">
        <f t="shared" si="511"/>
        <v/>
      </c>
      <c r="U4688" s="83" t="str">
        <f t="shared" si="513"/>
        <v/>
      </c>
      <c r="V4688" s="83" t="str">
        <f t="shared" si="514"/>
        <v/>
      </c>
      <c r="AA4688" s="60">
        <f t="shared" si="515"/>
        <v>0</v>
      </c>
      <c r="AB4688" s="49">
        <f t="shared" si="516"/>
        <v>0</v>
      </c>
      <c r="AC4688" s="60">
        <f t="shared" si="517"/>
        <v>0</v>
      </c>
    </row>
    <row r="4689" spans="1:29">
      <c r="A4689" s="83" t="str">
        <f t="shared" si="512"/>
        <v/>
      </c>
      <c r="B4689" s="83" t="str">
        <f t="shared" si="511"/>
        <v/>
      </c>
      <c r="U4689" s="83" t="str">
        <f t="shared" si="513"/>
        <v/>
      </c>
      <c r="V4689" s="83" t="str">
        <f t="shared" si="514"/>
        <v/>
      </c>
      <c r="AA4689" s="60">
        <f t="shared" si="515"/>
        <v>0</v>
      </c>
      <c r="AB4689" s="49">
        <f t="shared" si="516"/>
        <v>0</v>
      </c>
      <c r="AC4689" s="60">
        <f t="shared" si="517"/>
        <v>0</v>
      </c>
    </row>
    <row r="4690" spans="1:29">
      <c r="A4690" s="83" t="str">
        <f t="shared" si="512"/>
        <v/>
      </c>
      <c r="B4690" s="83" t="str">
        <f t="shared" si="511"/>
        <v/>
      </c>
      <c r="U4690" s="83" t="str">
        <f t="shared" si="513"/>
        <v/>
      </c>
      <c r="V4690" s="83" t="str">
        <f t="shared" si="514"/>
        <v/>
      </c>
      <c r="AA4690" s="60">
        <f t="shared" si="515"/>
        <v>0</v>
      </c>
      <c r="AB4690" s="49">
        <f t="shared" si="516"/>
        <v>0</v>
      </c>
      <c r="AC4690" s="60">
        <f t="shared" si="517"/>
        <v>0</v>
      </c>
    </row>
    <row r="4691" spans="1:29">
      <c r="A4691" s="83" t="str">
        <f t="shared" si="512"/>
        <v/>
      </c>
      <c r="B4691" s="83" t="str">
        <f t="shared" si="511"/>
        <v/>
      </c>
      <c r="U4691" s="83" t="str">
        <f t="shared" si="513"/>
        <v/>
      </c>
      <c r="V4691" s="83" t="str">
        <f t="shared" si="514"/>
        <v/>
      </c>
      <c r="AA4691" s="60">
        <f t="shared" si="515"/>
        <v>0</v>
      </c>
      <c r="AB4691" s="49">
        <f t="shared" si="516"/>
        <v>0</v>
      </c>
      <c r="AC4691" s="60">
        <f t="shared" si="517"/>
        <v>0</v>
      </c>
    </row>
    <row r="4692" spans="1:29">
      <c r="A4692" s="83" t="str">
        <f t="shared" si="512"/>
        <v/>
      </c>
      <c r="B4692" s="83" t="str">
        <f t="shared" si="511"/>
        <v/>
      </c>
      <c r="U4692" s="83" t="str">
        <f t="shared" si="513"/>
        <v/>
      </c>
      <c r="V4692" s="83" t="str">
        <f t="shared" si="514"/>
        <v/>
      </c>
      <c r="AA4692" s="60">
        <f t="shared" si="515"/>
        <v>0</v>
      </c>
      <c r="AB4692" s="49">
        <f t="shared" si="516"/>
        <v>0</v>
      </c>
      <c r="AC4692" s="60">
        <f t="shared" si="517"/>
        <v>0</v>
      </c>
    </row>
    <row r="4693" spans="1:29">
      <c r="A4693" s="83" t="str">
        <f t="shared" si="512"/>
        <v/>
      </c>
      <c r="B4693" s="83" t="str">
        <f t="shared" si="511"/>
        <v/>
      </c>
      <c r="U4693" s="83" t="str">
        <f t="shared" si="513"/>
        <v/>
      </c>
      <c r="V4693" s="83" t="str">
        <f t="shared" si="514"/>
        <v/>
      </c>
      <c r="AA4693" s="60">
        <f t="shared" si="515"/>
        <v>0</v>
      </c>
      <c r="AB4693" s="49">
        <f t="shared" si="516"/>
        <v>0</v>
      </c>
      <c r="AC4693" s="60">
        <f t="shared" si="517"/>
        <v>0</v>
      </c>
    </row>
    <row r="4694" spans="1:29">
      <c r="A4694" s="83" t="str">
        <f t="shared" si="512"/>
        <v/>
      </c>
      <c r="B4694" s="83" t="str">
        <f t="shared" si="511"/>
        <v/>
      </c>
      <c r="U4694" s="83" t="str">
        <f t="shared" si="513"/>
        <v/>
      </c>
      <c r="V4694" s="83" t="str">
        <f t="shared" si="514"/>
        <v/>
      </c>
      <c r="AA4694" s="60">
        <f t="shared" si="515"/>
        <v>0</v>
      </c>
      <c r="AB4694" s="49">
        <f t="shared" si="516"/>
        <v>0</v>
      </c>
      <c r="AC4694" s="60">
        <f t="shared" si="517"/>
        <v>0</v>
      </c>
    </row>
    <row r="4695" spans="1:29">
      <c r="A4695" s="83" t="str">
        <f t="shared" si="512"/>
        <v/>
      </c>
      <c r="B4695" s="83" t="str">
        <f t="shared" si="511"/>
        <v/>
      </c>
      <c r="U4695" s="83" t="str">
        <f t="shared" si="513"/>
        <v/>
      </c>
      <c r="V4695" s="83" t="str">
        <f t="shared" si="514"/>
        <v/>
      </c>
      <c r="AA4695" s="60">
        <f t="shared" si="515"/>
        <v>0</v>
      </c>
      <c r="AB4695" s="49">
        <f t="shared" si="516"/>
        <v>0</v>
      </c>
      <c r="AC4695" s="60">
        <f t="shared" si="517"/>
        <v>0</v>
      </c>
    </row>
    <row r="4696" spans="1:29">
      <c r="A4696" s="83" t="str">
        <f t="shared" si="512"/>
        <v/>
      </c>
      <c r="B4696" s="83" t="str">
        <f t="shared" si="511"/>
        <v/>
      </c>
      <c r="U4696" s="83" t="str">
        <f t="shared" si="513"/>
        <v/>
      </c>
      <c r="V4696" s="83" t="str">
        <f t="shared" si="514"/>
        <v/>
      </c>
      <c r="AA4696" s="60">
        <f t="shared" si="515"/>
        <v>0</v>
      </c>
      <c r="AB4696" s="49">
        <f t="shared" si="516"/>
        <v>0</v>
      </c>
      <c r="AC4696" s="60">
        <f t="shared" si="517"/>
        <v>0</v>
      </c>
    </row>
    <row r="4697" spans="1:29">
      <c r="A4697" s="83" t="str">
        <f t="shared" si="512"/>
        <v/>
      </c>
      <c r="B4697" s="83" t="str">
        <f t="shared" si="511"/>
        <v/>
      </c>
      <c r="U4697" s="83" t="str">
        <f t="shared" si="513"/>
        <v/>
      </c>
      <c r="V4697" s="83" t="str">
        <f t="shared" si="514"/>
        <v/>
      </c>
      <c r="AA4697" s="60">
        <f t="shared" si="515"/>
        <v>0</v>
      </c>
      <c r="AB4697" s="49">
        <f t="shared" si="516"/>
        <v>0</v>
      </c>
      <c r="AC4697" s="60">
        <f t="shared" si="517"/>
        <v>0</v>
      </c>
    </row>
    <row r="4698" spans="1:29">
      <c r="A4698" s="83" t="str">
        <f t="shared" si="512"/>
        <v/>
      </c>
      <c r="B4698" s="83" t="str">
        <f t="shared" si="511"/>
        <v/>
      </c>
      <c r="U4698" s="83" t="str">
        <f t="shared" si="513"/>
        <v/>
      </c>
      <c r="V4698" s="83" t="str">
        <f t="shared" si="514"/>
        <v/>
      </c>
      <c r="AA4698" s="60">
        <f t="shared" si="515"/>
        <v>0</v>
      </c>
      <c r="AB4698" s="49">
        <f t="shared" si="516"/>
        <v>0</v>
      </c>
      <c r="AC4698" s="60">
        <f t="shared" si="517"/>
        <v>0</v>
      </c>
    </row>
    <row r="4699" spans="1:29">
      <c r="A4699" s="83" t="str">
        <f t="shared" si="512"/>
        <v/>
      </c>
      <c r="B4699" s="83" t="str">
        <f t="shared" si="511"/>
        <v/>
      </c>
      <c r="U4699" s="83" t="str">
        <f t="shared" si="513"/>
        <v/>
      </c>
      <c r="V4699" s="83" t="str">
        <f t="shared" si="514"/>
        <v/>
      </c>
      <c r="AA4699" s="60">
        <f t="shared" si="515"/>
        <v>0</v>
      </c>
      <c r="AB4699" s="49">
        <f t="shared" si="516"/>
        <v>0</v>
      </c>
      <c r="AC4699" s="60">
        <f t="shared" si="517"/>
        <v>0</v>
      </c>
    </row>
    <row r="4700" spans="1:29">
      <c r="A4700" s="83" t="str">
        <f t="shared" si="512"/>
        <v/>
      </c>
      <c r="B4700" s="83" t="str">
        <f t="shared" si="511"/>
        <v/>
      </c>
      <c r="U4700" s="83" t="str">
        <f t="shared" si="513"/>
        <v/>
      </c>
      <c r="V4700" s="83" t="str">
        <f t="shared" si="514"/>
        <v/>
      </c>
      <c r="AA4700" s="60">
        <f t="shared" si="515"/>
        <v>0</v>
      </c>
      <c r="AB4700" s="49">
        <f t="shared" si="516"/>
        <v>0</v>
      </c>
      <c r="AC4700" s="60">
        <f t="shared" si="517"/>
        <v>0</v>
      </c>
    </row>
    <row r="4701" spans="1:29">
      <c r="A4701" s="83" t="str">
        <f t="shared" si="512"/>
        <v/>
      </c>
      <c r="B4701" s="83" t="str">
        <f t="shared" si="511"/>
        <v/>
      </c>
      <c r="U4701" s="83" t="str">
        <f t="shared" si="513"/>
        <v/>
      </c>
      <c r="V4701" s="83" t="str">
        <f t="shared" si="514"/>
        <v/>
      </c>
      <c r="AA4701" s="60">
        <f t="shared" si="515"/>
        <v>0</v>
      </c>
      <c r="AB4701" s="49">
        <f t="shared" si="516"/>
        <v>0</v>
      </c>
      <c r="AC4701" s="60">
        <f t="shared" si="517"/>
        <v>0</v>
      </c>
    </row>
    <row r="4702" spans="1:29">
      <c r="A4702" s="83" t="str">
        <f t="shared" si="512"/>
        <v/>
      </c>
      <c r="B4702" s="83" t="str">
        <f t="shared" si="511"/>
        <v/>
      </c>
      <c r="U4702" s="83" t="str">
        <f t="shared" si="513"/>
        <v/>
      </c>
      <c r="V4702" s="83" t="str">
        <f t="shared" si="514"/>
        <v/>
      </c>
      <c r="AA4702" s="60">
        <f t="shared" si="515"/>
        <v>0</v>
      </c>
      <c r="AB4702" s="49">
        <f t="shared" si="516"/>
        <v>0</v>
      </c>
      <c r="AC4702" s="60">
        <f t="shared" si="517"/>
        <v>0</v>
      </c>
    </row>
    <row r="4703" spans="1:29">
      <c r="A4703" s="83" t="str">
        <f t="shared" si="512"/>
        <v/>
      </c>
      <c r="B4703" s="83" t="str">
        <f t="shared" si="511"/>
        <v/>
      </c>
      <c r="U4703" s="83" t="str">
        <f t="shared" si="513"/>
        <v/>
      </c>
      <c r="V4703" s="83" t="str">
        <f t="shared" si="514"/>
        <v/>
      </c>
      <c r="AA4703" s="60">
        <f t="shared" si="515"/>
        <v>0</v>
      </c>
      <c r="AB4703" s="49">
        <f t="shared" si="516"/>
        <v>0</v>
      </c>
      <c r="AC4703" s="60">
        <f t="shared" si="517"/>
        <v>0</v>
      </c>
    </row>
    <row r="4704" spans="1:29">
      <c r="A4704" s="83" t="str">
        <f t="shared" si="512"/>
        <v/>
      </c>
      <c r="B4704" s="83" t="str">
        <f t="shared" si="511"/>
        <v/>
      </c>
      <c r="U4704" s="83" t="str">
        <f t="shared" si="513"/>
        <v/>
      </c>
      <c r="V4704" s="83" t="str">
        <f t="shared" si="514"/>
        <v/>
      </c>
      <c r="AA4704" s="60">
        <f t="shared" si="515"/>
        <v>0</v>
      </c>
      <c r="AB4704" s="49">
        <f t="shared" si="516"/>
        <v>0</v>
      </c>
      <c r="AC4704" s="60">
        <f t="shared" si="517"/>
        <v>0</v>
      </c>
    </row>
    <row r="4705" spans="1:29">
      <c r="A4705" s="83" t="str">
        <f t="shared" si="512"/>
        <v/>
      </c>
      <c r="B4705" s="83" t="str">
        <f t="shared" ref="B4705:B4768" si="518">IF(C4705&lt;&gt;"",LEFT(C4705,9),"")</f>
        <v/>
      </c>
      <c r="U4705" s="83" t="str">
        <f t="shared" si="513"/>
        <v/>
      </c>
      <c r="V4705" s="83" t="str">
        <f t="shared" si="514"/>
        <v/>
      </c>
      <c r="AA4705" s="60">
        <f t="shared" si="515"/>
        <v>0</v>
      </c>
      <c r="AB4705" s="49">
        <f t="shared" si="516"/>
        <v>0</v>
      </c>
      <c r="AC4705" s="60">
        <f t="shared" si="517"/>
        <v>0</v>
      </c>
    </row>
    <row r="4706" spans="1:29">
      <c r="A4706" s="83" t="str">
        <f t="shared" si="512"/>
        <v/>
      </c>
      <c r="B4706" s="83" t="str">
        <f t="shared" si="518"/>
        <v/>
      </c>
      <c r="U4706" s="83" t="str">
        <f t="shared" si="513"/>
        <v/>
      </c>
      <c r="V4706" s="83" t="str">
        <f t="shared" si="514"/>
        <v/>
      </c>
      <c r="AA4706" s="60">
        <f t="shared" si="515"/>
        <v>0</v>
      </c>
      <c r="AB4706" s="49">
        <f t="shared" si="516"/>
        <v>0</v>
      </c>
      <c r="AC4706" s="60">
        <f t="shared" si="517"/>
        <v>0</v>
      </c>
    </row>
    <row r="4707" spans="1:29">
      <c r="A4707" s="83" t="str">
        <f t="shared" si="512"/>
        <v/>
      </c>
      <c r="B4707" s="83" t="str">
        <f t="shared" si="518"/>
        <v/>
      </c>
      <c r="U4707" s="83" t="str">
        <f t="shared" si="513"/>
        <v/>
      </c>
      <c r="V4707" s="83" t="str">
        <f t="shared" si="514"/>
        <v/>
      </c>
      <c r="AA4707" s="60">
        <f t="shared" si="515"/>
        <v>0</v>
      </c>
      <c r="AB4707" s="49">
        <f t="shared" si="516"/>
        <v>0</v>
      </c>
      <c r="AC4707" s="60">
        <f t="shared" si="517"/>
        <v>0</v>
      </c>
    </row>
    <row r="4708" spans="1:29">
      <c r="A4708" s="83" t="str">
        <f t="shared" si="512"/>
        <v/>
      </c>
      <c r="B4708" s="83" t="str">
        <f t="shared" si="518"/>
        <v/>
      </c>
      <c r="U4708" s="83" t="str">
        <f t="shared" si="513"/>
        <v/>
      </c>
      <c r="V4708" s="83" t="str">
        <f t="shared" si="514"/>
        <v/>
      </c>
      <c r="AA4708" s="60">
        <f t="shared" si="515"/>
        <v>0</v>
      </c>
      <c r="AB4708" s="49">
        <f t="shared" si="516"/>
        <v>0</v>
      </c>
      <c r="AC4708" s="60">
        <f t="shared" si="517"/>
        <v>0</v>
      </c>
    </row>
    <row r="4709" spans="1:29">
      <c r="A4709" s="83" t="str">
        <f t="shared" si="512"/>
        <v/>
      </c>
      <c r="B4709" s="83" t="str">
        <f t="shared" si="518"/>
        <v/>
      </c>
      <c r="U4709" s="83" t="str">
        <f t="shared" si="513"/>
        <v/>
      </c>
      <c r="V4709" s="83" t="str">
        <f t="shared" si="514"/>
        <v/>
      </c>
      <c r="AA4709" s="60">
        <f t="shared" si="515"/>
        <v>0</v>
      </c>
      <c r="AB4709" s="49">
        <f t="shared" si="516"/>
        <v>0</v>
      </c>
      <c r="AC4709" s="60">
        <f t="shared" si="517"/>
        <v>0</v>
      </c>
    </row>
    <row r="4710" spans="1:29">
      <c r="A4710" s="83" t="str">
        <f t="shared" si="512"/>
        <v/>
      </c>
      <c r="B4710" s="83" t="str">
        <f t="shared" si="518"/>
        <v/>
      </c>
      <c r="U4710" s="83" t="str">
        <f t="shared" si="513"/>
        <v/>
      </c>
      <c r="V4710" s="83" t="str">
        <f t="shared" si="514"/>
        <v/>
      </c>
      <c r="AA4710" s="60">
        <f t="shared" si="515"/>
        <v>0</v>
      </c>
      <c r="AB4710" s="49">
        <f t="shared" si="516"/>
        <v>0</v>
      </c>
      <c r="AC4710" s="60">
        <f t="shared" si="517"/>
        <v>0</v>
      </c>
    </row>
    <row r="4711" spans="1:29">
      <c r="A4711" s="83" t="str">
        <f t="shared" si="512"/>
        <v/>
      </c>
      <c r="B4711" s="83" t="str">
        <f t="shared" si="518"/>
        <v/>
      </c>
      <c r="U4711" s="83" t="str">
        <f t="shared" si="513"/>
        <v/>
      </c>
      <c r="V4711" s="83" t="str">
        <f t="shared" si="514"/>
        <v/>
      </c>
      <c r="AA4711" s="60">
        <f t="shared" si="515"/>
        <v>0</v>
      </c>
      <c r="AB4711" s="49">
        <f t="shared" si="516"/>
        <v>0</v>
      </c>
      <c r="AC4711" s="60">
        <f t="shared" si="517"/>
        <v>0</v>
      </c>
    </row>
    <row r="4712" spans="1:29">
      <c r="A4712" s="83" t="str">
        <f t="shared" si="512"/>
        <v/>
      </c>
      <c r="B4712" s="83" t="str">
        <f t="shared" si="518"/>
        <v/>
      </c>
      <c r="U4712" s="83" t="str">
        <f t="shared" si="513"/>
        <v/>
      </c>
      <c r="V4712" s="83" t="str">
        <f t="shared" si="514"/>
        <v/>
      </c>
      <c r="AA4712" s="60">
        <f t="shared" si="515"/>
        <v>0</v>
      </c>
      <c r="AB4712" s="49">
        <f t="shared" si="516"/>
        <v>0</v>
      </c>
      <c r="AC4712" s="60">
        <f t="shared" si="517"/>
        <v>0</v>
      </c>
    </row>
    <row r="4713" spans="1:29">
      <c r="A4713" s="83" t="str">
        <f t="shared" si="512"/>
        <v/>
      </c>
      <c r="B4713" s="83" t="str">
        <f t="shared" si="518"/>
        <v/>
      </c>
      <c r="U4713" s="83" t="str">
        <f t="shared" si="513"/>
        <v/>
      </c>
      <c r="V4713" s="83" t="str">
        <f t="shared" si="514"/>
        <v/>
      </c>
      <c r="AA4713" s="60">
        <f t="shared" si="515"/>
        <v>0</v>
      </c>
      <c r="AB4713" s="49">
        <f t="shared" si="516"/>
        <v>0</v>
      </c>
      <c r="AC4713" s="60">
        <f t="shared" si="517"/>
        <v>0</v>
      </c>
    </row>
    <row r="4714" spans="1:29">
      <c r="A4714" s="83" t="str">
        <f t="shared" si="512"/>
        <v/>
      </c>
      <c r="B4714" s="83" t="str">
        <f t="shared" si="518"/>
        <v/>
      </c>
      <c r="U4714" s="83" t="str">
        <f t="shared" si="513"/>
        <v/>
      </c>
      <c r="V4714" s="83" t="str">
        <f t="shared" si="514"/>
        <v/>
      </c>
      <c r="AA4714" s="60">
        <f t="shared" si="515"/>
        <v>0</v>
      </c>
      <c r="AB4714" s="49">
        <f t="shared" si="516"/>
        <v>0</v>
      </c>
      <c r="AC4714" s="60">
        <f t="shared" si="517"/>
        <v>0</v>
      </c>
    </row>
    <row r="4715" spans="1:29">
      <c r="A4715" s="83" t="str">
        <f t="shared" si="512"/>
        <v/>
      </c>
      <c r="B4715" s="83" t="str">
        <f t="shared" si="518"/>
        <v/>
      </c>
      <c r="U4715" s="83" t="str">
        <f t="shared" si="513"/>
        <v/>
      </c>
      <c r="V4715" s="83" t="str">
        <f t="shared" si="514"/>
        <v/>
      </c>
      <c r="AA4715" s="60">
        <f t="shared" si="515"/>
        <v>0</v>
      </c>
      <c r="AB4715" s="49">
        <f t="shared" si="516"/>
        <v>0</v>
      </c>
      <c r="AC4715" s="60">
        <f t="shared" si="517"/>
        <v>0</v>
      </c>
    </row>
    <row r="4716" spans="1:29">
      <c r="A4716" s="83" t="str">
        <f t="shared" si="512"/>
        <v/>
      </c>
      <c r="B4716" s="83" t="str">
        <f t="shared" si="518"/>
        <v/>
      </c>
      <c r="U4716" s="83" t="str">
        <f t="shared" si="513"/>
        <v/>
      </c>
      <c r="V4716" s="83" t="str">
        <f t="shared" si="514"/>
        <v/>
      </c>
      <c r="AA4716" s="60">
        <f t="shared" si="515"/>
        <v>0</v>
      </c>
      <c r="AB4716" s="49">
        <f t="shared" si="516"/>
        <v>0</v>
      </c>
      <c r="AC4716" s="60">
        <f t="shared" si="517"/>
        <v>0</v>
      </c>
    </row>
    <row r="4717" spans="1:29">
      <c r="A4717" s="83" t="str">
        <f t="shared" si="512"/>
        <v/>
      </c>
      <c r="B4717" s="83" t="str">
        <f t="shared" si="518"/>
        <v/>
      </c>
      <c r="U4717" s="83" t="str">
        <f t="shared" si="513"/>
        <v/>
      </c>
      <c r="V4717" s="83" t="str">
        <f t="shared" si="514"/>
        <v/>
      </c>
      <c r="AA4717" s="60">
        <f t="shared" si="515"/>
        <v>0</v>
      </c>
      <c r="AB4717" s="49">
        <f t="shared" si="516"/>
        <v>0</v>
      </c>
      <c r="AC4717" s="60">
        <f t="shared" si="517"/>
        <v>0</v>
      </c>
    </row>
    <row r="4718" spans="1:29">
      <c r="A4718" s="83" t="str">
        <f t="shared" si="512"/>
        <v/>
      </c>
      <c r="B4718" s="83" t="str">
        <f t="shared" si="518"/>
        <v/>
      </c>
      <c r="U4718" s="83" t="str">
        <f t="shared" si="513"/>
        <v/>
      </c>
      <c r="V4718" s="83" t="str">
        <f t="shared" si="514"/>
        <v/>
      </c>
      <c r="AA4718" s="60">
        <f t="shared" si="515"/>
        <v>0</v>
      </c>
      <c r="AB4718" s="49">
        <f t="shared" si="516"/>
        <v>0</v>
      </c>
      <c r="AC4718" s="60">
        <f t="shared" si="517"/>
        <v>0</v>
      </c>
    </row>
    <row r="4719" spans="1:29">
      <c r="A4719" s="83" t="str">
        <f t="shared" si="512"/>
        <v/>
      </c>
      <c r="B4719" s="83" t="str">
        <f t="shared" si="518"/>
        <v/>
      </c>
      <c r="U4719" s="83" t="str">
        <f t="shared" si="513"/>
        <v/>
      </c>
      <c r="V4719" s="83" t="str">
        <f t="shared" si="514"/>
        <v/>
      </c>
      <c r="AA4719" s="60">
        <f t="shared" si="515"/>
        <v>0</v>
      </c>
      <c r="AB4719" s="49">
        <f t="shared" si="516"/>
        <v>0</v>
      </c>
      <c r="AC4719" s="60">
        <f t="shared" si="517"/>
        <v>0</v>
      </c>
    </row>
    <row r="4720" spans="1:29">
      <c r="A4720" s="83" t="str">
        <f t="shared" si="512"/>
        <v/>
      </c>
      <c r="B4720" s="83" t="str">
        <f t="shared" si="518"/>
        <v/>
      </c>
      <c r="U4720" s="83" t="str">
        <f t="shared" si="513"/>
        <v/>
      </c>
      <c r="V4720" s="83" t="str">
        <f t="shared" si="514"/>
        <v/>
      </c>
      <c r="AA4720" s="60">
        <f t="shared" si="515"/>
        <v>0</v>
      </c>
      <c r="AB4720" s="49">
        <f t="shared" si="516"/>
        <v>0</v>
      </c>
      <c r="AC4720" s="60">
        <f t="shared" si="517"/>
        <v>0</v>
      </c>
    </row>
    <row r="4721" spans="1:29">
      <c r="A4721" s="83" t="str">
        <f t="shared" si="512"/>
        <v/>
      </c>
      <c r="B4721" s="83" t="str">
        <f t="shared" si="518"/>
        <v/>
      </c>
      <c r="U4721" s="83" t="str">
        <f t="shared" si="513"/>
        <v/>
      </c>
      <c r="V4721" s="83" t="str">
        <f t="shared" si="514"/>
        <v/>
      </c>
      <c r="AA4721" s="60">
        <f t="shared" si="515"/>
        <v>0</v>
      </c>
      <c r="AB4721" s="49">
        <f t="shared" si="516"/>
        <v>0</v>
      </c>
      <c r="AC4721" s="60">
        <f t="shared" si="517"/>
        <v>0</v>
      </c>
    </row>
    <row r="4722" spans="1:29">
      <c r="A4722" s="83" t="str">
        <f t="shared" si="512"/>
        <v/>
      </c>
      <c r="B4722" s="83" t="str">
        <f t="shared" si="518"/>
        <v/>
      </c>
      <c r="U4722" s="83" t="str">
        <f t="shared" si="513"/>
        <v/>
      </c>
      <c r="V4722" s="83" t="str">
        <f t="shared" si="514"/>
        <v/>
      </c>
      <c r="AA4722" s="60">
        <f t="shared" si="515"/>
        <v>0</v>
      </c>
      <c r="AB4722" s="49">
        <f t="shared" si="516"/>
        <v>0</v>
      </c>
      <c r="AC4722" s="60">
        <f t="shared" si="517"/>
        <v>0</v>
      </c>
    </row>
    <row r="4723" spans="1:29">
      <c r="A4723" s="83" t="str">
        <f t="shared" si="512"/>
        <v/>
      </c>
      <c r="B4723" s="83" t="str">
        <f t="shared" si="518"/>
        <v/>
      </c>
      <c r="U4723" s="83" t="str">
        <f t="shared" si="513"/>
        <v/>
      </c>
      <c r="V4723" s="83" t="str">
        <f t="shared" si="514"/>
        <v/>
      </c>
      <c r="AA4723" s="60">
        <f t="shared" si="515"/>
        <v>0</v>
      </c>
      <c r="AB4723" s="49">
        <f t="shared" si="516"/>
        <v>0</v>
      </c>
      <c r="AC4723" s="60">
        <f t="shared" si="517"/>
        <v>0</v>
      </c>
    </row>
    <row r="4724" spans="1:29">
      <c r="A4724" s="83" t="str">
        <f t="shared" si="512"/>
        <v/>
      </c>
      <c r="B4724" s="83" t="str">
        <f t="shared" si="518"/>
        <v/>
      </c>
      <c r="U4724" s="83" t="str">
        <f t="shared" si="513"/>
        <v/>
      </c>
      <c r="V4724" s="83" t="str">
        <f t="shared" si="514"/>
        <v/>
      </c>
      <c r="AA4724" s="60">
        <f t="shared" si="515"/>
        <v>0</v>
      </c>
      <c r="AB4724" s="49">
        <f t="shared" si="516"/>
        <v>0</v>
      </c>
      <c r="AC4724" s="60">
        <f t="shared" si="517"/>
        <v>0</v>
      </c>
    </row>
    <row r="4725" spans="1:29">
      <c r="A4725" s="83" t="str">
        <f t="shared" si="512"/>
        <v/>
      </c>
      <c r="B4725" s="83" t="str">
        <f t="shared" si="518"/>
        <v/>
      </c>
      <c r="U4725" s="83" t="str">
        <f t="shared" si="513"/>
        <v/>
      </c>
      <c r="V4725" s="83" t="str">
        <f t="shared" si="514"/>
        <v/>
      </c>
      <c r="AA4725" s="60">
        <f t="shared" si="515"/>
        <v>0</v>
      </c>
      <c r="AB4725" s="49">
        <f t="shared" si="516"/>
        <v>0</v>
      </c>
      <c r="AC4725" s="60">
        <f t="shared" si="517"/>
        <v>0</v>
      </c>
    </row>
    <row r="4726" spans="1:29">
      <c r="A4726" s="83" t="str">
        <f t="shared" si="512"/>
        <v/>
      </c>
      <c r="B4726" s="83" t="str">
        <f t="shared" si="518"/>
        <v/>
      </c>
      <c r="U4726" s="83" t="str">
        <f t="shared" si="513"/>
        <v/>
      </c>
      <c r="V4726" s="83" t="str">
        <f t="shared" si="514"/>
        <v/>
      </c>
      <c r="AA4726" s="60">
        <f t="shared" si="515"/>
        <v>0</v>
      </c>
      <c r="AB4726" s="49">
        <f t="shared" si="516"/>
        <v>0</v>
      </c>
      <c r="AC4726" s="60">
        <f t="shared" si="517"/>
        <v>0</v>
      </c>
    </row>
    <row r="4727" spans="1:29">
      <c r="A4727" s="83" t="str">
        <f t="shared" si="512"/>
        <v/>
      </c>
      <c r="B4727" s="83" t="str">
        <f t="shared" si="518"/>
        <v/>
      </c>
      <c r="U4727" s="83" t="str">
        <f t="shared" si="513"/>
        <v/>
      </c>
      <c r="V4727" s="83" t="str">
        <f t="shared" si="514"/>
        <v/>
      </c>
      <c r="AA4727" s="60">
        <f t="shared" si="515"/>
        <v>0</v>
      </c>
      <c r="AB4727" s="49">
        <f t="shared" si="516"/>
        <v>0</v>
      </c>
      <c r="AC4727" s="60">
        <f t="shared" si="517"/>
        <v>0</v>
      </c>
    </row>
    <row r="4728" spans="1:29">
      <c r="A4728" s="83" t="str">
        <f t="shared" si="512"/>
        <v/>
      </c>
      <c r="B4728" s="83" t="str">
        <f t="shared" si="518"/>
        <v/>
      </c>
      <c r="U4728" s="83" t="str">
        <f t="shared" si="513"/>
        <v/>
      </c>
      <c r="V4728" s="83" t="str">
        <f t="shared" si="514"/>
        <v/>
      </c>
      <c r="AA4728" s="60">
        <f t="shared" si="515"/>
        <v>0</v>
      </c>
      <c r="AB4728" s="49">
        <f t="shared" si="516"/>
        <v>0</v>
      </c>
      <c r="AC4728" s="60">
        <f t="shared" si="517"/>
        <v>0</v>
      </c>
    </row>
    <row r="4729" spans="1:29">
      <c r="A4729" s="83" t="str">
        <f t="shared" si="512"/>
        <v/>
      </c>
      <c r="B4729" s="83" t="str">
        <f t="shared" si="518"/>
        <v/>
      </c>
      <c r="U4729" s="83" t="str">
        <f t="shared" si="513"/>
        <v/>
      </c>
      <c r="V4729" s="83" t="str">
        <f t="shared" si="514"/>
        <v/>
      </c>
      <c r="AA4729" s="60">
        <f t="shared" si="515"/>
        <v>0</v>
      </c>
      <c r="AB4729" s="49">
        <f t="shared" si="516"/>
        <v>0</v>
      </c>
      <c r="AC4729" s="60">
        <f t="shared" si="517"/>
        <v>0</v>
      </c>
    </row>
    <row r="4730" spans="1:29">
      <c r="A4730" s="83" t="str">
        <f t="shared" si="512"/>
        <v/>
      </c>
      <c r="B4730" s="83" t="str">
        <f t="shared" si="518"/>
        <v/>
      </c>
      <c r="U4730" s="83" t="str">
        <f t="shared" si="513"/>
        <v/>
      </c>
      <c r="V4730" s="83" t="str">
        <f t="shared" si="514"/>
        <v/>
      </c>
      <c r="AA4730" s="60">
        <f t="shared" si="515"/>
        <v>0</v>
      </c>
      <c r="AB4730" s="49">
        <f t="shared" si="516"/>
        <v>0</v>
      </c>
      <c r="AC4730" s="60">
        <f t="shared" si="517"/>
        <v>0</v>
      </c>
    </row>
    <row r="4731" spans="1:29">
      <c r="A4731" s="83" t="str">
        <f t="shared" si="512"/>
        <v/>
      </c>
      <c r="B4731" s="83" t="str">
        <f t="shared" si="518"/>
        <v/>
      </c>
      <c r="U4731" s="83" t="str">
        <f t="shared" si="513"/>
        <v/>
      </c>
      <c r="V4731" s="83" t="str">
        <f t="shared" si="514"/>
        <v/>
      </c>
      <c r="AA4731" s="60">
        <f t="shared" si="515"/>
        <v>0</v>
      </c>
      <c r="AB4731" s="49">
        <f t="shared" si="516"/>
        <v>0</v>
      </c>
      <c r="AC4731" s="60">
        <f t="shared" si="517"/>
        <v>0</v>
      </c>
    </row>
    <row r="4732" spans="1:29">
      <c r="A4732" s="83" t="str">
        <f t="shared" si="512"/>
        <v/>
      </c>
      <c r="B4732" s="83" t="str">
        <f t="shared" si="518"/>
        <v/>
      </c>
      <c r="U4732" s="83" t="str">
        <f t="shared" si="513"/>
        <v/>
      </c>
      <c r="V4732" s="83" t="str">
        <f t="shared" si="514"/>
        <v/>
      </c>
      <c r="AA4732" s="60">
        <f t="shared" si="515"/>
        <v>0</v>
      </c>
      <c r="AB4732" s="49">
        <f t="shared" si="516"/>
        <v>0</v>
      </c>
      <c r="AC4732" s="60">
        <f t="shared" si="517"/>
        <v>0</v>
      </c>
    </row>
    <row r="4733" spans="1:29">
      <c r="A4733" s="83" t="str">
        <f t="shared" si="512"/>
        <v/>
      </c>
      <c r="B4733" s="83" t="str">
        <f t="shared" si="518"/>
        <v/>
      </c>
      <c r="U4733" s="83" t="str">
        <f t="shared" si="513"/>
        <v/>
      </c>
      <c r="V4733" s="83" t="str">
        <f t="shared" si="514"/>
        <v/>
      </c>
      <c r="AA4733" s="60">
        <f t="shared" si="515"/>
        <v>0</v>
      </c>
      <c r="AB4733" s="49">
        <f t="shared" si="516"/>
        <v>0</v>
      </c>
      <c r="AC4733" s="60">
        <f t="shared" si="517"/>
        <v>0</v>
      </c>
    </row>
    <row r="4734" spans="1:29">
      <c r="A4734" s="83" t="str">
        <f t="shared" si="512"/>
        <v/>
      </c>
      <c r="B4734" s="83" t="str">
        <f t="shared" si="518"/>
        <v/>
      </c>
      <c r="U4734" s="83" t="str">
        <f t="shared" si="513"/>
        <v/>
      </c>
      <c r="V4734" s="83" t="str">
        <f t="shared" si="514"/>
        <v/>
      </c>
      <c r="AA4734" s="60">
        <f t="shared" si="515"/>
        <v>0</v>
      </c>
      <c r="AB4734" s="49">
        <f t="shared" si="516"/>
        <v>0</v>
      </c>
      <c r="AC4734" s="60">
        <f t="shared" si="517"/>
        <v>0</v>
      </c>
    </row>
    <row r="4735" spans="1:29">
      <c r="A4735" s="83" t="str">
        <f t="shared" si="512"/>
        <v/>
      </c>
      <c r="B4735" s="83" t="str">
        <f t="shared" si="518"/>
        <v/>
      </c>
      <c r="U4735" s="83" t="str">
        <f t="shared" si="513"/>
        <v/>
      </c>
      <c r="V4735" s="83" t="str">
        <f t="shared" si="514"/>
        <v/>
      </c>
      <c r="AA4735" s="60">
        <f t="shared" si="515"/>
        <v>0</v>
      </c>
      <c r="AB4735" s="49">
        <f t="shared" si="516"/>
        <v>0</v>
      </c>
      <c r="AC4735" s="60">
        <f t="shared" si="517"/>
        <v>0</v>
      </c>
    </row>
    <row r="4736" spans="1:29">
      <c r="A4736" s="83" t="str">
        <f t="shared" si="512"/>
        <v/>
      </c>
      <c r="B4736" s="83" t="str">
        <f t="shared" si="518"/>
        <v/>
      </c>
      <c r="U4736" s="83" t="str">
        <f t="shared" si="513"/>
        <v/>
      </c>
      <c r="V4736" s="83" t="str">
        <f t="shared" si="514"/>
        <v/>
      </c>
      <c r="AA4736" s="60">
        <f t="shared" si="515"/>
        <v>0</v>
      </c>
      <c r="AB4736" s="49">
        <f t="shared" si="516"/>
        <v>0</v>
      </c>
      <c r="AC4736" s="60">
        <f t="shared" si="517"/>
        <v>0</v>
      </c>
    </row>
    <row r="4737" spans="1:29">
      <c r="A4737" s="83" t="str">
        <f t="shared" si="512"/>
        <v/>
      </c>
      <c r="B4737" s="83" t="str">
        <f t="shared" si="518"/>
        <v/>
      </c>
      <c r="U4737" s="83" t="str">
        <f t="shared" si="513"/>
        <v/>
      </c>
      <c r="V4737" s="83" t="str">
        <f t="shared" si="514"/>
        <v/>
      </c>
      <c r="AA4737" s="60">
        <f t="shared" si="515"/>
        <v>0</v>
      </c>
      <c r="AB4737" s="49">
        <f t="shared" si="516"/>
        <v>0</v>
      </c>
      <c r="AC4737" s="60">
        <f t="shared" si="517"/>
        <v>0</v>
      </c>
    </row>
    <row r="4738" spans="1:29">
      <c r="A4738" s="83" t="str">
        <f t="shared" si="512"/>
        <v/>
      </c>
      <c r="B4738" s="83" t="str">
        <f t="shared" si="518"/>
        <v/>
      </c>
      <c r="U4738" s="83" t="str">
        <f t="shared" si="513"/>
        <v/>
      </c>
      <c r="V4738" s="83" t="str">
        <f t="shared" si="514"/>
        <v/>
      </c>
      <c r="AA4738" s="60">
        <f t="shared" si="515"/>
        <v>0</v>
      </c>
      <c r="AB4738" s="49">
        <f t="shared" si="516"/>
        <v>0</v>
      </c>
      <c r="AC4738" s="60">
        <f t="shared" si="517"/>
        <v>0</v>
      </c>
    </row>
    <row r="4739" spans="1:29">
      <c r="A4739" s="83" t="str">
        <f t="shared" ref="A4739:A4802" si="519">IF(G4739&amp;Q4739&lt;&gt;"",U4739&amp;Q4739,"")</f>
        <v/>
      </c>
      <c r="B4739" s="83" t="str">
        <f t="shared" si="518"/>
        <v/>
      </c>
      <c r="U4739" s="83" t="str">
        <f t="shared" ref="U4739:U4802" si="520">IF(G4739&lt;&gt;"",IF(StyleSpaceSplit,IFERROR(IF(FIND(" ",G4739)&gt;=1,MID(G4739,1,FIND(" ",G4739)-1),G4739),G4739),G4739),"")</f>
        <v/>
      </c>
      <c r="V4739" s="83" t="str">
        <f t="shared" ref="V4739:V4802" si="521">IF(A4739&lt;&gt;"",IFERROR(IF(FIND(" ",G4739)&gt;=1,MID(G4739,FIND(" ",G4739)+1,LEN(G4739)),""),G4739),"")</f>
        <v/>
      </c>
      <c r="AA4739" s="60">
        <f t="shared" ref="AA4739:AA4802" si="522">IFERROR(VALUE(MID($C4739,1,2)),0)</f>
        <v>0</v>
      </c>
      <c r="AB4739" s="49">
        <f t="shared" ref="AB4739:AB4802" si="523">IFERROR(VALUE(MID($C4739,4,3)),0)</f>
        <v>0</v>
      </c>
      <c r="AC4739" s="60">
        <f t="shared" ref="AC4739:AC4802" si="524">VALUE(RIGHT("00"&amp;AA4739,2)&amp;RIGHT("000"&amp;AB4739,3))</f>
        <v>0</v>
      </c>
    </row>
    <row r="4740" spans="1:29">
      <c r="A4740" s="83" t="str">
        <f t="shared" si="519"/>
        <v/>
      </c>
      <c r="B4740" s="83" t="str">
        <f t="shared" si="518"/>
        <v/>
      </c>
      <c r="U4740" s="83" t="str">
        <f t="shared" si="520"/>
        <v/>
      </c>
      <c r="V4740" s="83" t="str">
        <f t="shared" si="521"/>
        <v/>
      </c>
      <c r="AA4740" s="60">
        <f t="shared" si="522"/>
        <v>0</v>
      </c>
      <c r="AB4740" s="49">
        <f t="shared" si="523"/>
        <v>0</v>
      </c>
      <c r="AC4740" s="60">
        <f t="shared" si="524"/>
        <v>0</v>
      </c>
    </row>
    <row r="4741" spans="1:29">
      <c r="A4741" s="83" t="str">
        <f t="shared" si="519"/>
        <v/>
      </c>
      <c r="B4741" s="83" t="str">
        <f t="shared" si="518"/>
        <v/>
      </c>
      <c r="U4741" s="83" t="str">
        <f t="shared" si="520"/>
        <v/>
      </c>
      <c r="V4741" s="83" t="str">
        <f t="shared" si="521"/>
        <v/>
      </c>
      <c r="AA4741" s="60">
        <f t="shared" si="522"/>
        <v>0</v>
      </c>
      <c r="AB4741" s="49">
        <f t="shared" si="523"/>
        <v>0</v>
      </c>
      <c r="AC4741" s="60">
        <f t="shared" si="524"/>
        <v>0</v>
      </c>
    </row>
    <row r="4742" spans="1:29">
      <c r="A4742" s="83" t="str">
        <f t="shared" si="519"/>
        <v/>
      </c>
      <c r="B4742" s="83" t="str">
        <f t="shared" si="518"/>
        <v/>
      </c>
      <c r="U4742" s="83" t="str">
        <f t="shared" si="520"/>
        <v/>
      </c>
      <c r="V4742" s="83" t="str">
        <f t="shared" si="521"/>
        <v/>
      </c>
      <c r="AA4742" s="60">
        <f t="shared" si="522"/>
        <v>0</v>
      </c>
      <c r="AB4742" s="49">
        <f t="shared" si="523"/>
        <v>0</v>
      </c>
      <c r="AC4742" s="60">
        <f t="shared" si="524"/>
        <v>0</v>
      </c>
    </row>
    <row r="4743" spans="1:29">
      <c r="A4743" s="83" t="str">
        <f t="shared" si="519"/>
        <v/>
      </c>
      <c r="B4743" s="83" t="str">
        <f t="shared" si="518"/>
        <v/>
      </c>
      <c r="U4743" s="83" t="str">
        <f t="shared" si="520"/>
        <v/>
      </c>
      <c r="V4743" s="83" t="str">
        <f t="shared" si="521"/>
        <v/>
      </c>
      <c r="AA4743" s="60">
        <f t="shared" si="522"/>
        <v>0</v>
      </c>
      <c r="AB4743" s="49">
        <f t="shared" si="523"/>
        <v>0</v>
      </c>
      <c r="AC4743" s="60">
        <f t="shared" si="524"/>
        <v>0</v>
      </c>
    </row>
    <row r="4744" spans="1:29">
      <c r="A4744" s="83" t="str">
        <f t="shared" si="519"/>
        <v/>
      </c>
      <c r="B4744" s="83" t="str">
        <f t="shared" si="518"/>
        <v/>
      </c>
      <c r="U4744" s="83" t="str">
        <f t="shared" si="520"/>
        <v/>
      </c>
      <c r="V4744" s="83" t="str">
        <f t="shared" si="521"/>
        <v/>
      </c>
      <c r="AA4744" s="60">
        <f t="shared" si="522"/>
        <v>0</v>
      </c>
      <c r="AB4744" s="49">
        <f t="shared" si="523"/>
        <v>0</v>
      </c>
      <c r="AC4744" s="60">
        <f t="shared" si="524"/>
        <v>0</v>
      </c>
    </row>
    <row r="4745" spans="1:29">
      <c r="A4745" s="83" t="str">
        <f t="shared" si="519"/>
        <v/>
      </c>
      <c r="B4745" s="83" t="str">
        <f t="shared" si="518"/>
        <v/>
      </c>
      <c r="U4745" s="83" t="str">
        <f t="shared" si="520"/>
        <v/>
      </c>
      <c r="V4745" s="83" t="str">
        <f t="shared" si="521"/>
        <v/>
      </c>
      <c r="AA4745" s="60">
        <f t="shared" si="522"/>
        <v>0</v>
      </c>
      <c r="AB4745" s="49">
        <f t="shared" si="523"/>
        <v>0</v>
      </c>
      <c r="AC4745" s="60">
        <f t="shared" si="524"/>
        <v>0</v>
      </c>
    </row>
    <row r="4746" spans="1:29">
      <c r="A4746" s="83" t="str">
        <f t="shared" si="519"/>
        <v/>
      </c>
      <c r="B4746" s="83" t="str">
        <f t="shared" si="518"/>
        <v/>
      </c>
      <c r="U4746" s="83" t="str">
        <f t="shared" si="520"/>
        <v/>
      </c>
      <c r="V4746" s="83" t="str">
        <f t="shared" si="521"/>
        <v/>
      </c>
      <c r="AA4746" s="60">
        <f t="shared" si="522"/>
        <v>0</v>
      </c>
      <c r="AB4746" s="49">
        <f t="shared" si="523"/>
        <v>0</v>
      </c>
      <c r="AC4746" s="60">
        <f t="shared" si="524"/>
        <v>0</v>
      </c>
    </row>
    <row r="4747" spans="1:29">
      <c r="A4747" s="83" t="str">
        <f t="shared" si="519"/>
        <v/>
      </c>
      <c r="B4747" s="83" t="str">
        <f t="shared" si="518"/>
        <v/>
      </c>
      <c r="U4747" s="83" t="str">
        <f t="shared" si="520"/>
        <v/>
      </c>
      <c r="V4747" s="83" t="str">
        <f t="shared" si="521"/>
        <v/>
      </c>
      <c r="AA4747" s="60">
        <f t="shared" si="522"/>
        <v>0</v>
      </c>
      <c r="AB4747" s="49">
        <f t="shared" si="523"/>
        <v>0</v>
      </c>
      <c r="AC4747" s="60">
        <f t="shared" si="524"/>
        <v>0</v>
      </c>
    </row>
    <row r="4748" spans="1:29">
      <c r="A4748" s="83" t="str">
        <f t="shared" si="519"/>
        <v/>
      </c>
      <c r="B4748" s="83" t="str">
        <f t="shared" si="518"/>
        <v/>
      </c>
      <c r="U4748" s="83" t="str">
        <f t="shared" si="520"/>
        <v/>
      </c>
      <c r="V4748" s="83" t="str">
        <f t="shared" si="521"/>
        <v/>
      </c>
      <c r="AA4748" s="60">
        <f t="shared" si="522"/>
        <v>0</v>
      </c>
      <c r="AB4748" s="49">
        <f t="shared" si="523"/>
        <v>0</v>
      </c>
      <c r="AC4748" s="60">
        <f t="shared" si="524"/>
        <v>0</v>
      </c>
    </row>
    <row r="4749" spans="1:29">
      <c r="A4749" s="83" t="str">
        <f t="shared" si="519"/>
        <v/>
      </c>
      <c r="B4749" s="83" t="str">
        <f t="shared" si="518"/>
        <v/>
      </c>
      <c r="U4749" s="83" t="str">
        <f t="shared" si="520"/>
        <v/>
      </c>
      <c r="V4749" s="83" t="str">
        <f t="shared" si="521"/>
        <v/>
      </c>
      <c r="AA4749" s="60">
        <f t="shared" si="522"/>
        <v>0</v>
      </c>
      <c r="AB4749" s="49">
        <f t="shared" si="523"/>
        <v>0</v>
      </c>
      <c r="AC4749" s="60">
        <f t="shared" si="524"/>
        <v>0</v>
      </c>
    </row>
    <row r="4750" spans="1:29">
      <c r="A4750" s="83" t="str">
        <f t="shared" si="519"/>
        <v/>
      </c>
      <c r="B4750" s="83" t="str">
        <f t="shared" si="518"/>
        <v/>
      </c>
      <c r="U4750" s="83" t="str">
        <f t="shared" si="520"/>
        <v/>
      </c>
      <c r="V4750" s="83" t="str">
        <f t="shared" si="521"/>
        <v/>
      </c>
      <c r="AA4750" s="60">
        <f t="shared" si="522"/>
        <v>0</v>
      </c>
      <c r="AB4750" s="49">
        <f t="shared" si="523"/>
        <v>0</v>
      </c>
      <c r="AC4750" s="60">
        <f t="shared" si="524"/>
        <v>0</v>
      </c>
    </row>
    <row r="4751" spans="1:29">
      <c r="A4751" s="83" t="str">
        <f t="shared" si="519"/>
        <v/>
      </c>
      <c r="B4751" s="83" t="str">
        <f t="shared" si="518"/>
        <v/>
      </c>
      <c r="U4751" s="83" t="str">
        <f t="shared" si="520"/>
        <v/>
      </c>
      <c r="V4751" s="83" t="str">
        <f t="shared" si="521"/>
        <v/>
      </c>
      <c r="AA4751" s="60">
        <f t="shared" si="522"/>
        <v>0</v>
      </c>
      <c r="AB4751" s="49">
        <f t="shared" si="523"/>
        <v>0</v>
      </c>
      <c r="AC4751" s="60">
        <f t="shared" si="524"/>
        <v>0</v>
      </c>
    </row>
    <row r="4752" spans="1:29">
      <c r="A4752" s="83" t="str">
        <f t="shared" si="519"/>
        <v/>
      </c>
      <c r="B4752" s="83" t="str">
        <f t="shared" si="518"/>
        <v/>
      </c>
      <c r="U4752" s="83" t="str">
        <f t="shared" si="520"/>
        <v/>
      </c>
      <c r="V4752" s="83" t="str">
        <f t="shared" si="521"/>
        <v/>
      </c>
      <c r="AA4752" s="60">
        <f t="shared" si="522"/>
        <v>0</v>
      </c>
      <c r="AB4752" s="49">
        <f t="shared" si="523"/>
        <v>0</v>
      </c>
      <c r="AC4752" s="60">
        <f t="shared" si="524"/>
        <v>0</v>
      </c>
    </row>
    <row r="4753" spans="1:29">
      <c r="A4753" s="83" t="str">
        <f t="shared" si="519"/>
        <v/>
      </c>
      <c r="B4753" s="83" t="str">
        <f t="shared" si="518"/>
        <v/>
      </c>
      <c r="U4753" s="83" t="str">
        <f t="shared" si="520"/>
        <v/>
      </c>
      <c r="V4753" s="83" t="str">
        <f t="shared" si="521"/>
        <v/>
      </c>
      <c r="AA4753" s="60">
        <f t="shared" si="522"/>
        <v>0</v>
      </c>
      <c r="AB4753" s="49">
        <f t="shared" si="523"/>
        <v>0</v>
      </c>
      <c r="AC4753" s="60">
        <f t="shared" si="524"/>
        <v>0</v>
      </c>
    </row>
    <row r="4754" spans="1:29">
      <c r="A4754" s="83" t="str">
        <f t="shared" si="519"/>
        <v/>
      </c>
      <c r="B4754" s="83" t="str">
        <f t="shared" si="518"/>
        <v/>
      </c>
      <c r="U4754" s="83" t="str">
        <f t="shared" si="520"/>
        <v/>
      </c>
      <c r="V4754" s="83" t="str">
        <f t="shared" si="521"/>
        <v/>
      </c>
      <c r="AA4754" s="60">
        <f t="shared" si="522"/>
        <v>0</v>
      </c>
      <c r="AB4754" s="49">
        <f t="shared" si="523"/>
        <v>0</v>
      </c>
      <c r="AC4754" s="60">
        <f t="shared" si="524"/>
        <v>0</v>
      </c>
    </row>
    <row r="4755" spans="1:29">
      <c r="A4755" s="83" t="str">
        <f t="shared" si="519"/>
        <v/>
      </c>
      <c r="B4755" s="83" t="str">
        <f t="shared" si="518"/>
        <v/>
      </c>
      <c r="U4755" s="83" t="str">
        <f t="shared" si="520"/>
        <v/>
      </c>
      <c r="V4755" s="83" t="str">
        <f t="shared" si="521"/>
        <v/>
      </c>
      <c r="AA4755" s="60">
        <f t="shared" si="522"/>
        <v>0</v>
      </c>
      <c r="AB4755" s="49">
        <f t="shared" si="523"/>
        <v>0</v>
      </c>
      <c r="AC4755" s="60">
        <f t="shared" si="524"/>
        <v>0</v>
      </c>
    </row>
    <row r="4756" spans="1:29">
      <c r="A4756" s="83" t="str">
        <f t="shared" si="519"/>
        <v/>
      </c>
      <c r="B4756" s="83" t="str">
        <f t="shared" si="518"/>
        <v/>
      </c>
      <c r="U4756" s="83" t="str">
        <f t="shared" si="520"/>
        <v/>
      </c>
      <c r="V4756" s="83" t="str">
        <f t="shared" si="521"/>
        <v/>
      </c>
      <c r="AA4756" s="60">
        <f t="shared" si="522"/>
        <v>0</v>
      </c>
      <c r="AB4756" s="49">
        <f t="shared" si="523"/>
        <v>0</v>
      </c>
      <c r="AC4756" s="60">
        <f t="shared" si="524"/>
        <v>0</v>
      </c>
    </row>
    <row r="4757" spans="1:29">
      <c r="A4757" s="83" t="str">
        <f t="shared" si="519"/>
        <v/>
      </c>
      <c r="B4757" s="83" t="str">
        <f t="shared" si="518"/>
        <v/>
      </c>
      <c r="U4757" s="83" t="str">
        <f t="shared" si="520"/>
        <v/>
      </c>
      <c r="V4757" s="83" t="str">
        <f t="shared" si="521"/>
        <v/>
      </c>
      <c r="AA4757" s="60">
        <f t="shared" si="522"/>
        <v>0</v>
      </c>
      <c r="AB4757" s="49">
        <f t="shared" si="523"/>
        <v>0</v>
      </c>
      <c r="AC4757" s="60">
        <f t="shared" si="524"/>
        <v>0</v>
      </c>
    </row>
    <row r="4758" spans="1:29">
      <c r="A4758" s="83" t="str">
        <f t="shared" si="519"/>
        <v/>
      </c>
      <c r="B4758" s="83" t="str">
        <f t="shared" si="518"/>
        <v/>
      </c>
      <c r="U4758" s="83" t="str">
        <f t="shared" si="520"/>
        <v/>
      </c>
      <c r="V4758" s="83" t="str">
        <f t="shared" si="521"/>
        <v/>
      </c>
      <c r="AA4758" s="60">
        <f t="shared" si="522"/>
        <v>0</v>
      </c>
      <c r="AB4758" s="49">
        <f t="shared" si="523"/>
        <v>0</v>
      </c>
      <c r="AC4758" s="60">
        <f t="shared" si="524"/>
        <v>0</v>
      </c>
    </row>
    <row r="4759" spans="1:29">
      <c r="A4759" s="83" t="str">
        <f t="shared" si="519"/>
        <v/>
      </c>
      <c r="B4759" s="83" t="str">
        <f t="shared" si="518"/>
        <v/>
      </c>
      <c r="U4759" s="83" t="str">
        <f t="shared" si="520"/>
        <v/>
      </c>
      <c r="V4759" s="83" t="str">
        <f t="shared" si="521"/>
        <v/>
      </c>
      <c r="AA4759" s="60">
        <f t="shared" si="522"/>
        <v>0</v>
      </c>
      <c r="AB4759" s="49">
        <f t="shared" si="523"/>
        <v>0</v>
      </c>
      <c r="AC4759" s="60">
        <f t="shared" si="524"/>
        <v>0</v>
      </c>
    </row>
    <row r="4760" spans="1:29">
      <c r="A4760" s="83" t="str">
        <f t="shared" si="519"/>
        <v/>
      </c>
      <c r="B4760" s="83" t="str">
        <f t="shared" si="518"/>
        <v/>
      </c>
      <c r="U4760" s="83" t="str">
        <f t="shared" si="520"/>
        <v/>
      </c>
      <c r="V4760" s="83" t="str">
        <f t="shared" si="521"/>
        <v/>
      </c>
      <c r="AA4760" s="60">
        <f t="shared" si="522"/>
        <v>0</v>
      </c>
      <c r="AB4760" s="49">
        <f t="shared" si="523"/>
        <v>0</v>
      </c>
      <c r="AC4760" s="60">
        <f t="shared" si="524"/>
        <v>0</v>
      </c>
    </row>
    <row r="4761" spans="1:29">
      <c r="A4761" s="83" t="str">
        <f t="shared" si="519"/>
        <v/>
      </c>
      <c r="B4761" s="83" t="str">
        <f t="shared" si="518"/>
        <v/>
      </c>
      <c r="U4761" s="83" t="str">
        <f t="shared" si="520"/>
        <v/>
      </c>
      <c r="V4761" s="83" t="str">
        <f t="shared" si="521"/>
        <v/>
      </c>
      <c r="AA4761" s="60">
        <f t="shared" si="522"/>
        <v>0</v>
      </c>
      <c r="AB4761" s="49">
        <f t="shared" si="523"/>
        <v>0</v>
      </c>
      <c r="AC4761" s="60">
        <f t="shared" si="524"/>
        <v>0</v>
      </c>
    </row>
    <row r="4762" spans="1:29">
      <c r="A4762" s="83" t="str">
        <f t="shared" si="519"/>
        <v/>
      </c>
      <c r="B4762" s="83" t="str">
        <f t="shared" si="518"/>
        <v/>
      </c>
      <c r="U4762" s="83" t="str">
        <f t="shared" si="520"/>
        <v/>
      </c>
      <c r="V4762" s="83" t="str">
        <f t="shared" si="521"/>
        <v/>
      </c>
      <c r="AA4762" s="60">
        <f t="shared" si="522"/>
        <v>0</v>
      </c>
      <c r="AB4762" s="49">
        <f t="shared" si="523"/>
        <v>0</v>
      </c>
      <c r="AC4762" s="60">
        <f t="shared" si="524"/>
        <v>0</v>
      </c>
    </row>
    <row r="4763" spans="1:29">
      <c r="A4763" s="83" t="str">
        <f t="shared" si="519"/>
        <v/>
      </c>
      <c r="B4763" s="83" t="str">
        <f t="shared" si="518"/>
        <v/>
      </c>
      <c r="U4763" s="83" t="str">
        <f t="shared" si="520"/>
        <v/>
      </c>
      <c r="V4763" s="83" t="str">
        <f t="shared" si="521"/>
        <v/>
      </c>
      <c r="AA4763" s="60">
        <f t="shared" si="522"/>
        <v>0</v>
      </c>
      <c r="AB4763" s="49">
        <f t="shared" si="523"/>
        <v>0</v>
      </c>
      <c r="AC4763" s="60">
        <f t="shared" si="524"/>
        <v>0</v>
      </c>
    </row>
    <row r="4764" spans="1:29">
      <c r="A4764" s="83" t="str">
        <f t="shared" si="519"/>
        <v/>
      </c>
      <c r="B4764" s="83" t="str">
        <f t="shared" si="518"/>
        <v/>
      </c>
      <c r="U4764" s="83" t="str">
        <f t="shared" si="520"/>
        <v/>
      </c>
      <c r="V4764" s="83" t="str">
        <f t="shared" si="521"/>
        <v/>
      </c>
      <c r="AA4764" s="60">
        <f t="shared" si="522"/>
        <v>0</v>
      </c>
      <c r="AB4764" s="49">
        <f t="shared" si="523"/>
        <v>0</v>
      </c>
      <c r="AC4764" s="60">
        <f t="shared" si="524"/>
        <v>0</v>
      </c>
    </row>
    <row r="4765" spans="1:29">
      <c r="A4765" s="83" t="str">
        <f t="shared" si="519"/>
        <v/>
      </c>
      <c r="B4765" s="83" t="str">
        <f t="shared" si="518"/>
        <v/>
      </c>
      <c r="U4765" s="83" t="str">
        <f t="shared" si="520"/>
        <v/>
      </c>
      <c r="V4765" s="83" t="str">
        <f t="shared" si="521"/>
        <v/>
      </c>
      <c r="AA4765" s="60">
        <f t="shared" si="522"/>
        <v>0</v>
      </c>
      <c r="AB4765" s="49">
        <f t="shared" si="523"/>
        <v>0</v>
      </c>
      <c r="AC4765" s="60">
        <f t="shared" si="524"/>
        <v>0</v>
      </c>
    </row>
    <row r="4766" spans="1:29">
      <c r="A4766" s="83" t="str">
        <f t="shared" si="519"/>
        <v/>
      </c>
      <c r="B4766" s="83" t="str">
        <f t="shared" si="518"/>
        <v/>
      </c>
      <c r="U4766" s="83" t="str">
        <f t="shared" si="520"/>
        <v/>
      </c>
      <c r="V4766" s="83" t="str">
        <f t="shared" si="521"/>
        <v/>
      </c>
      <c r="AA4766" s="60">
        <f t="shared" si="522"/>
        <v>0</v>
      </c>
      <c r="AB4766" s="49">
        <f t="shared" si="523"/>
        <v>0</v>
      </c>
      <c r="AC4766" s="60">
        <f t="shared" si="524"/>
        <v>0</v>
      </c>
    </row>
    <row r="4767" spans="1:29">
      <c r="A4767" s="83" t="str">
        <f t="shared" si="519"/>
        <v/>
      </c>
      <c r="B4767" s="83" t="str">
        <f t="shared" si="518"/>
        <v/>
      </c>
      <c r="U4767" s="83" t="str">
        <f t="shared" si="520"/>
        <v/>
      </c>
      <c r="V4767" s="83" t="str">
        <f t="shared" si="521"/>
        <v/>
      </c>
      <c r="AA4767" s="60">
        <f t="shared" si="522"/>
        <v>0</v>
      </c>
      <c r="AB4767" s="49">
        <f t="shared" si="523"/>
        <v>0</v>
      </c>
      <c r="AC4767" s="60">
        <f t="shared" si="524"/>
        <v>0</v>
      </c>
    </row>
    <row r="4768" spans="1:29">
      <c r="A4768" s="83" t="str">
        <f t="shared" si="519"/>
        <v/>
      </c>
      <c r="B4768" s="83" t="str">
        <f t="shared" si="518"/>
        <v/>
      </c>
      <c r="U4768" s="83" t="str">
        <f t="shared" si="520"/>
        <v/>
      </c>
      <c r="V4768" s="83" t="str">
        <f t="shared" si="521"/>
        <v/>
      </c>
      <c r="AA4768" s="60">
        <f t="shared" si="522"/>
        <v>0</v>
      </c>
      <c r="AB4768" s="49">
        <f t="shared" si="523"/>
        <v>0</v>
      </c>
      <c r="AC4768" s="60">
        <f t="shared" si="524"/>
        <v>0</v>
      </c>
    </row>
    <row r="4769" spans="1:29">
      <c r="A4769" s="83" t="str">
        <f t="shared" si="519"/>
        <v/>
      </c>
      <c r="B4769" s="83" t="str">
        <f t="shared" ref="B4769:B4832" si="525">IF(C4769&lt;&gt;"",LEFT(C4769,9),"")</f>
        <v/>
      </c>
      <c r="U4769" s="83" t="str">
        <f t="shared" si="520"/>
        <v/>
      </c>
      <c r="V4769" s="83" t="str">
        <f t="shared" si="521"/>
        <v/>
      </c>
      <c r="AA4769" s="60">
        <f t="shared" si="522"/>
        <v>0</v>
      </c>
      <c r="AB4769" s="49">
        <f t="shared" si="523"/>
        <v>0</v>
      </c>
      <c r="AC4769" s="60">
        <f t="shared" si="524"/>
        <v>0</v>
      </c>
    </row>
    <row r="4770" spans="1:29">
      <c r="A4770" s="83" t="str">
        <f t="shared" si="519"/>
        <v/>
      </c>
      <c r="B4770" s="83" t="str">
        <f t="shared" si="525"/>
        <v/>
      </c>
      <c r="U4770" s="83" t="str">
        <f t="shared" si="520"/>
        <v/>
      </c>
      <c r="V4770" s="83" t="str">
        <f t="shared" si="521"/>
        <v/>
      </c>
      <c r="AA4770" s="60">
        <f t="shared" si="522"/>
        <v>0</v>
      </c>
      <c r="AB4770" s="49">
        <f t="shared" si="523"/>
        <v>0</v>
      </c>
      <c r="AC4770" s="60">
        <f t="shared" si="524"/>
        <v>0</v>
      </c>
    </row>
    <row r="4771" spans="1:29">
      <c r="A4771" s="83" t="str">
        <f t="shared" si="519"/>
        <v/>
      </c>
      <c r="B4771" s="83" t="str">
        <f t="shared" si="525"/>
        <v/>
      </c>
      <c r="U4771" s="83" t="str">
        <f t="shared" si="520"/>
        <v/>
      </c>
      <c r="V4771" s="83" t="str">
        <f t="shared" si="521"/>
        <v/>
      </c>
      <c r="AA4771" s="60">
        <f t="shared" si="522"/>
        <v>0</v>
      </c>
      <c r="AB4771" s="49">
        <f t="shared" si="523"/>
        <v>0</v>
      </c>
      <c r="AC4771" s="60">
        <f t="shared" si="524"/>
        <v>0</v>
      </c>
    </row>
    <row r="4772" spans="1:29">
      <c r="A4772" s="83" t="str">
        <f t="shared" si="519"/>
        <v/>
      </c>
      <c r="B4772" s="83" t="str">
        <f t="shared" si="525"/>
        <v/>
      </c>
      <c r="U4772" s="83" t="str">
        <f t="shared" si="520"/>
        <v/>
      </c>
      <c r="V4772" s="83" t="str">
        <f t="shared" si="521"/>
        <v/>
      </c>
      <c r="AA4772" s="60">
        <f t="shared" si="522"/>
        <v>0</v>
      </c>
      <c r="AB4772" s="49">
        <f t="shared" si="523"/>
        <v>0</v>
      </c>
      <c r="AC4772" s="60">
        <f t="shared" si="524"/>
        <v>0</v>
      </c>
    </row>
    <row r="4773" spans="1:29">
      <c r="A4773" s="83" t="str">
        <f t="shared" si="519"/>
        <v/>
      </c>
      <c r="B4773" s="83" t="str">
        <f t="shared" si="525"/>
        <v/>
      </c>
      <c r="U4773" s="83" t="str">
        <f t="shared" si="520"/>
        <v/>
      </c>
      <c r="V4773" s="83" t="str">
        <f t="shared" si="521"/>
        <v/>
      </c>
      <c r="AA4773" s="60">
        <f t="shared" si="522"/>
        <v>0</v>
      </c>
      <c r="AB4773" s="49">
        <f t="shared" si="523"/>
        <v>0</v>
      </c>
      <c r="AC4773" s="60">
        <f t="shared" si="524"/>
        <v>0</v>
      </c>
    </row>
    <row r="4774" spans="1:29">
      <c r="A4774" s="83" t="str">
        <f t="shared" si="519"/>
        <v/>
      </c>
      <c r="B4774" s="83" t="str">
        <f t="shared" si="525"/>
        <v/>
      </c>
      <c r="U4774" s="83" t="str">
        <f t="shared" si="520"/>
        <v/>
      </c>
      <c r="V4774" s="83" t="str">
        <f t="shared" si="521"/>
        <v/>
      </c>
      <c r="AA4774" s="60">
        <f t="shared" si="522"/>
        <v>0</v>
      </c>
      <c r="AB4774" s="49">
        <f t="shared" si="523"/>
        <v>0</v>
      </c>
      <c r="AC4774" s="60">
        <f t="shared" si="524"/>
        <v>0</v>
      </c>
    </row>
    <row r="4775" spans="1:29">
      <c r="A4775" s="83" t="str">
        <f t="shared" si="519"/>
        <v/>
      </c>
      <c r="B4775" s="83" t="str">
        <f t="shared" si="525"/>
        <v/>
      </c>
      <c r="U4775" s="83" t="str">
        <f t="shared" si="520"/>
        <v/>
      </c>
      <c r="V4775" s="83" t="str">
        <f t="shared" si="521"/>
        <v/>
      </c>
      <c r="AA4775" s="60">
        <f t="shared" si="522"/>
        <v>0</v>
      </c>
      <c r="AB4775" s="49">
        <f t="shared" si="523"/>
        <v>0</v>
      </c>
      <c r="AC4775" s="60">
        <f t="shared" si="524"/>
        <v>0</v>
      </c>
    </row>
    <row r="4776" spans="1:29">
      <c r="A4776" s="83" t="str">
        <f t="shared" si="519"/>
        <v/>
      </c>
      <c r="B4776" s="83" t="str">
        <f t="shared" si="525"/>
        <v/>
      </c>
      <c r="U4776" s="83" t="str">
        <f t="shared" si="520"/>
        <v/>
      </c>
      <c r="V4776" s="83" t="str">
        <f t="shared" si="521"/>
        <v/>
      </c>
      <c r="AA4776" s="60">
        <f t="shared" si="522"/>
        <v>0</v>
      </c>
      <c r="AB4776" s="49">
        <f t="shared" si="523"/>
        <v>0</v>
      </c>
      <c r="AC4776" s="60">
        <f t="shared" si="524"/>
        <v>0</v>
      </c>
    </row>
    <row r="4777" spans="1:29">
      <c r="A4777" s="83" t="str">
        <f t="shared" si="519"/>
        <v/>
      </c>
      <c r="B4777" s="83" t="str">
        <f t="shared" si="525"/>
        <v/>
      </c>
      <c r="U4777" s="83" t="str">
        <f t="shared" si="520"/>
        <v/>
      </c>
      <c r="V4777" s="83" t="str">
        <f t="shared" si="521"/>
        <v/>
      </c>
      <c r="AA4777" s="60">
        <f t="shared" si="522"/>
        <v>0</v>
      </c>
      <c r="AB4777" s="49">
        <f t="shared" si="523"/>
        <v>0</v>
      </c>
      <c r="AC4777" s="60">
        <f t="shared" si="524"/>
        <v>0</v>
      </c>
    </row>
    <row r="4778" spans="1:29">
      <c r="A4778" s="83" t="str">
        <f t="shared" si="519"/>
        <v/>
      </c>
      <c r="B4778" s="83" t="str">
        <f t="shared" si="525"/>
        <v/>
      </c>
      <c r="U4778" s="83" t="str">
        <f t="shared" si="520"/>
        <v/>
      </c>
      <c r="V4778" s="83" t="str">
        <f t="shared" si="521"/>
        <v/>
      </c>
      <c r="AA4778" s="60">
        <f t="shared" si="522"/>
        <v>0</v>
      </c>
      <c r="AB4778" s="49">
        <f t="shared" si="523"/>
        <v>0</v>
      </c>
      <c r="AC4778" s="60">
        <f t="shared" si="524"/>
        <v>0</v>
      </c>
    </row>
    <row r="4779" spans="1:29">
      <c r="A4779" s="83" t="str">
        <f t="shared" si="519"/>
        <v/>
      </c>
      <c r="B4779" s="83" t="str">
        <f t="shared" si="525"/>
        <v/>
      </c>
      <c r="U4779" s="83" t="str">
        <f t="shared" si="520"/>
        <v/>
      </c>
      <c r="V4779" s="83" t="str">
        <f t="shared" si="521"/>
        <v/>
      </c>
      <c r="AA4779" s="60">
        <f t="shared" si="522"/>
        <v>0</v>
      </c>
      <c r="AB4779" s="49">
        <f t="shared" si="523"/>
        <v>0</v>
      </c>
      <c r="AC4779" s="60">
        <f t="shared" si="524"/>
        <v>0</v>
      </c>
    </row>
    <row r="4780" spans="1:29">
      <c r="A4780" s="83" t="str">
        <f t="shared" si="519"/>
        <v/>
      </c>
      <c r="B4780" s="83" t="str">
        <f t="shared" si="525"/>
        <v/>
      </c>
      <c r="U4780" s="83" t="str">
        <f t="shared" si="520"/>
        <v/>
      </c>
      <c r="V4780" s="83" t="str">
        <f t="shared" si="521"/>
        <v/>
      </c>
      <c r="AA4780" s="60">
        <f t="shared" si="522"/>
        <v>0</v>
      </c>
      <c r="AB4780" s="49">
        <f t="shared" si="523"/>
        <v>0</v>
      </c>
      <c r="AC4780" s="60">
        <f t="shared" si="524"/>
        <v>0</v>
      </c>
    </row>
    <row r="4781" spans="1:29">
      <c r="A4781" s="83" t="str">
        <f t="shared" si="519"/>
        <v/>
      </c>
      <c r="B4781" s="83" t="str">
        <f t="shared" si="525"/>
        <v/>
      </c>
      <c r="U4781" s="83" t="str">
        <f t="shared" si="520"/>
        <v/>
      </c>
      <c r="V4781" s="83" t="str">
        <f t="shared" si="521"/>
        <v/>
      </c>
      <c r="AA4781" s="60">
        <f t="shared" si="522"/>
        <v>0</v>
      </c>
      <c r="AB4781" s="49">
        <f t="shared" si="523"/>
        <v>0</v>
      </c>
      <c r="AC4781" s="60">
        <f t="shared" si="524"/>
        <v>0</v>
      </c>
    </row>
    <row r="4782" spans="1:29">
      <c r="A4782" s="83" t="str">
        <f t="shared" si="519"/>
        <v/>
      </c>
      <c r="B4782" s="83" t="str">
        <f t="shared" si="525"/>
        <v/>
      </c>
      <c r="U4782" s="83" t="str">
        <f t="shared" si="520"/>
        <v/>
      </c>
      <c r="V4782" s="83" t="str">
        <f t="shared" si="521"/>
        <v/>
      </c>
      <c r="AA4782" s="60">
        <f t="shared" si="522"/>
        <v>0</v>
      </c>
      <c r="AB4782" s="49">
        <f t="shared" si="523"/>
        <v>0</v>
      </c>
      <c r="AC4782" s="60">
        <f t="shared" si="524"/>
        <v>0</v>
      </c>
    </row>
    <row r="4783" spans="1:29">
      <c r="A4783" s="83" t="str">
        <f t="shared" si="519"/>
        <v/>
      </c>
      <c r="B4783" s="83" t="str">
        <f t="shared" si="525"/>
        <v/>
      </c>
      <c r="U4783" s="83" t="str">
        <f t="shared" si="520"/>
        <v/>
      </c>
      <c r="V4783" s="83" t="str">
        <f t="shared" si="521"/>
        <v/>
      </c>
      <c r="AA4783" s="60">
        <f t="shared" si="522"/>
        <v>0</v>
      </c>
      <c r="AB4783" s="49">
        <f t="shared" si="523"/>
        <v>0</v>
      </c>
      <c r="AC4783" s="60">
        <f t="shared" si="524"/>
        <v>0</v>
      </c>
    </row>
    <row r="4784" spans="1:29">
      <c r="A4784" s="83" t="str">
        <f t="shared" si="519"/>
        <v/>
      </c>
      <c r="B4784" s="83" t="str">
        <f t="shared" si="525"/>
        <v/>
      </c>
      <c r="U4784" s="83" t="str">
        <f t="shared" si="520"/>
        <v/>
      </c>
      <c r="V4784" s="83" t="str">
        <f t="shared" si="521"/>
        <v/>
      </c>
      <c r="AA4784" s="60">
        <f t="shared" si="522"/>
        <v>0</v>
      </c>
      <c r="AB4784" s="49">
        <f t="shared" si="523"/>
        <v>0</v>
      </c>
      <c r="AC4784" s="60">
        <f t="shared" si="524"/>
        <v>0</v>
      </c>
    </row>
    <row r="4785" spans="1:29">
      <c r="A4785" s="83" t="str">
        <f t="shared" si="519"/>
        <v/>
      </c>
      <c r="B4785" s="83" t="str">
        <f t="shared" si="525"/>
        <v/>
      </c>
      <c r="U4785" s="83" t="str">
        <f t="shared" si="520"/>
        <v/>
      </c>
      <c r="V4785" s="83" t="str">
        <f t="shared" si="521"/>
        <v/>
      </c>
      <c r="AA4785" s="60">
        <f t="shared" si="522"/>
        <v>0</v>
      </c>
      <c r="AB4785" s="49">
        <f t="shared" si="523"/>
        <v>0</v>
      </c>
      <c r="AC4785" s="60">
        <f t="shared" si="524"/>
        <v>0</v>
      </c>
    </row>
    <row r="4786" spans="1:29">
      <c r="A4786" s="83" t="str">
        <f t="shared" si="519"/>
        <v/>
      </c>
      <c r="B4786" s="83" t="str">
        <f t="shared" si="525"/>
        <v/>
      </c>
      <c r="U4786" s="83" t="str">
        <f t="shared" si="520"/>
        <v/>
      </c>
      <c r="V4786" s="83" t="str">
        <f t="shared" si="521"/>
        <v/>
      </c>
      <c r="AA4786" s="60">
        <f t="shared" si="522"/>
        <v>0</v>
      </c>
      <c r="AB4786" s="49">
        <f t="shared" si="523"/>
        <v>0</v>
      </c>
      <c r="AC4786" s="60">
        <f t="shared" si="524"/>
        <v>0</v>
      </c>
    </row>
    <row r="4787" spans="1:29">
      <c r="A4787" s="83" t="str">
        <f t="shared" si="519"/>
        <v/>
      </c>
      <c r="B4787" s="83" t="str">
        <f t="shared" si="525"/>
        <v/>
      </c>
      <c r="U4787" s="83" t="str">
        <f t="shared" si="520"/>
        <v/>
      </c>
      <c r="V4787" s="83" t="str">
        <f t="shared" si="521"/>
        <v/>
      </c>
      <c r="AA4787" s="60">
        <f t="shared" si="522"/>
        <v>0</v>
      </c>
      <c r="AB4787" s="49">
        <f t="shared" si="523"/>
        <v>0</v>
      </c>
      <c r="AC4787" s="60">
        <f t="shared" si="524"/>
        <v>0</v>
      </c>
    </row>
    <row r="4788" spans="1:29">
      <c r="A4788" s="83" t="str">
        <f t="shared" si="519"/>
        <v/>
      </c>
      <c r="B4788" s="83" t="str">
        <f t="shared" si="525"/>
        <v/>
      </c>
      <c r="U4788" s="83" t="str">
        <f t="shared" si="520"/>
        <v/>
      </c>
      <c r="V4788" s="83" t="str">
        <f t="shared" si="521"/>
        <v/>
      </c>
      <c r="AA4788" s="60">
        <f t="shared" si="522"/>
        <v>0</v>
      </c>
      <c r="AB4788" s="49">
        <f t="shared" si="523"/>
        <v>0</v>
      </c>
      <c r="AC4788" s="60">
        <f t="shared" si="524"/>
        <v>0</v>
      </c>
    </row>
    <row r="4789" spans="1:29">
      <c r="A4789" s="83" t="str">
        <f t="shared" si="519"/>
        <v/>
      </c>
      <c r="B4789" s="83" t="str">
        <f t="shared" si="525"/>
        <v/>
      </c>
      <c r="U4789" s="83" t="str">
        <f t="shared" si="520"/>
        <v/>
      </c>
      <c r="V4789" s="83" t="str">
        <f t="shared" si="521"/>
        <v/>
      </c>
      <c r="AA4789" s="60">
        <f t="shared" si="522"/>
        <v>0</v>
      </c>
      <c r="AB4789" s="49">
        <f t="shared" si="523"/>
        <v>0</v>
      </c>
      <c r="AC4789" s="60">
        <f t="shared" si="524"/>
        <v>0</v>
      </c>
    </row>
    <row r="4790" spans="1:29">
      <c r="A4790" s="83" t="str">
        <f t="shared" si="519"/>
        <v/>
      </c>
      <c r="B4790" s="83" t="str">
        <f t="shared" si="525"/>
        <v/>
      </c>
      <c r="U4790" s="83" t="str">
        <f t="shared" si="520"/>
        <v/>
      </c>
      <c r="V4790" s="83" t="str">
        <f t="shared" si="521"/>
        <v/>
      </c>
      <c r="AA4790" s="60">
        <f t="shared" si="522"/>
        <v>0</v>
      </c>
      <c r="AB4790" s="49">
        <f t="shared" si="523"/>
        <v>0</v>
      </c>
      <c r="AC4790" s="60">
        <f t="shared" si="524"/>
        <v>0</v>
      </c>
    </row>
    <row r="4791" spans="1:29">
      <c r="A4791" s="83" t="str">
        <f t="shared" si="519"/>
        <v/>
      </c>
      <c r="B4791" s="83" t="str">
        <f t="shared" si="525"/>
        <v/>
      </c>
      <c r="U4791" s="83" t="str">
        <f t="shared" si="520"/>
        <v/>
      </c>
      <c r="V4791" s="83" t="str">
        <f t="shared" si="521"/>
        <v/>
      </c>
      <c r="AA4791" s="60">
        <f t="shared" si="522"/>
        <v>0</v>
      </c>
      <c r="AB4791" s="49">
        <f t="shared" si="523"/>
        <v>0</v>
      </c>
      <c r="AC4791" s="60">
        <f t="shared" si="524"/>
        <v>0</v>
      </c>
    </row>
    <row r="4792" spans="1:29">
      <c r="A4792" s="83" t="str">
        <f t="shared" si="519"/>
        <v/>
      </c>
      <c r="B4792" s="83" t="str">
        <f t="shared" si="525"/>
        <v/>
      </c>
      <c r="U4792" s="83" t="str">
        <f t="shared" si="520"/>
        <v/>
      </c>
      <c r="V4792" s="83" t="str">
        <f t="shared" si="521"/>
        <v/>
      </c>
      <c r="AA4792" s="60">
        <f t="shared" si="522"/>
        <v>0</v>
      </c>
      <c r="AB4792" s="49">
        <f t="shared" si="523"/>
        <v>0</v>
      </c>
      <c r="AC4792" s="60">
        <f t="shared" si="524"/>
        <v>0</v>
      </c>
    </row>
    <row r="4793" spans="1:29">
      <c r="A4793" s="83" t="str">
        <f t="shared" si="519"/>
        <v/>
      </c>
      <c r="B4793" s="83" t="str">
        <f t="shared" si="525"/>
        <v/>
      </c>
      <c r="U4793" s="83" t="str">
        <f t="shared" si="520"/>
        <v/>
      </c>
      <c r="V4793" s="83" t="str">
        <f t="shared" si="521"/>
        <v/>
      </c>
      <c r="AA4793" s="60">
        <f t="shared" si="522"/>
        <v>0</v>
      </c>
      <c r="AB4793" s="49">
        <f t="shared" si="523"/>
        <v>0</v>
      </c>
      <c r="AC4793" s="60">
        <f t="shared" si="524"/>
        <v>0</v>
      </c>
    </row>
    <row r="4794" spans="1:29">
      <c r="A4794" s="83" t="str">
        <f t="shared" si="519"/>
        <v/>
      </c>
      <c r="B4794" s="83" t="str">
        <f t="shared" si="525"/>
        <v/>
      </c>
      <c r="U4794" s="83" t="str">
        <f t="shared" si="520"/>
        <v/>
      </c>
      <c r="V4794" s="83" t="str">
        <f t="shared" si="521"/>
        <v/>
      </c>
      <c r="AA4794" s="60">
        <f t="shared" si="522"/>
        <v>0</v>
      </c>
      <c r="AB4794" s="49">
        <f t="shared" si="523"/>
        <v>0</v>
      </c>
      <c r="AC4794" s="60">
        <f t="shared" si="524"/>
        <v>0</v>
      </c>
    </row>
    <row r="4795" spans="1:29">
      <c r="A4795" s="83" t="str">
        <f t="shared" si="519"/>
        <v/>
      </c>
      <c r="B4795" s="83" t="str">
        <f t="shared" si="525"/>
        <v/>
      </c>
      <c r="U4795" s="83" t="str">
        <f t="shared" si="520"/>
        <v/>
      </c>
      <c r="V4795" s="83" t="str">
        <f t="shared" si="521"/>
        <v/>
      </c>
      <c r="AA4795" s="60">
        <f t="shared" si="522"/>
        <v>0</v>
      </c>
      <c r="AB4795" s="49">
        <f t="shared" si="523"/>
        <v>0</v>
      </c>
      <c r="AC4795" s="60">
        <f t="shared" si="524"/>
        <v>0</v>
      </c>
    </row>
    <row r="4796" spans="1:29">
      <c r="A4796" s="83" t="str">
        <f t="shared" si="519"/>
        <v/>
      </c>
      <c r="B4796" s="83" t="str">
        <f t="shared" si="525"/>
        <v/>
      </c>
      <c r="U4796" s="83" t="str">
        <f t="shared" si="520"/>
        <v/>
      </c>
      <c r="V4796" s="83" t="str">
        <f t="shared" si="521"/>
        <v/>
      </c>
      <c r="AA4796" s="60">
        <f t="shared" si="522"/>
        <v>0</v>
      </c>
      <c r="AB4796" s="49">
        <f t="shared" si="523"/>
        <v>0</v>
      </c>
      <c r="AC4796" s="60">
        <f t="shared" si="524"/>
        <v>0</v>
      </c>
    </row>
    <row r="4797" spans="1:29">
      <c r="A4797" s="83" t="str">
        <f t="shared" si="519"/>
        <v/>
      </c>
      <c r="B4797" s="83" t="str">
        <f t="shared" si="525"/>
        <v/>
      </c>
      <c r="U4797" s="83" t="str">
        <f t="shared" si="520"/>
        <v/>
      </c>
      <c r="V4797" s="83" t="str">
        <f t="shared" si="521"/>
        <v/>
      </c>
      <c r="AA4797" s="60">
        <f t="shared" si="522"/>
        <v>0</v>
      </c>
      <c r="AB4797" s="49">
        <f t="shared" si="523"/>
        <v>0</v>
      </c>
      <c r="AC4797" s="60">
        <f t="shared" si="524"/>
        <v>0</v>
      </c>
    </row>
    <row r="4798" spans="1:29">
      <c r="A4798" s="83" t="str">
        <f t="shared" si="519"/>
        <v/>
      </c>
      <c r="B4798" s="83" t="str">
        <f t="shared" si="525"/>
        <v/>
      </c>
      <c r="U4798" s="83" t="str">
        <f t="shared" si="520"/>
        <v/>
      </c>
      <c r="V4798" s="83" t="str">
        <f t="shared" si="521"/>
        <v/>
      </c>
      <c r="AA4798" s="60">
        <f t="shared" si="522"/>
        <v>0</v>
      </c>
      <c r="AB4798" s="49">
        <f t="shared" si="523"/>
        <v>0</v>
      </c>
      <c r="AC4798" s="60">
        <f t="shared" si="524"/>
        <v>0</v>
      </c>
    </row>
    <row r="4799" spans="1:29">
      <c r="A4799" s="83" t="str">
        <f t="shared" si="519"/>
        <v/>
      </c>
      <c r="B4799" s="83" t="str">
        <f t="shared" si="525"/>
        <v/>
      </c>
      <c r="U4799" s="83" t="str">
        <f t="shared" si="520"/>
        <v/>
      </c>
      <c r="V4799" s="83" t="str">
        <f t="shared" si="521"/>
        <v/>
      </c>
      <c r="AA4799" s="60">
        <f t="shared" si="522"/>
        <v>0</v>
      </c>
      <c r="AB4799" s="49">
        <f t="shared" si="523"/>
        <v>0</v>
      </c>
      <c r="AC4799" s="60">
        <f t="shared" si="524"/>
        <v>0</v>
      </c>
    </row>
    <row r="4800" spans="1:29">
      <c r="A4800" s="83" t="str">
        <f t="shared" si="519"/>
        <v/>
      </c>
      <c r="B4800" s="83" t="str">
        <f t="shared" si="525"/>
        <v/>
      </c>
      <c r="U4800" s="83" t="str">
        <f t="shared" si="520"/>
        <v/>
      </c>
      <c r="V4800" s="83" t="str">
        <f t="shared" si="521"/>
        <v/>
      </c>
      <c r="AA4800" s="60">
        <f t="shared" si="522"/>
        <v>0</v>
      </c>
      <c r="AB4800" s="49">
        <f t="shared" si="523"/>
        <v>0</v>
      </c>
      <c r="AC4800" s="60">
        <f t="shared" si="524"/>
        <v>0</v>
      </c>
    </row>
    <row r="4801" spans="1:29">
      <c r="A4801" s="83" t="str">
        <f t="shared" si="519"/>
        <v/>
      </c>
      <c r="B4801" s="83" t="str">
        <f t="shared" si="525"/>
        <v/>
      </c>
      <c r="U4801" s="83" t="str">
        <f t="shared" si="520"/>
        <v/>
      </c>
      <c r="V4801" s="83" t="str">
        <f t="shared" si="521"/>
        <v/>
      </c>
      <c r="AA4801" s="60">
        <f t="shared" si="522"/>
        <v>0</v>
      </c>
      <c r="AB4801" s="49">
        <f t="shared" si="523"/>
        <v>0</v>
      </c>
      <c r="AC4801" s="60">
        <f t="shared" si="524"/>
        <v>0</v>
      </c>
    </row>
    <row r="4802" spans="1:29">
      <c r="A4802" s="83" t="str">
        <f t="shared" si="519"/>
        <v/>
      </c>
      <c r="B4802" s="83" t="str">
        <f t="shared" si="525"/>
        <v/>
      </c>
      <c r="U4802" s="83" t="str">
        <f t="shared" si="520"/>
        <v/>
      </c>
      <c r="V4802" s="83" t="str">
        <f t="shared" si="521"/>
        <v/>
      </c>
      <c r="AA4802" s="60">
        <f t="shared" si="522"/>
        <v>0</v>
      </c>
      <c r="AB4802" s="49">
        <f t="shared" si="523"/>
        <v>0</v>
      </c>
      <c r="AC4802" s="60">
        <f t="shared" si="524"/>
        <v>0</v>
      </c>
    </row>
    <row r="4803" spans="1:29">
      <c r="A4803" s="83" t="str">
        <f t="shared" ref="A4803:A4866" si="526">IF(G4803&amp;Q4803&lt;&gt;"",U4803&amp;Q4803,"")</f>
        <v/>
      </c>
      <c r="B4803" s="83" t="str">
        <f t="shared" si="525"/>
        <v/>
      </c>
      <c r="U4803" s="83" t="str">
        <f t="shared" ref="U4803:U4866" si="527">IF(G4803&lt;&gt;"",IF(StyleSpaceSplit,IFERROR(IF(FIND(" ",G4803)&gt;=1,MID(G4803,1,FIND(" ",G4803)-1),G4803),G4803),G4803),"")</f>
        <v/>
      </c>
      <c r="V4803" s="83" t="str">
        <f t="shared" ref="V4803:V4866" si="528">IF(A4803&lt;&gt;"",IFERROR(IF(FIND(" ",G4803)&gt;=1,MID(G4803,FIND(" ",G4803)+1,LEN(G4803)),""),G4803),"")</f>
        <v/>
      </c>
      <c r="AA4803" s="60">
        <f t="shared" ref="AA4803:AA4866" si="529">IFERROR(VALUE(MID($C4803,1,2)),0)</f>
        <v>0</v>
      </c>
      <c r="AB4803" s="49">
        <f t="shared" ref="AB4803:AB4866" si="530">IFERROR(VALUE(MID($C4803,4,3)),0)</f>
        <v>0</v>
      </c>
      <c r="AC4803" s="60">
        <f t="shared" ref="AC4803:AC4866" si="531">VALUE(RIGHT("00"&amp;AA4803,2)&amp;RIGHT("000"&amp;AB4803,3))</f>
        <v>0</v>
      </c>
    </row>
    <row r="4804" spans="1:29">
      <c r="A4804" s="83" t="str">
        <f t="shared" si="526"/>
        <v/>
      </c>
      <c r="B4804" s="83" t="str">
        <f t="shared" si="525"/>
        <v/>
      </c>
      <c r="U4804" s="83" t="str">
        <f t="shared" si="527"/>
        <v/>
      </c>
      <c r="V4804" s="83" t="str">
        <f t="shared" si="528"/>
        <v/>
      </c>
      <c r="AA4804" s="60">
        <f t="shared" si="529"/>
        <v>0</v>
      </c>
      <c r="AB4804" s="49">
        <f t="shared" si="530"/>
        <v>0</v>
      </c>
      <c r="AC4804" s="60">
        <f t="shared" si="531"/>
        <v>0</v>
      </c>
    </row>
    <row r="4805" spans="1:29">
      <c r="A4805" s="83" t="str">
        <f t="shared" si="526"/>
        <v/>
      </c>
      <c r="B4805" s="83" t="str">
        <f t="shared" si="525"/>
        <v/>
      </c>
      <c r="U4805" s="83" t="str">
        <f t="shared" si="527"/>
        <v/>
      </c>
      <c r="V4805" s="83" t="str">
        <f t="shared" si="528"/>
        <v/>
      </c>
      <c r="AA4805" s="60">
        <f t="shared" si="529"/>
        <v>0</v>
      </c>
      <c r="AB4805" s="49">
        <f t="shared" si="530"/>
        <v>0</v>
      </c>
      <c r="AC4805" s="60">
        <f t="shared" si="531"/>
        <v>0</v>
      </c>
    </row>
    <row r="4806" spans="1:29">
      <c r="A4806" s="83" t="str">
        <f t="shared" si="526"/>
        <v/>
      </c>
      <c r="B4806" s="83" t="str">
        <f t="shared" si="525"/>
        <v/>
      </c>
      <c r="U4806" s="83" t="str">
        <f t="shared" si="527"/>
        <v/>
      </c>
      <c r="V4806" s="83" t="str">
        <f t="shared" si="528"/>
        <v/>
      </c>
      <c r="AA4806" s="60">
        <f t="shared" si="529"/>
        <v>0</v>
      </c>
      <c r="AB4806" s="49">
        <f t="shared" si="530"/>
        <v>0</v>
      </c>
      <c r="AC4806" s="60">
        <f t="shared" si="531"/>
        <v>0</v>
      </c>
    </row>
    <row r="4807" spans="1:29">
      <c r="A4807" s="83" t="str">
        <f t="shared" si="526"/>
        <v/>
      </c>
      <c r="B4807" s="83" t="str">
        <f t="shared" si="525"/>
        <v/>
      </c>
      <c r="U4807" s="83" t="str">
        <f t="shared" si="527"/>
        <v/>
      </c>
      <c r="V4807" s="83" t="str">
        <f t="shared" si="528"/>
        <v/>
      </c>
      <c r="AA4807" s="60">
        <f t="shared" si="529"/>
        <v>0</v>
      </c>
      <c r="AB4807" s="49">
        <f t="shared" si="530"/>
        <v>0</v>
      </c>
      <c r="AC4807" s="60">
        <f t="shared" si="531"/>
        <v>0</v>
      </c>
    </row>
    <row r="4808" spans="1:29">
      <c r="A4808" s="83" t="str">
        <f t="shared" si="526"/>
        <v/>
      </c>
      <c r="B4808" s="83" t="str">
        <f t="shared" si="525"/>
        <v/>
      </c>
      <c r="U4808" s="83" t="str">
        <f t="shared" si="527"/>
        <v/>
      </c>
      <c r="V4808" s="83" t="str">
        <f t="shared" si="528"/>
        <v/>
      </c>
      <c r="AA4808" s="60">
        <f t="shared" si="529"/>
        <v>0</v>
      </c>
      <c r="AB4808" s="49">
        <f t="shared" si="530"/>
        <v>0</v>
      </c>
      <c r="AC4808" s="60">
        <f t="shared" si="531"/>
        <v>0</v>
      </c>
    </row>
    <row r="4809" spans="1:29">
      <c r="A4809" s="83" t="str">
        <f t="shared" si="526"/>
        <v/>
      </c>
      <c r="B4809" s="83" t="str">
        <f t="shared" si="525"/>
        <v/>
      </c>
      <c r="U4809" s="83" t="str">
        <f t="shared" si="527"/>
        <v/>
      </c>
      <c r="V4809" s="83" t="str">
        <f t="shared" si="528"/>
        <v/>
      </c>
      <c r="AA4809" s="60">
        <f t="shared" si="529"/>
        <v>0</v>
      </c>
      <c r="AB4809" s="49">
        <f t="shared" si="530"/>
        <v>0</v>
      </c>
      <c r="AC4809" s="60">
        <f t="shared" si="531"/>
        <v>0</v>
      </c>
    </row>
    <row r="4810" spans="1:29">
      <c r="A4810" s="83" t="str">
        <f t="shared" si="526"/>
        <v/>
      </c>
      <c r="B4810" s="83" t="str">
        <f t="shared" si="525"/>
        <v/>
      </c>
      <c r="U4810" s="83" t="str">
        <f t="shared" si="527"/>
        <v/>
      </c>
      <c r="V4810" s="83" t="str">
        <f t="shared" si="528"/>
        <v/>
      </c>
      <c r="AA4810" s="60">
        <f t="shared" si="529"/>
        <v>0</v>
      </c>
      <c r="AB4810" s="49">
        <f t="shared" si="530"/>
        <v>0</v>
      </c>
      <c r="AC4810" s="60">
        <f t="shared" si="531"/>
        <v>0</v>
      </c>
    </row>
    <row r="4811" spans="1:29">
      <c r="A4811" s="83" t="str">
        <f t="shared" si="526"/>
        <v/>
      </c>
      <c r="B4811" s="83" t="str">
        <f t="shared" si="525"/>
        <v/>
      </c>
      <c r="U4811" s="83" t="str">
        <f t="shared" si="527"/>
        <v/>
      </c>
      <c r="V4811" s="83" t="str">
        <f t="shared" si="528"/>
        <v/>
      </c>
      <c r="AA4811" s="60">
        <f t="shared" si="529"/>
        <v>0</v>
      </c>
      <c r="AB4811" s="49">
        <f t="shared" si="530"/>
        <v>0</v>
      </c>
      <c r="AC4811" s="60">
        <f t="shared" si="531"/>
        <v>0</v>
      </c>
    </row>
    <row r="4812" spans="1:29">
      <c r="A4812" s="83" t="str">
        <f t="shared" si="526"/>
        <v/>
      </c>
      <c r="B4812" s="83" t="str">
        <f t="shared" si="525"/>
        <v/>
      </c>
      <c r="U4812" s="83" t="str">
        <f t="shared" si="527"/>
        <v/>
      </c>
      <c r="V4812" s="83" t="str">
        <f t="shared" si="528"/>
        <v/>
      </c>
      <c r="AA4812" s="60">
        <f t="shared" si="529"/>
        <v>0</v>
      </c>
      <c r="AB4812" s="49">
        <f t="shared" si="530"/>
        <v>0</v>
      </c>
      <c r="AC4812" s="60">
        <f t="shared" si="531"/>
        <v>0</v>
      </c>
    </row>
    <row r="4813" spans="1:29">
      <c r="A4813" s="83" t="str">
        <f t="shared" si="526"/>
        <v/>
      </c>
      <c r="B4813" s="83" t="str">
        <f t="shared" si="525"/>
        <v/>
      </c>
      <c r="U4813" s="83" t="str">
        <f t="shared" si="527"/>
        <v/>
      </c>
      <c r="V4813" s="83" t="str">
        <f t="shared" si="528"/>
        <v/>
      </c>
      <c r="AA4813" s="60">
        <f t="shared" si="529"/>
        <v>0</v>
      </c>
      <c r="AB4813" s="49">
        <f t="shared" si="530"/>
        <v>0</v>
      </c>
      <c r="AC4813" s="60">
        <f t="shared" si="531"/>
        <v>0</v>
      </c>
    </row>
    <row r="4814" spans="1:29">
      <c r="A4814" s="83" t="str">
        <f t="shared" si="526"/>
        <v/>
      </c>
      <c r="B4814" s="83" t="str">
        <f t="shared" si="525"/>
        <v/>
      </c>
      <c r="U4814" s="83" t="str">
        <f t="shared" si="527"/>
        <v/>
      </c>
      <c r="V4814" s="83" t="str">
        <f t="shared" si="528"/>
        <v/>
      </c>
      <c r="AA4814" s="60">
        <f t="shared" si="529"/>
        <v>0</v>
      </c>
      <c r="AB4814" s="49">
        <f t="shared" si="530"/>
        <v>0</v>
      </c>
      <c r="AC4814" s="60">
        <f t="shared" si="531"/>
        <v>0</v>
      </c>
    </row>
    <row r="4815" spans="1:29">
      <c r="A4815" s="83" t="str">
        <f t="shared" si="526"/>
        <v/>
      </c>
      <c r="B4815" s="83" t="str">
        <f t="shared" si="525"/>
        <v/>
      </c>
      <c r="U4815" s="83" t="str">
        <f t="shared" si="527"/>
        <v/>
      </c>
      <c r="V4815" s="83" t="str">
        <f t="shared" si="528"/>
        <v/>
      </c>
      <c r="AA4815" s="60">
        <f t="shared" si="529"/>
        <v>0</v>
      </c>
      <c r="AB4815" s="49">
        <f t="shared" si="530"/>
        <v>0</v>
      </c>
      <c r="AC4815" s="60">
        <f t="shared" si="531"/>
        <v>0</v>
      </c>
    </row>
    <row r="4816" spans="1:29">
      <c r="A4816" s="83" t="str">
        <f t="shared" si="526"/>
        <v/>
      </c>
      <c r="B4816" s="83" t="str">
        <f t="shared" si="525"/>
        <v/>
      </c>
      <c r="U4816" s="83" t="str">
        <f t="shared" si="527"/>
        <v/>
      </c>
      <c r="V4816" s="83" t="str">
        <f t="shared" si="528"/>
        <v/>
      </c>
      <c r="AA4816" s="60">
        <f t="shared" si="529"/>
        <v>0</v>
      </c>
      <c r="AB4816" s="49">
        <f t="shared" si="530"/>
        <v>0</v>
      </c>
      <c r="AC4816" s="60">
        <f t="shared" si="531"/>
        <v>0</v>
      </c>
    </row>
    <row r="4817" spans="1:29">
      <c r="A4817" s="83" t="str">
        <f t="shared" si="526"/>
        <v/>
      </c>
      <c r="B4817" s="83" t="str">
        <f t="shared" si="525"/>
        <v/>
      </c>
      <c r="U4817" s="83" t="str">
        <f t="shared" si="527"/>
        <v/>
      </c>
      <c r="V4817" s="83" t="str">
        <f t="shared" si="528"/>
        <v/>
      </c>
      <c r="AA4817" s="60">
        <f t="shared" si="529"/>
        <v>0</v>
      </c>
      <c r="AB4817" s="49">
        <f t="shared" si="530"/>
        <v>0</v>
      </c>
      <c r="AC4817" s="60">
        <f t="shared" si="531"/>
        <v>0</v>
      </c>
    </row>
    <row r="4818" spans="1:29">
      <c r="A4818" s="83" t="str">
        <f t="shared" si="526"/>
        <v/>
      </c>
      <c r="B4818" s="83" t="str">
        <f t="shared" si="525"/>
        <v/>
      </c>
      <c r="U4818" s="83" t="str">
        <f t="shared" si="527"/>
        <v/>
      </c>
      <c r="V4818" s="83" t="str">
        <f t="shared" si="528"/>
        <v/>
      </c>
      <c r="AA4818" s="60">
        <f t="shared" si="529"/>
        <v>0</v>
      </c>
      <c r="AB4818" s="49">
        <f t="shared" si="530"/>
        <v>0</v>
      </c>
      <c r="AC4818" s="60">
        <f t="shared" si="531"/>
        <v>0</v>
      </c>
    </row>
    <row r="4819" spans="1:29">
      <c r="A4819" s="83" t="str">
        <f t="shared" si="526"/>
        <v/>
      </c>
      <c r="B4819" s="83" t="str">
        <f t="shared" si="525"/>
        <v/>
      </c>
      <c r="U4819" s="83" t="str">
        <f t="shared" si="527"/>
        <v/>
      </c>
      <c r="V4819" s="83" t="str">
        <f t="shared" si="528"/>
        <v/>
      </c>
      <c r="AA4819" s="60">
        <f t="shared" si="529"/>
        <v>0</v>
      </c>
      <c r="AB4819" s="49">
        <f t="shared" si="530"/>
        <v>0</v>
      </c>
      <c r="AC4819" s="60">
        <f t="shared" si="531"/>
        <v>0</v>
      </c>
    </row>
    <row r="4820" spans="1:29">
      <c r="A4820" s="83" t="str">
        <f t="shared" si="526"/>
        <v/>
      </c>
      <c r="B4820" s="83" t="str">
        <f t="shared" si="525"/>
        <v/>
      </c>
      <c r="U4820" s="83" t="str">
        <f t="shared" si="527"/>
        <v/>
      </c>
      <c r="V4820" s="83" t="str">
        <f t="shared" si="528"/>
        <v/>
      </c>
      <c r="AA4820" s="60">
        <f t="shared" si="529"/>
        <v>0</v>
      </c>
      <c r="AB4820" s="49">
        <f t="shared" si="530"/>
        <v>0</v>
      </c>
      <c r="AC4820" s="60">
        <f t="shared" si="531"/>
        <v>0</v>
      </c>
    </row>
    <row r="4821" spans="1:29">
      <c r="A4821" s="83" t="str">
        <f t="shared" si="526"/>
        <v/>
      </c>
      <c r="B4821" s="83" t="str">
        <f t="shared" si="525"/>
        <v/>
      </c>
      <c r="U4821" s="83" t="str">
        <f t="shared" si="527"/>
        <v/>
      </c>
      <c r="V4821" s="83" t="str">
        <f t="shared" si="528"/>
        <v/>
      </c>
      <c r="AA4821" s="60">
        <f t="shared" si="529"/>
        <v>0</v>
      </c>
      <c r="AB4821" s="49">
        <f t="shared" si="530"/>
        <v>0</v>
      </c>
      <c r="AC4821" s="60">
        <f t="shared" si="531"/>
        <v>0</v>
      </c>
    </row>
    <row r="4822" spans="1:29">
      <c r="A4822" s="83" t="str">
        <f t="shared" si="526"/>
        <v/>
      </c>
      <c r="B4822" s="83" t="str">
        <f t="shared" si="525"/>
        <v/>
      </c>
      <c r="U4822" s="83" t="str">
        <f t="shared" si="527"/>
        <v/>
      </c>
      <c r="V4822" s="83" t="str">
        <f t="shared" si="528"/>
        <v/>
      </c>
      <c r="AA4822" s="60">
        <f t="shared" si="529"/>
        <v>0</v>
      </c>
      <c r="AB4822" s="49">
        <f t="shared" si="530"/>
        <v>0</v>
      </c>
      <c r="AC4822" s="60">
        <f t="shared" si="531"/>
        <v>0</v>
      </c>
    </row>
    <row r="4823" spans="1:29">
      <c r="A4823" s="83" t="str">
        <f t="shared" si="526"/>
        <v/>
      </c>
      <c r="B4823" s="83" t="str">
        <f t="shared" si="525"/>
        <v/>
      </c>
      <c r="U4823" s="83" t="str">
        <f t="shared" si="527"/>
        <v/>
      </c>
      <c r="V4823" s="83" t="str">
        <f t="shared" si="528"/>
        <v/>
      </c>
      <c r="AA4823" s="60">
        <f t="shared" si="529"/>
        <v>0</v>
      </c>
      <c r="AB4823" s="49">
        <f t="shared" si="530"/>
        <v>0</v>
      </c>
      <c r="AC4823" s="60">
        <f t="shared" si="531"/>
        <v>0</v>
      </c>
    </row>
    <row r="4824" spans="1:29">
      <c r="A4824" s="83" t="str">
        <f t="shared" si="526"/>
        <v/>
      </c>
      <c r="B4824" s="83" t="str">
        <f t="shared" si="525"/>
        <v/>
      </c>
      <c r="U4824" s="83" t="str">
        <f t="shared" si="527"/>
        <v/>
      </c>
      <c r="V4824" s="83" t="str">
        <f t="shared" si="528"/>
        <v/>
      </c>
      <c r="AA4824" s="60">
        <f t="shared" si="529"/>
        <v>0</v>
      </c>
      <c r="AB4824" s="49">
        <f t="shared" si="530"/>
        <v>0</v>
      </c>
      <c r="AC4824" s="60">
        <f t="shared" si="531"/>
        <v>0</v>
      </c>
    </row>
    <row r="4825" spans="1:29">
      <c r="A4825" s="83" t="str">
        <f t="shared" si="526"/>
        <v/>
      </c>
      <c r="B4825" s="83" t="str">
        <f t="shared" si="525"/>
        <v/>
      </c>
      <c r="U4825" s="83" t="str">
        <f t="shared" si="527"/>
        <v/>
      </c>
      <c r="V4825" s="83" t="str">
        <f t="shared" si="528"/>
        <v/>
      </c>
      <c r="AA4825" s="60">
        <f t="shared" si="529"/>
        <v>0</v>
      </c>
      <c r="AB4825" s="49">
        <f t="shared" si="530"/>
        <v>0</v>
      </c>
      <c r="AC4825" s="60">
        <f t="shared" si="531"/>
        <v>0</v>
      </c>
    </row>
    <row r="4826" spans="1:29">
      <c r="A4826" s="83" t="str">
        <f t="shared" si="526"/>
        <v/>
      </c>
      <c r="B4826" s="83" t="str">
        <f t="shared" si="525"/>
        <v/>
      </c>
      <c r="U4826" s="83" t="str">
        <f t="shared" si="527"/>
        <v/>
      </c>
      <c r="V4826" s="83" t="str">
        <f t="shared" si="528"/>
        <v/>
      </c>
      <c r="AA4826" s="60">
        <f t="shared" si="529"/>
        <v>0</v>
      </c>
      <c r="AB4826" s="49">
        <f t="shared" si="530"/>
        <v>0</v>
      </c>
      <c r="AC4826" s="60">
        <f t="shared" si="531"/>
        <v>0</v>
      </c>
    </row>
    <row r="4827" spans="1:29">
      <c r="A4827" s="83" t="str">
        <f t="shared" si="526"/>
        <v/>
      </c>
      <c r="B4827" s="83" t="str">
        <f t="shared" si="525"/>
        <v/>
      </c>
      <c r="U4827" s="83" t="str">
        <f t="shared" si="527"/>
        <v/>
      </c>
      <c r="V4827" s="83" t="str">
        <f t="shared" si="528"/>
        <v/>
      </c>
      <c r="AA4827" s="60">
        <f t="shared" si="529"/>
        <v>0</v>
      </c>
      <c r="AB4827" s="49">
        <f t="shared" si="530"/>
        <v>0</v>
      </c>
      <c r="AC4827" s="60">
        <f t="shared" si="531"/>
        <v>0</v>
      </c>
    </row>
    <row r="4828" spans="1:29">
      <c r="A4828" s="83" t="str">
        <f t="shared" si="526"/>
        <v/>
      </c>
      <c r="B4828" s="83" t="str">
        <f t="shared" si="525"/>
        <v/>
      </c>
      <c r="U4828" s="83" t="str">
        <f t="shared" si="527"/>
        <v/>
      </c>
      <c r="V4828" s="83" t="str">
        <f t="shared" si="528"/>
        <v/>
      </c>
      <c r="AA4828" s="60">
        <f t="shared" si="529"/>
        <v>0</v>
      </c>
      <c r="AB4828" s="49">
        <f t="shared" si="530"/>
        <v>0</v>
      </c>
      <c r="AC4828" s="60">
        <f t="shared" si="531"/>
        <v>0</v>
      </c>
    </row>
    <row r="4829" spans="1:29">
      <c r="A4829" s="83" t="str">
        <f t="shared" si="526"/>
        <v/>
      </c>
      <c r="B4829" s="83" t="str">
        <f t="shared" si="525"/>
        <v/>
      </c>
      <c r="U4829" s="83" t="str">
        <f t="shared" si="527"/>
        <v/>
      </c>
      <c r="V4829" s="83" t="str">
        <f t="shared" si="528"/>
        <v/>
      </c>
      <c r="AA4829" s="60">
        <f t="shared" si="529"/>
        <v>0</v>
      </c>
      <c r="AB4829" s="49">
        <f t="shared" si="530"/>
        <v>0</v>
      </c>
      <c r="AC4829" s="60">
        <f t="shared" si="531"/>
        <v>0</v>
      </c>
    </row>
    <row r="4830" spans="1:29">
      <c r="A4830" s="83" t="str">
        <f t="shared" si="526"/>
        <v/>
      </c>
      <c r="B4830" s="83" t="str">
        <f t="shared" si="525"/>
        <v/>
      </c>
      <c r="U4830" s="83" t="str">
        <f t="shared" si="527"/>
        <v/>
      </c>
      <c r="V4830" s="83" t="str">
        <f t="shared" si="528"/>
        <v/>
      </c>
      <c r="AA4830" s="60">
        <f t="shared" si="529"/>
        <v>0</v>
      </c>
      <c r="AB4830" s="49">
        <f t="shared" si="530"/>
        <v>0</v>
      </c>
      <c r="AC4830" s="60">
        <f t="shared" si="531"/>
        <v>0</v>
      </c>
    </row>
    <row r="4831" spans="1:29">
      <c r="A4831" s="83" t="str">
        <f t="shared" si="526"/>
        <v/>
      </c>
      <c r="B4831" s="83" t="str">
        <f t="shared" si="525"/>
        <v/>
      </c>
      <c r="U4831" s="83" t="str">
        <f t="shared" si="527"/>
        <v/>
      </c>
      <c r="V4831" s="83" t="str">
        <f t="shared" si="528"/>
        <v/>
      </c>
      <c r="AA4831" s="60">
        <f t="shared" si="529"/>
        <v>0</v>
      </c>
      <c r="AB4831" s="49">
        <f t="shared" si="530"/>
        <v>0</v>
      </c>
      <c r="AC4831" s="60">
        <f t="shared" si="531"/>
        <v>0</v>
      </c>
    </row>
    <row r="4832" spans="1:29">
      <c r="A4832" s="83" t="str">
        <f t="shared" si="526"/>
        <v/>
      </c>
      <c r="B4832" s="83" t="str">
        <f t="shared" si="525"/>
        <v/>
      </c>
      <c r="U4832" s="83" t="str">
        <f t="shared" si="527"/>
        <v/>
      </c>
      <c r="V4832" s="83" t="str">
        <f t="shared" si="528"/>
        <v/>
      </c>
      <c r="AA4832" s="60">
        <f t="shared" si="529"/>
        <v>0</v>
      </c>
      <c r="AB4832" s="49">
        <f t="shared" si="530"/>
        <v>0</v>
      </c>
      <c r="AC4832" s="60">
        <f t="shared" si="531"/>
        <v>0</v>
      </c>
    </row>
    <row r="4833" spans="1:29">
      <c r="A4833" s="83" t="str">
        <f t="shared" si="526"/>
        <v/>
      </c>
      <c r="B4833" s="83" t="str">
        <f t="shared" ref="B4833:B4896" si="532">IF(C4833&lt;&gt;"",LEFT(C4833,9),"")</f>
        <v/>
      </c>
      <c r="U4833" s="83" t="str">
        <f t="shared" si="527"/>
        <v/>
      </c>
      <c r="V4833" s="83" t="str">
        <f t="shared" si="528"/>
        <v/>
      </c>
      <c r="AA4833" s="60">
        <f t="shared" si="529"/>
        <v>0</v>
      </c>
      <c r="AB4833" s="49">
        <f t="shared" si="530"/>
        <v>0</v>
      </c>
      <c r="AC4833" s="60">
        <f t="shared" si="531"/>
        <v>0</v>
      </c>
    </row>
    <row r="4834" spans="1:29">
      <c r="A4834" s="83" t="str">
        <f t="shared" si="526"/>
        <v/>
      </c>
      <c r="B4834" s="83" t="str">
        <f t="shared" si="532"/>
        <v/>
      </c>
      <c r="U4834" s="83" t="str">
        <f t="shared" si="527"/>
        <v/>
      </c>
      <c r="V4834" s="83" t="str">
        <f t="shared" si="528"/>
        <v/>
      </c>
      <c r="AA4834" s="60">
        <f t="shared" si="529"/>
        <v>0</v>
      </c>
      <c r="AB4834" s="49">
        <f t="shared" si="530"/>
        <v>0</v>
      </c>
      <c r="AC4834" s="60">
        <f t="shared" si="531"/>
        <v>0</v>
      </c>
    </row>
    <row r="4835" spans="1:29">
      <c r="A4835" s="83" t="str">
        <f t="shared" si="526"/>
        <v/>
      </c>
      <c r="B4835" s="83" t="str">
        <f t="shared" si="532"/>
        <v/>
      </c>
      <c r="U4835" s="83" t="str">
        <f t="shared" si="527"/>
        <v/>
      </c>
      <c r="V4835" s="83" t="str">
        <f t="shared" si="528"/>
        <v/>
      </c>
      <c r="AA4835" s="60">
        <f t="shared" si="529"/>
        <v>0</v>
      </c>
      <c r="AB4835" s="49">
        <f t="shared" si="530"/>
        <v>0</v>
      </c>
      <c r="AC4835" s="60">
        <f t="shared" si="531"/>
        <v>0</v>
      </c>
    </row>
    <row r="4836" spans="1:29">
      <c r="A4836" s="83" t="str">
        <f t="shared" si="526"/>
        <v/>
      </c>
      <c r="B4836" s="83" t="str">
        <f t="shared" si="532"/>
        <v/>
      </c>
      <c r="U4836" s="83" t="str">
        <f t="shared" si="527"/>
        <v/>
      </c>
      <c r="V4836" s="83" t="str">
        <f t="shared" si="528"/>
        <v/>
      </c>
      <c r="AA4836" s="60">
        <f t="shared" si="529"/>
        <v>0</v>
      </c>
      <c r="AB4836" s="49">
        <f t="shared" si="530"/>
        <v>0</v>
      </c>
      <c r="AC4836" s="60">
        <f t="shared" si="531"/>
        <v>0</v>
      </c>
    </row>
    <row r="4837" spans="1:29">
      <c r="A4837" s="83" t="str">
        <f t="shared" si="526"/>
        <v/>
      </c>
      <c r="B4837" s="83" t="str">
        <f t="shared" si="532"/>
        <v/>
      </c>
      <c r="U4837" s="83" t="str">
        <f t="shared" si="527"/>
        <v/>
      </c>
      <c r="V4837" s="83" t="str">
        <f t="shared" si="528"/>
        <v/>
      </c>
      <c r="AA4837" s="60">
        <f t="shared" si="529"/>
        <v>0</v>
      </c>
      <c r="AB4837" s="49">
        <f t="shared" si="530"/>
        <v>0</v>
      </c>
      <c r="AC4837" s="60">
        <f t="shared" si="531"/>
        <v>0</v>
      </c>
    </row>
    <row r="4838" spans="1:29">
      <c r="A4838" s="83" t="str">
        <f t="shared" si="526"/>
        <v/>
      </c>
      <c r="B4838" s="83" t="str">
        <f t="shared" si="532"/>
        <v/>
      </c>
      <c r="U4838" s="83" t="str">
        <f t="shared" si="527"/>
        <v/>
      </c>
      <c r="V4838" s="83" t="str">
        <f t="shared" si="528"/>
        <v/>
      </c>
      <c r="AA4838" s="60">
        <f t="shared" si="529"/>
        <v>0</v>
      </c>
      <c r="AB4838" s="49">
        <f t="shared" si="530"/>
        <v>0</v>
      </c>
      <c r="AC4838" s="60">
        <f t="shared" si="531"/>
        <v>0</v>
      </c>
    </row>
    <row r="4839" spans="1:29">
      <c r="A4839" s="83" t="str">
        <f t="shared" si="526"/>
        <v/>
      </c>
      <c r="B4839" s="83" t="str">
        <f t="shared" si="532"/>
        <v/>
      </c>
      <c r="U4839" s="83" t="str">
        <f t="shared" si="527"/>
        <v/>
      </c>
      <c r="V4839" s="83" t="str">
        <f t="shared" si="528"/>
        <v/>
      </c>
      <c r="AA4839" s="60">
        <f t="shared" si="529"/>
        <v>0</v>
      </c>
      <c r="AB4839" s="49">
        <f t="shared" si="530"/>
        <v>0</v>
      </c>
      <c r="AC4839" s="60">
        <f t="shared" si="531"/>
        <v>0</v>
      </c>
    </row>
    <row r="4840" spans="1:29">
      <c r="A4840" s="83" t="str">
        <f t="shared" si="526"/>
        <v/>
      </c>
      <c r="B4840" s="83" t="str">
        <f t="shared" si="532"/>
        <v/>
      </c>
      <c r="U4840" s="83" t="str">
        <f t="shared" si="527"/>
        <v/>
      </c>
      <c r="V4840" s="83" t="str">
        <f t="shared" si="528"/>
        <v/>
      </c>
      <c r="AA4840" s="60">
        <f t="shared" si="529"/>
        <v>0</v>
      </c>
      <c r="AB4840" s="49">
        <f t="shared" si="530"/>
        <v>0</v>
      </c>
      <c r="AC4840" s="60">
        <f t="shared" si="531"/>
        <v>0</v>
      </c>
    </row>
    <row r="4841" spans="1:29">
      <c r="A4841" s="83" t="str">
        <f t="shared" si="526"/>
        <v/>
      </c>
      <c r="B4841" s="83" t="str">
        <f t="shared" si="532"/>
        <v/>
      </c>
      <c r="U4841" s="83" t="str">
        <f t="shared" si="527"/>
        <v/>
      </c>
      <c r="V4841" s="83" t="str">
        <f t="shared" si="528"/>
        <v/>
      </c>
      <c r="AA4841" s="60">
        <f t="shared" si="529"/>
        <v>0</v>
      </c>
      <c r="AB4841" s="49">
        <f t="shared" si="530"/>
        <v>0</v>
      </c>
      <c r="AC4841" s="60">
        <f t="shared" si="531"/>
        <v>0</v>
      </c>
    </row>
    <row r="4842" spans="1:29">
      <c r="A4842" s="83" t="str">
        <f t="shared" si="526"/>
        <v/>
      </c>
      <c r="B4842" s="83" t="str">
        <f t="shared" si="532"/>
        <v/>
      </c>
      <c r="U4842" s="83" t="str">
        <f t="shared" si="527"/>
        <v/>
      </c>
      <c r="V4842" s="83" t="str">
        <f t="shared" si="528"/>
        <v/>
      </c>
      <c r="AA4842" s="60">
        <f t="shared" si="529"/>
        <v>0</v>
      </c>
      <c r="AB4842" s="49">
        <f t="shared" si="530"/>
        <v>0</v>
      </c>
      <c r="AC4842" s="60">
        <f t="shared" si="531"/>
        <v>0</v>
      </c>
    </row>
    <row r="4843" spans="1:29">
      <c r="A4843" s="83" t="str">
        <f t="shared" si="526"/>
        <v/>
      </c>
      <c r="B4843" s="83" t="str">
        <f t="shared" si="532"/>
        <v/>
      </c>
      <c r="U4843" s="83" t="str">
        <f t="shared" si="527"/>
        <v/>
      </c>
      <c r="V4843" s="83" t="str">
        <f t="shared" si="528"/>
        <v/>
      </c>
      <c r="AA4843" s="60">
        <f t="shared" si="529"/>
        <v>0</v>
      </c>
      <c r="AB4843" s="49">
        <f t="shared" si="530"/>
        <v>0</v>
      </c>
      <c r="AC4843" s="60">
        <f t="shared" si="531"/>
        <v>0</v>
      </c>
    </row>
    <row r="4844" spans="1:29">
      <c r="A4844" s="83" t="str">
        <f t="shared" si="526"/>
        <v/>
      </c>
      <c r="B4844" s="83" t="str">
        <f t="shared" si="532"/>
        <v/>
      </c>
      <c r="U4844" s="83" t="str">
        <f t="shared" si="527"/>
        <v/>
      </c>
      <c r="V4844" s="83" t="str">
        <f t="shared" si="528"/>
        <v/>
      </c>
      <c r="AA4844" s="60">
        <f t="shared" si="529"/>
        <v>0</v>
      </c>
      <c r="AB4844" s="49">
        <f t="shared" si="530"/>
        <v>0</v>
      </c>
      <c r="AC4844" s="60">
        <f t="shared" si="531"/>
        <v>0</v>
      </c>
    </row>
    <row r="4845" spans="1:29">
      <c r="A4845" s="83" t="str">
        <f t="shared" si="526"/>
        <v/>
      </c>
      <c r="B4845" s="83" t="str">
        <f t="shared" si="532"/>
        <v/>
      </c>
      <c r="U4845" s="83" t="str">
        <f t="shared" si="527"/>
        <v/>
      </c>
      <c r="V4845" s="83" t="str">
        <f t="shared" si="528"/>
        <v/>
      </c>
      <c r="AA4845" s="60">
        <f t="shared" si="529"/>
        <v>0</v>
      </c>
      <c r="AB4845" s="49">
        <f t="shared" si="530"/>
        <v>0</v>
      </c>
      <c r="AC4845" s="60">
        <f t="shared" si="531"/>
        <v>0</v>
      </c>
    </row>
    <row r="4846" spans="1:29">
      <c r="A4846" s="83" t="str">
        <f t="shared" si="526"/>
        <v/>
      </c>
      <c r="B4846" s="83" t="str">
        <f t="shared" si="532"/>
        <v/>
      </c>
      <c r="U4846" s="83" t="str">
        <f t="shared" si="527"/>
        <v/>
      </c>
      <c r="V4846" s="83" t="str">
        <f t="shared" si="528"/>
        <v/>
      </c>
      <c r="AA4846" s="60">
        <f t="shared" si="529"/>
        <v>0</v>
      </c>
      <c r="AB4846" s="49">
        <f t="shared" si="530"/>
        <v>0</v>
      </c>
      <c r="AC4846" s="60">
        <f t="shared" si="531"/>
        <v>0</v>
      </c>
    </row>
    <row r="4847" spans="1:29">
      <c r="A4847" s="83" t="str">
        <f t="shared" si="526"/>
        <v/>
      </c>
      <c r="B4847" s="83" t="str">
        <f t="shared" si="532"/>
        <v/>
      </c>
      <c r="U4847" s="83" t="str">
        <f t="shared" si="527"/>
        <v/>
      </c>
      <c r="V4847" s="83" t="str">
        <f t="shared" si="528"/>
        <v/>
      </c>
      <c r="AA4847" s="60">
        <f t="shared" si="529"/>
        <v>0</v>
      </c>
      <c r="AB4847" s="49">
        <f t="shared" si="530"/>
        <v>0</v>
      </c>
      <c r="AC4847" s="60">
        <f t="shared" si="531"/>
        <v>0</v>
      </c>
    </row>
    <row r="4848" spans="1:29">
      <c r="A4848" s="83" t="str">
        <f t="shared" si="526"/>
        <v/>
      </c>
      <c r="B4848" s="83" t="str">
        <f t="shared" si="532"/>
        <v/>
      </c>
      <c r="U4848" s="83" t="str">
        <f t="shared" si="527"/>
        <v/>
      </c>
      <c r="V4848" s="83" t="str">
        <f t="shared" si="528"/>
        <v/>
      </c>
      <c r="AA4848" s="60">
        <f t="shared" si="529"/>
        <v>0</v>
      </c>
      <c r="AB4848" s="49">
        <f t="shared" si="530"/>
        <v>0</v>
      </c>
      <c r="AC4848" s="60">
        <f t="shared" si="531"/>
        <v>0</v>
      </c>
    </row>
    <row r="4849" spans="1:29">
      <c r="A4849" s="83" t="str">
        <f t="shared" si="526"/>
        <v/>
      </c>
      <c r="B4849" s="83" t="str">
        <f t="shared" si="532"/>
        <v/>
      </c>
      <c r="U4849" s="83" t="str">
        <f t="shared" si="527"/>
        <v/>
      </c>
      <c r="V4849" s="83" t="str">
        <f t="shared" si="528"/>
        <v/>
      </c>
      <c r="AA4849" s="60">
        <f t="shared" si="529"/>
        <v>0</v>
      </c>
      <c r="AB4849" s="49">
        <f t="shared" si="530"/>
        <v>0</v>
      </c>
      <c r="AC4849" s="60">
        <f t="shared" si="531"/>
        <v>0</v>
      </c>
    </row>
    <row r="4850" spans="1:29">
      <c r="A4850" s="83" t="str">
        <f t="shared" si="526"/>
        <v/>
      </c>
      <c r="B4850" s="83" t="str">
        <f t="shared" si="532"/>
        <v/>
      </c>
      <c r="U4850" s="83" t="str">
        <f t="shared" si="527"/>
        <v/>
      </c>
      <c r="V4850" s="83" t="str">
        <f t="shared" si="528"/>
        <v/>
      </c>
      <c r="AA4850" s="60">
        <f t="shared" si="529"/>
        <v>0</v>
      </c>
      <c r="AB4850" s="49">
        <f t="shared" si="530"/>
        <v>0</v>
      </c>
      <c r="AC4850" s="60">
        <f t="shared" si="531"/>
        <v>0</v>
      </c>
    </row>
    <row r="4851" spans="1:29">
      <c r="A4851" s="83" t="str">
        <f t="shared" si="526"/>
        <v/>
      </c>
      <c r="B4851" s="83" t="str">
        <f t="shared" si="532"/>
        <v/>
      </c>
      <c r="U4851" s="83" t="str">
        <f t="shared" si="527"/>
        <v/>
      </c>
      <c r="V4851" s="83" t="str">
        <f t="shared" si="528"/>
        <v/>
      </c>
      <c r="AA4851" s="60">
        <f t="shared" si="529"/>
        <v>0</v>
      </c>
      <c r="AB4851" s="49">
        <f t="shared" si="530"/>
        <v>0</v>
      </c>
      <c r="AC4851" s="60">
        <f t="shared" si="531"/>
        <v>0</v>
      </c>
    </row>
    <row r="4852" spans="1:29">
      <c r="A4852" s="83" t="str">
        <f t="shared" si="526"/>
        <v/>
      </c>
      <c r="B4852" s="83" t="str">
        <f t="shared" si="532"/>
        <v/>
      </c>
      <c r="U4852" s="83" t="str">
        <f t="shared" si="527"/>
        <v/>
      </c>
      <c r="V4852" s="83" t="str">
        <f t="shared" si="528"/>
        <v/>
      </c>
      <c r="AA4852" s="60">
        <f t="shared" si="529"/>
        <v>0</v>
      </c>
      <c r="AB4852" s="49">
        <f t="shared" si="530"/>
        <v>0</v>
      </c>
      <c r="AC4852" s="60">
        <f t="shared" si="531"/>
        <v>0</v>
      </c>
    </row>
    <row r="4853" spans="1:29">
      <c r="A4853" s="83" t="str">
        <f t="shared" si="526"/>
        <v/>
      </c>
      <c r="B4853" s="83" t="str">
        <f t="shared" si="532"/>
        <v/>
      </c>
      <c r="U4853" s="83" t="str">
        <f t="shared" si="527"/>
        <v/>
      </c>
      <c r="V4853" s="83" t="str">
        <f t="shared" si="528"/>
        <v/>
      </c>
      <c r="AA4853" s="60">
        <f t="shared" si="529"/>
        <v>0</v>
      </c>
      <c r="AB4853" s="49">
        <f t="shared" si="530"/>
        <v>0</v>
      </c>
      <c r="AC4853" s="60">
        <f t="shared" si="531"/>
        <v>0</v>
      </c>
    </row>
    <row r="4854" spans="1:29">
      <c r="A4854" s="83" t="str">
        <f t="shared" si="526"/>
        <v/>
      </c>
      <c r="B4854" s="83" t="str">
        <f t="shared" si="532"/>
        <v/>
      </c>
      <c r="U4854" s="83" t="str">
        <f t="shared" si="527"/>
        <v/>
      </c>
      <c r="V4854" s="83" t="str">
        <f t="shared" si="528"/>
        <v/>
      </c>
      <c r="AA4854" s="60">
        <f t="shared" si="529"/>
        <v>0</v>
      </c>
      <c r="AB4854" s="49">
        <f t="shared" si="530"/>
        <v>0</v>
      </c>
      <c r="AC4854" s="60">
        <f t="shared" si="531"/>
        <v>0</v>
      </c>
    </row>
    <row r="4855" spans="1:29">
      <c r="A4855" s="83" t="str">
        <f t="shared" si="526"/>
        <v/>
      </c>
      <c r="B4855" s="83" t="str">
        <f t="shared" si="532"/>
        <v/>
      </c>
      <c r="U4855" s="83" t="str">
        <f t="shared" si="527"/>
        <v/>
      </c>
      <c r="V4855" s="83" t="str">
        <f t="shared" si="528"/>
        <v/>
      </c>
      <c r="AA4855" s="60">
        <f t="shared" si="529"/>
        <v>0</v>
      </c>
      <c r="AB4855" s="49">
        <f t="shared" si="530"/>
        <v>0</v>
      </c>
      <c r="AC4855" s="60">
        <f t="shared" si="531"/>
        <v>0</v>
      </c>
    </row>
    <row r="4856" spans="1:29">
      <c r="A4856" s="83" t="str">
        <f t="shared" si="526"/>
        <v/>
      </c>
      <c r="B4856" s="83" t="str">
        <f t="shared" si="532"/>
        <v/>
      </c>
      <c r="U4856" s="83" t="str">
        <f t="shared" si="527"/>
        <v/>
      </c>
      <c r="V4856" s="83" t="str">
        <f t="shared" si="528"/>
        <v/>
      </c>
      <c r="AA4856" s="60">
        <f t="shared" si="529"/>
        <v>0</v>
      </c>
      <c r="AB4856" s="49">
        <f t="shared" si="530"/>
        <v>0</v>
      </c>
      <c r="AC4856" s="60">
        <f t="shared" si="531"/>
        <v>0</v>
      </c>
    </row>
    <row r="4857" spans="1:29">
      <c r="A4857" s="83" t="str">
        <f t="shared" si="526"/>
        <v/>
      </c>
      <c r="B4857" s="83" t="str">
        <f t="shared" si="532"/>
        <v/>
      </c>
      <c r="U4857" s="83" t="str">
        <f t="shared" si="527"/>
        <v/>
      </c>
      <c r="V4857" s="83" t="str">
        <f t="shared" si="528"/>
        <v/>
      </c>
      <c r="AA4857" s="60">
        <f t="shared" si="529"/>
        <v>0</v>
      </c>
      <c r="AB4857" s="49">
        <f t="shared" si="530"/>
        <v>0</v>
      </c>
      <c r="AC4857" s="60">
        <f t="shared" si="531"/>
        <v>0</v>
      </c>
    </row>
    <row r="4858" spans="1:29">
      <c r="A4858" s="83" t="str">
        <f t="shared" si="526"/>
        <v/>
      </c>
      <c r="B4858" s="83" t="str">
        <f t="shared" si="532"/>
        <v/>
      </c>
      <c r="U4858" s="83" t="str">
        <f t="shared" si="527"/>
        <v/>
      </c>
      <c r="V4858" s="83" t="str">
        <f t="shared" si="528"/>
        <v/>
      </c>
      <c r="AA4858" s="60">
        <f t="shared" si="529"/>
        <v>0</v>
      </c>
      <c r="AB4858" s="49">
        <f t="shared" si="530"/>
        <v>0</v>
      </c>
      <c r="AC4858" s="60">
        <f t="shared" si="531"/>
        <v>0</v>
      </c>
    </row>
    <row r="4859" spans="1:29">
      <c r="A4859" s="83" t="str">
        <f t="shared" si="526"/>
        <v/>
      </c>
      <c r="B4859" s="83" t="str">
        <f t="shared" si="532"/>
        <v/>
      </c>
      <c r="U4859" s="83" t="str">
        <f t="shared" si="527"/>
        <v/>
      </c>
      <c r="V4859" s="83" t="str">
        <f t="shared" si="528"/>
        <v/>
      </c>
      <c r="AA4859" s="60">
        <f t="shared" si="529"/>
        <v>0</v>
      </c>
      <c r="AB4859" s="49">
        <f t="shared" si="530"/>
        <v>0</v>
      </c>
      <c r="AC4859" s="60">
        <f t="shared" si="531"/>
        <v>0</v>
      </c>
    </row>
    <row r="4860" spans="1:29">
      <c r="A4860" s="83" t="str">
        <f t="shared" si="526"/>
        <v/>
      </c>
      <c r="B4860" s="83" t="str">
        <f t="shared" si="532"/>
        <v/>
      </c>
      <c r="U4860" s="83" t="str">
        <f t="shared" si="527"/>
        <v/>
      </c>
      <c r="V4860" s="83" t="str">
        <f t="shared" si="528"/>
        <v/>
      </c>
      <c r="AA4860" s="60">
        <f t="shared" si="529"/>
        <v>0</v>
      </c>
      <c r="AB4860" s="49">
        <f t="shared" si="530"/>
        <v>0</v>
      </c>
      <c r="AC4860" s="60">
        <f t="shared" si="531"/>
        <v>0</v>
      </c>
    </row>
    <row r="4861" spans="1:29">
      <c r="A4861" s="83" t="str">
        <f t="shared" si="526"/>
        <v/>
      </c>
      <c r="B4861" s="83" t="str">
        <f t="shared" si="532"/>
        <v/>
      </c>
      <c r="U4861" s="83" t="str">
        <f t="shared" si="527"/>
        <v/>
      </c>
      <c r="V4861" s="83" t="str">
        <f t="shared" si="528"/>
        <v/>
      </c>
      <c r="AA4861" s="60">
        <f t="shared" si="529"/>
        <v>0</v>
      </c>
      <c r="AB4861" s="49">
        <f t="shared" si="530"/>
        <v>0</v>
      </c>
      <c r="AC4861" s="60">
        <f t="shared" si="531"/>
        <v>0</v>
      </c>
    </row>
    <row r="4862" spans="1:29">
      <c r="A4862" s="83" t="str">
        <f t="shared" si="526"/>
        <v/>
      </c>
      <c r="B4862" s="83" t="str">
        <f t="shared" si="532"/>
        <v/>
      </c>
      <c r="U4862" s="83" t="str">
        <f t="shared" si="527"/>
        <v/>
      </c>
      <c r="V4862" s="83" t="str">
        <f t="shared" si="528"/>
        <v/>
      </c>
      <c r="AA4862" s="60">
        <f t="shared" si="529"/>
        <v>0</v>
      </c>
      <c r="AB4862" s="49">
        <f t="shared" si="530"/>
        <v>0</v>
      </c>
      <c r="AC4862" s="60">
        <f t="shared" si="531"/>
        <v>0</v>
      </c>
    </row>
    <row r="4863" spans="1:29">
      <c r="A4863" s="83" t="str">
        <f t="shared" si="526"/>
        <v/>
      </c>
      <c r="B4863" s="83" t="str">
        <f t="shared" si="532"/>
        <v/>
      </c>
      <c r="U4863" s="83" t="str">
        <f t="shared" si="527"/>
        <v/>
      </c>
      <c r="V4863" s="83" t="str">
        <f t="shared" si="528"/>
        <v/>
      </c>
      <c r="AA4863" s="60">
        <f t="shared" si="529"/>
        <v>0</v>
      </c>
      <c r="AB4863" s="49">
        <f t="shared" si="530"/>
        <v>0</v>
      </c>
      <c r="AC4863" s="60">
        <f t="shared" si="531"/>
        <v>0</v>
      </c>
    </row>
    <row r="4864" spans="1:29">
      <c r="A4864" s="83" t="str">
        <f t="shared" si="526"/>
        <v/>
      </c>
      <c r="B4864" s="83" t="str">
        <f t="shared" si="532"/>
        <v/>
      </c>
      <c r="U4864" s="83" t="str">
        <f t="shared" si="527"/>
        <v/>
      </c>
      <c r="V4864" s="83" t="str">
        <f t="shared" si="528"/>
        <v/>
      </c>
      <c r="AA4864" s="60">
        <f t="shared" si="529"/>
        <v>0</v>
      </c>
      <c r="AB4864" s="49">
        <f t="shared" si="530"/>
        <v>0</v>
      </c>
      <c r="AC4864" s="60">
        <f t="shared" si="531"/>
        <v>0</v>
      </c>
    </row>
    <row r="4865" spans="1:29">
      <c r="A4865" s="83" t="str">
        <f t="shared" si="526"/>
        <v/>
      </c>
      <c r="B4865" s="83" t="str">
        <f t="shared" si="532"/>
        <v/>
      </c>
      <c r="U4865" s="83" t="str">
        <f t="shared" si="527"/>
        <v/>
      </c>
      <c r="V4865" s="83" t="str">
        <f t="shared" si="528"/>
        <v/>
      </c>
      <c r="AA4865" s="60">
        <f t="shared" si="529"/>
        <v>0</v>
      </c>
      <c r="AB4865" s="49">
        <f t="shared" si="530"/>
        <v>0</v>
      </c>
      <c r="AC4865" s="60">
        <f t="shared" si="531"/>
        <v>0</v>
      </c>
    </row>
    <row r="4866" spans="1:29">
      <c r="A4866" s="83" t="str">
        <f t="shared" si="526"/>
        <v/>
      </c>
      <c r="B4866" s="83" t="str">
        <f t="shared" si="532"/>
        <v/>
      </c>
      <c r="U4866" s="83" t="str">
        <f t="shared" si="527"/>
        <v/>
      </c>
      <c r="V4866" s="83" t="str">
        <f t="shared" si="528"/>
        <v/>
      </c>
      <c r="AA4866" s="60">
        <f t="shared" si="529"/>
        <v>0</v>
      </c>
      <c r="AB4866" s="49">
        <f t="shared" si="530"/>
        <v>0</v>
      </c>
      <c r="AC4866" s="60">
        <f t="shared" si="531"/>
        <v>0</v>
      </c>
    </row>
    <row r="4867" spans="1:29">
      <c r="A4867" s="83" t="str">
        <f t="shared" ref="A4867:A4930" si="533">IF(G4867&amp;Q4867&lt;&gt;"",U4867&amp;Q4867,"")</f>
        <v/>
      </c>
      <c r="B4867" s="83" t="str">
        <f t="shared" si="532"/>
        <v/>
      </c>
      <c r="U4867" s="83" t="str">
        <f t="shared" ref="U4867:U4930" si="534">IF(G4867&lt;&gt;"",IF(StyleSpaceSplit,IFERROR(IF(FIND(" ",G4867)&gt;=1,MID(G4867,1,FIND(" ",G4867)-1),G4867),G4867),G4867),"")</f>
        <v/>
      </c>
      <c r="V4867" s="83" t="str">
        <f t="shared" ref="V4867:V4930" si="535">IF(A4867&lt;&gt;"",IFERROR(IF(FIND(" ",G4867)&gt;=1,MID(G4867,FIND(" ",G4867)+1,LEN(G4867)),""),G4867),"")</f>
        <v/>
      </c>
      <c r="AA4867" s="60">
        <f t="shared" ref="AA4867:AA4930" si="536">IFERROR(VALUE(MID($C4867,1,2)),0)</f>
        <v>0</v>
      </c>
      <c r="AB4867" s="49">
        <f t="shared" ref="AB4867:AB4930" si="537">IFERROR(VALUE(MID($C4867,4,3)),0)</f>
        <v>0</v>
      </c>
      <c r="AC4867" s="60">
        <f t="shared" ref="AC4867:AC4930" si="538">VALUE(RIGHT("00"&amp;AA4867,2)&amp;RIGHT("000"&amp;AB4867,3))</f>
        <v>0</v>
      </c>
    </row>
    <row r="4868" spans="1:29">
      <c r="A4868" s="83" t="str">
        <f t="shared" si="533"/>
        <v/>
      </c>
      <c r="B4868" s="83" t="str">
        <f t="shared" si="532"/>
        <v/>
      </c>
      <c r="U4868" s="83" t="str">
        <f t="shared" si="534"/>
        <v/>
      </c>
      <c r="V4868" s="83" t="str">
        <f t="shared" si="535"/>
        <v/>
      </c>
      <c r="AA4868" s="60">
        <f t="shared" si="536"/>
        <v>0</v>
      </c>
      <c r="AB4868" s="49">
        <f t="shared" si="537"/>
        <v>0</v>
      </c>
      <c r="AC4868" s="60">
        <f t="shared" si="538"/>
        <v>0</v>
      </c>
    </row>
    <row r="4869" spans="1:29">
      <c r="A4869" s="83" t="str">
        <f t="shared" si="533"/>
        <v/>
      </c>
      <c r="B4869" s="83" t="str">
        <f t="shared" si="532"/>
        <v/>
      </c>
      <c r="U4869" s="83" t="str">
        <f t="shared" si="534"/>
        <v/>
      </c>
      <c r="V4869" s="83" t="str">
        <f t="shared" si="535"/>
        <v/>
      </c>
      <c r="AA4869" s="60">
        <f t="shared" si="536"/>
        <v>0</v>
      </c>
      <c r="AB4869" s="49">
        <f t="shared" si="537"/>
        <v>0</v>
      </c>
      <c r="AC4869" s="60">
        <f t="shared" si="538"/>
        <v>0</v>
      </c>
    </row>
    <row r="4870" spans="1:29">
      <c r="A4870" s="83" t="str">
        <f t="shared" si="533"/>
        <v/>
      </c>
      <c r="B4870" s="83" t="str">
        <f t="shared" si="532"/>
        <v/>
      </c>
      <c r="U4870" s="83" t="str">
        <f t="shared" si="534"/>
        <v/>
      </c>
      <c r="V4870" s="83" t="str">
        <f t="shared" si="535"/>
        <v/>
      </c>
      <c r="AA4870" s="60">
        <f t="shared" si="536"/>
        <v>0</v>
      </c>
      <c r="AB4870" s="49">
        <f t="shared" si="537"/>
        <v>0</v>
      </c>
      <c r="AC4870" s="60">
        <f t="shared" si="538"/>
        <v>0</v>
      </c>
    </row>
    <row r="4871" spans="1:29">
      <c r="A4871" s="83" t="str">
        <f t="shared" si="533"/>
        <v/>
      </c>
      <c r="B4871" s="83" t="str">
        <f t="shared" si="532"/>
        <v/>
      </c>
      <c r="U4871" s="83" t="str">
        <f t="shared" si="534"/>
        <v/>
      </c>
      <c r="V4871" s="83" t="str">
        <f t="shared" si="535"/>
        <v/>
      </c>
      <c r="AA4871" s="60">
        <f t="shared" si="536"/>
        <v>0</v>
      </c>
      <c r="AB4871" s="49">
        <f t="shared" si="537"/>
        <v>0</v>
      </c>
      <c r="AC4871" s="60">
        <f t="shared" si="538"/>
        <v>0</v>
      </c>
    </row>
    <row r="4872" spans="1:29">
      <c r="A4872" s="83" t="str">
        <f t="shared" si="533"/>
        <v/>
      </c>
      <c r="B4872" s="83" t="str">
        <f t="shared" si="532"/>
        <v/>
      </c>
      <c r="U4872" s="83" t="str">
        <f t="shared" si="534"/>
        <v/>
      </c>
      <c r="V4872" s="83" t="str">
        <f t="shared" si="535"/>
        <v/>
      </c>
      <c r="AA4872" s="60">
        <f t="shared" si="536"/>
        <v>0</v>
      </c>
      <c r="AB4872" s="49">
        <f t="shared" si="537"/>
        <v>0</v>
      </c>
      <c r="AC4872" s="60">
        <f t="shared" si="538"/>
        <v>0</v>
      </c>
    </row>
    <row r="4873" spans="1:29">
      <c r="A4873" s="83" t="str">
        <f t="shared" si="533"/>
        <v/>
      </c>
      <c r="B4873" s="83" t="str">
        <f t="shared" si="532"/>
        <v/>
      </c>
      <c r="U4873" s="83" t="str">
        <f t="shared" si="534"/>
        <v/>
      </c>
      <c r="V4873" s="83" t="str">
        <f t="shared" si="535"/>
        <v/>
      </c>
      <c r="AA4873" s="60">
        <f t="shared" si="536"/>
        <v>0</v>
      </c>
      <c r="AB4873" s="49">
        <f t="shared" si="537"/>
        <v>0</v>
      </c>
      <c r="AC4873" s="60">
        <f t="shared" si="538"/>
        <v>0</v>
      </c>
    </row>
    <row r="4874" spans="1:29">
      <c r="A4874" s="83" t="str">
        <f t="shared" si="533"/>
        <v/>
      </c>
      <c r="B4874" s="83" t="str">
        <f t="shared" si="532"/>
        <v/>
      </c>
      <c r="U4874" s="83" t="str">
        <f t="shared" si="534"/>
        <v/>
      </c>
      <c r="V4874" s="83" t="str">
        <f t="shared" si="535"/>
        <v/>
      </c>
      <c r="AA4874" s="60">
        <f t="shared" si="536"/>
        <v>0</v>
      </c>
      <c r="AB4874" s="49">
        <f t="shared" si="537"/>
        <v>0</v>
      </c>
      <c r="AC4874" s="60">
        <f t="shared" si="538"/>
        <v>0</v>
      </c>
    </row>
    <row r="4875" spans="1:29">
      <c r="A4875" s="83" t="str">
        <f t="shared" si="533"/>
        <v/>
      </c>
      <c r="B4875" s="83" t="str">
        <f t="shared" si="532"/>
        <v/>
      </c>
      <c r="U4875" s="83" t="str">
        <f t="shared" si="534"/>
        <v/>
      </c>
      <c r="V4875" s="83" t="str">
        <f t="shared" si="535"/>
        <v/>
      </c>
      <c r="AA4875" s="60">
        <f t="shared" si="536"/>
        <v>0</v>
      </c>
      <c r="AB4875" s="49">
        <f t="shared" si="537"/>
        <v>0</v>
      </c>
      <c r="AC4875" s="60">
        <f t="shared" si="538"/>
        <v>0</v>
      </c>
    </row>
    <row r="4876" spans="1:29">
      <c r="A4876" s="83" t="str">
        <f t="shared" si="533"/>
        <v/>
      </c>
      <c r="B4876" s="83" t="str">
        <f t="shared" si="532"/>
        <v/>
      </c>
      <c r="U4876" s="83" t="str">
        <f t="shared" si="534"/>
        <v/>
      </c>
      <c r="V4876" s="83" t="str">
        <f t="shared" si="535"/>
        <v/>
      </c>
      <c r="AA4876" s="60">
        <f t="shared" si="536"/>
        <v>0</v>
      </c>
      <c r="AB4876" s="49">
        <f t="shared" si="537"/>
        <v>0</v>
      </c>
      <c r="AC4876" s="60">
        <f t="shared" si="538"/>
        <v>0</v>
      </c>
    </row>
    <row r="4877" spans="1:29">
      <c r="A4877" s="83" t="str">
        <f t="shared" si="533"/>
        <v/>
      </c>
      <c r="B4877" s="83" t="str">
        <f t="shared" si="532"/>
        <v/>
      </c>
      <c r="U4877" s="83" t="str">
        <f t="shared" si="534"/>
        <v/>
      </c>
      <c r="V4877" s="83" t="str">
        <f t="shared" si="535"/>
        <v/>
      </c>
      <c r="AA4877" s="60">
        <f t="shared" si="536"/>
        <v>0</v>
      </c>
      <c r="AB4877" s="49">
        <f t="shared" si="537"/>
        <v>0</v>
      </c>
      <c r="AC4877" s="60">
        <f t="shared" si="538"/>
        <v>0</v>
      </c>
    </row>
    <row r="4878" spans="1:29">
      <c r="A4878" s="83" t="str">
        <f t="shared" si="533"/>
        <v/>
      </c>
      <c r="B4878" s="83" t="str">
        <f t="shared" si="532"/>
        <v/>
      </c>
      <c r="U4878" s="83" t="str">
        <f t="shared" si="534"/>
        <v/>
      </c>
      <c r="V4878" s="83" t="str">
        <f t="shared" si="535"/>
        <v/>
      </c>
      <c r="AA4878" s="60">
        <f t="shared" si="536"/>
        <v>0</v>
      </c>
      <c r="AB4878" s="49">
        <f t="shared" si="537"/>
        <v>0</v>
      </c>
      <c r="AC4878" s="60">
        <f t="shared" si="538"/>
        <v>0</v>
      </c>
    </row>
    <row r="4879" spans="1:29">
      <c r="A4879" s="83" t="str">
        <f t="shared" si="533"/>
        <v/>
      </c>
      <c r="B4879" s="83" t="str">
        <f t="shared" si="532"/>
        <v/>
      </c>
      <c r="U4879" s="83" t="str">
        <f t="shared" si="534"/>
        <v/>
      </c>
      <c r="V4879" s="83" t="str">
        <f t="shared" si="535"/>
        <v/>
      </c>
      <c r="AA4879" s="60">
        <f t="shared" si="536"/>
        <v>0</v>
      </c>
      <c r="AB4879" s="49">
        <f t="shared" si="537"/>
        <v>0</v>
      </c>
      <c r="AC4879" s="60">
        <f t="shared" si="538"/>
        <v>0</v>
      </c>
    </row>
    <row r="4880" spans="1:29">
      <c r="A4880" s="83" t="str">
        <f t="shared" si="533"/>
        <v/>
      </c>
      <c r="B4880" s="83" t="str">
        <f t="shared" si="532"/>
        <v/>
      </c>
      <c r="U4880" s="83" t="str">
        <f t="shared" si="534"/>
        <v/>
      </c>
      <c r="V4880" s="83" t="str">
        <f t="shared" si="535"/>
        <v/>
      </c>
      <c r="AA4880" s="60">
        <f t="shared" si="536"/>
        <v>0</v>
      </c>
      <c r="AB4880" s="49">
        <f t="shared" si="537"/>
        <v>0</v>
      </c>
      <c r="AC4880" s="60">
        <f t="shared" si="538"/>
        <v>0</v>
      </c>
    </row>
    <row r="4881" spans="1:29">
      <c r="A4881" s="83" t="str">
        <f t="shared" si="533"/>
        <v/>
      </c>
      <c r="B4881" s="83" t="str">
        <f t="shared" si="532"/>
        <v/>
      </c>
      <c r="U4881" s="83" t="str">
        <f t="shared" si="534"/>
        <v/>
      </c>
      <c r="V4881" s="83" t="str">
        <f t="shared" si="535"/>
        <v/>
      </c>
      <c r="AA4881" s="60">
        <f t="shared" si="536"/>
        <v>0</v>
      </c>
      <c r="AB4881" s="49">
        <f t="shared" si="537"/>
        <v>0</v>
      </c>
      <c r="AC4881" s="60">
        <f t="shared" si="538"/>
        <v>0</v>
      </c>
    </row>
    <row r="4882" spans="1:29">
      <c r="A4882" s="83" t="str">
        <f t="shared" si="533"/>
        <v/>
      </c>
      <c r="B4882" s="83" t="str">
        <f t="shared" si="532"/>
        <v/>
      </c>
      <c r="U4882" s="83" t="str">
        <f t="shared" si="534"/>
        <v/>
      </c>
      <c r="V4882" s="83" t="str">
        <f t="shared" si="535"/>
        <v/>
      </c>
      <c r="AA4882" s="60">
        <f t="shared" si="536"/>
        <v>0</v>
      </c>
      <c r="AB4882" s="49">
        <f t="shared" si="537"/>
        <v>0</v>
      </c>
      <c r="AC4882" s="60">
        <f t="shared" si="538"/>
        <v>0</v>
      </c>
    </row>
    <row r="4883" spans="1:29">
      <c r="A4883" s="83" t="str">
        <f t="shared" si="533"/>
        <v/>
      </c>
      <c r="B4883" s="83" t="str">
        <f t="shared" si="532"/>
        <v/>
      </c>
      <c r="U4883" s="83" t="str">
        <f t="shared" si="534"/>
        <v/>
      </c>
      <c r="V4883" s="83" t="str">
        <f t="shared" si="535"/>
        <v/>
      </c>
      <c r="AA4883" s="60">
        <f t="shared" si="536"/>
        <v>0</v>
      </c>
      <c r="AB4883" s="49">
        <f t="shared" si="537"/>
        <v>0</v>
      </c>
      <c r="AC4883" s="60">
        <f t="shared" si="538"/>
        <v>0</v>
      </c>
    </row>
    <row r="4884" spans="1:29">
      <c r="A4884" s="83" t="str">
        <f t="shared" si="533"/>
        <v/>
      </c>
      <c r="B4884" s="83" t="str">
        <f t="shared" si="532"/>
        <v/>
      </c>
      <c r="U4884" s="83" t="str">
        <f t="shared" si="534"/>
        <v/>
      </c>
      <c r="V4884" s="83" t="str">
        <f t="shared" si="535"/>
        <v/>
      </c>
      <c r="AA4884" s="60">
        <f t="shared" si="536"/>
        <v>0</v>
      </c>
      <c r="AB4884" s="49">
        <f t="shared" si="537"/>
        <v>0</v>
      </c>
      <c r="AC4884" s="60">
        <f t="shared" si="538"/>
        <v>0</v>
      </c>
    </row>
    <row r="4885" spans="1:29">
      <c r="A4885" s="83" t="str">
        <f t="shared" si="533"/>
        <v/>
      </c>
      <c r="B4885" s="83" t="str">
        <f t="shared" si="532"/>
        <v/>
      </c>
      <c r="U4885" s="83" t="str">
        <f t="shared" si="534"/>
        <v/>
      </c>
      <c r="V4885" s="83" t="str">
        <f t="shared" si="535"/>
        <v/>
      </c>
      <c r="AA4885" s="60">
        <f t="shared" si="536"/>
        <v>0</v>
      </c>
      <c r="AB4885" s="49">
        <f t="shared" si="537"/>
        <v>0</v>
      </c>
      <c r="AC4885" s="60">
        <f t="shared" si="538"/>
        <v>0</v>
      </c>
    </row>
    <row r="4886" spans="1:29">
      <c r="A4886" s="83" t="str">
        <f t="shared" si="533"/>
        <v/>
      </c>
      <c r="B4886" s="83" t="str">
        <f t="shared" si="532"/>
        <v/>
      </c>
      <c r="U4886" s="83" t="str">
        <f t="shared" si="534"/>
        <v/>
      </c>
      <c r="V4886" s="83" t="str">
        <f t="shared" si="535"/>
        <v/>
      </c>
      <c r="AA4886" s="60">
        <f t="shared" si="536"/>
        <v>0</v>
      </c>
      <c r="AB4886" s="49">
        <f t="shared" si="537"/>
        <v>0</v>
      </c>
      <c r="AC4886" s="60">
        <f t="shared" si="538"/>
        <v>0</v>
      </c>
    </row>
    <row r="4887" spans="1:29">
      <c r="A4887" s="83" t="str">
        <f t="shared" si="533"/>
        <v/>
      </c>
      <c r="B4887" s="83" t="str">
        <f t="shared" si="532"/>
        <v/>
      </c>
      <c r="U4887" s="83" t="str">
        <f t="shared" si="534"/>
        <v/>
      </c>
      <c r="V4887" s="83" t="str">
        <f t="shared" si="535"/>
        <v/>
      </c>
      <c r="AA4887" s="60">
        <f t="shared" si="536"/>
        <v>0</v>
      </c>
      <c r="AB4887" s="49">
        <f t="shared" si="537"/>
        <v>0</v>
      </c>
      <c r="AC4887" s="60">
        <f t="shared" si="538"/>
        <v>0</v>
      </c>
    </row>
    <row r="4888" spans="1:29">
      <c r="A4888" s="83" t="str">
        <f t="shared" si="533"/>
        <v/>
      </c>
      <c r="B4888" s="83" t="str">
        <f t="shared" si="532"/>
        <v/>
      </c>
      <c r="U4888" s="83" t="str">
        <f t="shared" si="534"/>
        <v/>
      </c>
      <c r="V4888" s="83" t="str">
        <f t="shared" si="535"/>
        <v/>
      </c>
      <c r="AA4888" s="60">
        <f t="shared" si="536"/>
        <v>0</v>
      </c>
      <c r="AB4888" s="49">
        <f t="shared" si="537"/>
        <v>0</v>
      </c>
      <c r="AC4888" s="60">
        <f t="shared" si="538"/>
        <v>0</v>
      </c>
    </row>
    <row r="4889" spans="1:29">
      <c r="A4889" s="83" t="str">
        <f t="shared" si="533"/>
        <v/>
      </c>
      <c r="B4889" s="83" t="str">
        <f t="shared" si="532"/>
        <v/>
      </c>
      <c r="U4889" s="83" t="str">
        <f t="shared" si="534"/>
        <v/>
      </c>
      <c r="V4889" s="83" t="str">
        <f t="shared" si="535"/>
        <v/>
      </c>
      <c r="AA4889" s="60">
        <f t="shared" si="536"/>
        <v>0</v>
      </c>
      <c r="AB4889" s="49">
        <f t="shared" si="537"/>
        <v>0</v>
      </c>
      <c r="AC4889" s="60">
        <f t="shared" si="538"/>
        <v>0</v>
      </c>
    </row>
    <row r="4890" spans="1:29">
      <c r="A4890" s="83" t="str">
        <f t="shared" si="533"/>
        <v/>
      </c>
      <c r="B4890" s="83" t="str">
        <f t="shared" si="532"/>
        <v/>
      </c>
      <c r="U4890" s="83" t="str">
        <f t="shared" si="534"/>
        <v/>
      </c>
      <c r="V4890" s="83" t="str">
        <f t="shared" si="535"/>
        <v/>
      </c>
      <c r="AA4890" s="60">
        <f t="shared" si="536"/>
        <v>0</v>
      </c>
      <c r="AB4890" s="49">
        <f t="shared" si="537"/>
        <v>0</v>
      </c>
      <c r="AC4890" s="60">
        <f t="shared" si="538"/>
        <v>0</v>
      </c>
    </row>
    <row r="4891" spans="1:29">
      <c r="A4891" s="83" t="str">
        <f t="shared" si="533"/>
        <v/>
      </c>
      <c r="B4891" s="83" t="str">
        <f t="shared" si="532"/>
        <v/>
      </c>
      <c r="U4891" s="83" t="str">
        <f t="shared" si="534"/>
        <v/>
      </c>
      <c r="V4891" s="83" t="str">
        <f t="shared" si="535"/>
        <v/>
      </c>
      <c r="AA4891" s="60">
        <f t="shared" si="536"/>
        <v>0</v>
      </c>
      <c r="AB4891" s="49">
        <f t="shared" si="537"/>
        <v>0</v>
      </c>
      <c r="AC4891" s="60">
        <f t="shared" si="538"/>
        <v>0</v>
      </c>
    </row>
    <row r="4892" spans="1:29">
      <c r="A4892" s="83" t="str">
        <f t="shared" si="533"/>
        <v/>
      </c>
      <c r="B4892" s="83" t="str">
        <f t="shared" si="532"/>
        <v/>
      </c>
      <c r="U4892" s="83" t="str">
        <f t="shared" si="534"/>
        <v/>
      </c>
      <c r="V4892" s="83" t="str">
        <f t="shared" si="535"/>
        <v/>
      </c>
      <c r="AA4892" s="60">
        <f t="shared" si="536"/>
        <v>0</v>
      </c>
      <c r="AB4892" s="49">
        <f t="shared" si="537"/>
        <v>0</v>
      </c>
      <c r="AC4892" s="60">
        <f t="shared" si="538"/>
        <v>0</v>
      </c>
    </row>
    <row r="4893" spans="1:29">
      <c r="A4893" s="83" t="str">
        <f t="shared" si="533"/>
        <v/>
      </c>
      <c r="B4893" s="83" t="str">
        <f t="shared" si="532"/>
        <v/>
      </c>
      <c r="U4893" s="83" t="str">
        <f t="shared" si="534"/>
        <v/>
      </c>
      <c r="V4893" s="83" t="str">
        <f t="shared" si="535"/>
        <v/>
      </c>
      <c r="AA4893" s="60">
        <f t="shared" si="536"/>
        <v>0</v>
      </c>
      <c r="AB4893" s="49">
        <f t="shared" si="537"/>
        <v>0</v>
      </c>
      <c r="AC4893" s="60">
        <f t="shared" si="538"/>
        <v>0</v>
      </c>
    </row>
    <row r="4894" spans="1:29">
      <c r="A4894" s="83" t="str">
        <f t="shared" si="533"/>
        <v/>
      </c>
      <c r="B4894" s="83" t="str">
        <f t="shared" si="532"/>
        <v/>
      </c>
      <c r="U4894" s="83" t="str">
        <f t="shared" si="534"/>
        <v/>
      </c>
      <c r="V4894" s="83" t="str">
        <f t="shared" si="535"/>
        <v/>
      </c>
      <c r="AA4894" s="60">
        <f t="shared" si="536"/>
        <v>0</v>
      </c>
      <c r="AB4894" s="49">
        <f t="shared" si="537"/>
        <v>0</v>
      </c>
      <c r="AC4894" s="60">
        <f t="shared" si="538"/>
        <v>0</v>
      </c>
    </row>
    <row r="4895" spans="1:29">
      <c r="A4895" s="83" t="str">
        <f t="shared" si="533"/>
        <v/>
      </c>
      <c r="B4895" s="83" t="str">
        <f t="shared" si="532"/>
        <v/>
      </c>
      <c r="U4895" s="83" t="str">
        <f t="shared" si="534"/>
        <v/>
      </c>
      <c r="V4895" s="83" t="str">
        <f t="shared" si="535"/>
        <v/>
      </c>
      <c r="AA4895" s="60">
        <f t="shared" si="536"/>
        <v>0</v>
      </c>
      <c r="AB4895" s="49">
        <f t="shared" si="537"/>
        <v>0</v>
      </c>
      <c r="AC4895" s="60">
        <f t="shared" si="538"/>
        <v>0</v>
      </c>
    </row>
    <row r="4896" spans="1:29">
      <c r="A4896" s="83" t="str">
        <f t="shared" si="533"/>
        <v/>
      </c>
      <c r="B4896" s="83" t="str">
        <f t="shared" si="532"/>
        <v/>
      </c>
      <c r="U4896" s="83" t="str">
        <f t="shared" si="534"/>
        <v/>
      </c>
      <c r="V4896" s="83" t="str">
        <f t="shared" si="535"/>
        <v/>
      </c>
      <c r="AA4896" s="60">
        <f t="shared" si="536"/>
        <v>0</v>
      </c>
      <c r="AB4896" s="49">
        <f t="shared" si="537"/>
        <v>0</v>
      </c>
      <c r="AC4896" s="60">
        <f t="shared" si="538"/>
        <v>0</v>
      </c>
    </row>
    <row r="4897" spans="1:29">
      <c r="A4897" s="83" t="str">
        <f t="shared" si="533"/>
        <v/>
      </c>
      <c r="B4897" s="83" t="str">
        <f t="shared" ref="B4897:B4960" si="539">IF(C4897&lt;&gt;"",LEFT(C4897,9),"")</f>
        <v/>
      </c>
      <c r="U4897" s="83" t="str">
        <f t="shared" si="534"/>
        <v/>
      </c>
      <c r="V4897" s="83" t="str">
        <f t="shared" si="535"/>
        <v/>
      </c>
      <c r="AA4897" s="60">
        <f t="shared" si="536"/>
        <v>0</v>
      </c>
      <c r="AB4897" s="49">
        <f t="shared" si="537"/>
        <v>0</v>
      </c>
      <c r="AC4897" s="60">
        <f t="shared" si="538"/>
        <v>0</v>
      </c>
    </row>
    <row r="4898" spans="1:29">
      <c r="A4898" s="83" t="str">
        <f t="shared" si="533"/>
        <v/>
      </c>
      <c r="B4898" s="83" t="str">
        <f t="shared" si="539"/>
        <v/>
      </c>
      <c r="U4898" s="83" t="str">
        <f t="shared" si="534"/>
        <v/>
      </c>
      <c r="V4898" s="83" t="str">
        <f t="shared" si="535"/>
        <v/>
      </c>
      <c r="AA4898" s="60">
        <f t="shared" si="536"/>
        <v>0</v>
      </c>
      <c r="AB4898" s="49">
        <f t="shared" si="537"/>
        <v>0</v>
      </c>
      <c r="AC4898" s="60">
        <f t="shared" si="538"/>
        <v>0</v>
      </c>
    </row>
    <row r="4899" spans="1:29">
      <c r="A4899" s="83" t="str">
        <f t="shared" si="533"/>
        <v/>
      </c>
      <c r="B4899" s="83" t="str">
        <f t="shared" si="539"/>
        <v/>
      </c>
      <c r="U4899" s="83" t="str">
        <f t="shared" si="534"/>
        <v/>
      </c>
      <c r="V4899" s="83" t="str">
        <f t="shared" si="535"/>
        <v/>
      </c>
      <c r="AA4899" s="60">
        <f t="shared" si="536"/>
        <v>0</v>
      </c>
      <c r="AB4899" s="49">
        <f t="shared" si="537"/>
        <v>0</v>
      </c>
      <c r="AC4899" s="60">
        <f t="shared" si="538"/>
        <v>0</v>
      </c>
    </row>
    <row r="4900" spans="1:29">
      <c r="A4900" s="83" t="str">
        <f t="shared" si="533"/>
        <v/>
      </c>
      <c r="B4900" s="83" t="str">
        <f t="shared" si="539"/>
        <v/>
      </c>
      <c r="U4900" s="83" t="str">
        <f t="shared" si="534"/>
        <v/>
      </c>
      <c r="V4900" s="83" t="str">
        <f t="shared" si="535"/>
        <v/>
      </c>
      <c r="AA4900" s="60">
        <f t="shared" si="536"/>
        <v>0</v>
      </c>
      <c r="AB4900" s="49">
        <f t="shared" si="537"/>
        <v>0</v>
      </c>
      <c r="AC4900" s="60">
        <f t="shared" si="538"/>
        <v>0</v>
      </c>
    </row>
    <row r="4901" spans="1:29">
      <c r="A4901" s="83" t="str">
        <f t="shared" si="533"/>
        <v/>
      </c>
      <c r="B4901" s="83" t="str">
        <f t="shared" si="539"/>
        <v/>
      </c>
      <c r="U4901" s="83" t="str">
        <f t="shared" si="534"/>
        <v/>
      </c>
      <c r="V4901" s="83" t="str">
        <f t="shared" si="535"/>
        <v/>
      </c>
      <c r="AA4901" s="60">
        <f t="shared" si="536"/>
        <v>0</v>
      </c>
      <c r="AB4901" s="49">
        <f t="shared" si="537"/>
        <v>0</v>
      </c>
      <c r="AC4901" s="60">
        <f t="shared" si="538"/>
        <v>0</v>
      </c>
    </row>
    <row r="4902" spans="1:29">
      <c r="A4902" s="83" t="str">
        <f t="shared" si="533"/>
        <v/>
      </c>
      <c r="B4902" s="83" t="str">
        <f t="shared" si="539"/>
        <v/>
      </c>
      <c r="U4902" s="83" t="str">
        <f t="shared" si="534"/>
        <v/>
      </c>
      <c r="V4902" s="83" t="str">
        <f t="shared" si="535"/>
        <v/>
      </c>
      <c r="AA4902" s="60">
        <f t="shared" si="536"/>
        <v>0</v>
      </c>
      <c r="AB4902" s="49">
        <f t="shared" si="537"/>
        <v>0</v>
      </c>
      <c r="AC4902" s="60">
        <f t="shared" si="538"/>
        <v>0</v>
      </c>
    </row>
    <row r="4903" spans="1:29">
      <c r="A4903" s="83" t="str">
        <f t="shared" si="533"/>
        <v/>
      </c>
      <c r="B4903" s="83" t="str">
        <f t="shared" si="539"/>
        <v/>
      </c>
      <c r="U4903" s="83" t="str">
        <f t="shared" si="534"/>
        <v/>
      </c>
      <c r="V4903" s="83" t="str">
        <f t="shared" si="535"/>
        <v/>
      </c>
      <c r="AA4903" s="60">
        <f t="shared" si="536"/>
        <v>0</v>
      </c>
      <c r="AB4903" s="49">
        <f t="shared" si="537"/>
        <v>0</v>
      </c>
      <c r="AC4903" s="60">
        <f t="shared" si="538"/>
        <v>0</v>
      </c>
    </row>
    <row r="4904" spans="1:29">
      <c r="A4904" s="83" t="str">
        <f t="shared" si="533"/>
        <v/>
      </c>
      <c r="B4904" s="83" t="str">
        <f t="shared" si="539"/>
        <v/>
      </c>
      <c r="U4904" s="83" t="str">
        <f t="shared" si="534"/>
        <v/>
      </c>
      <c r="V4904" s="83" t="str">
        <f t="shared" si="535"/>
        <v/>
      </c>
      <c r="AA4904" s="60">
        <f t="shared" si="536"/>
        <v>0</v>
      </c>
      <c r="AB4904" s="49">
        <f t="shared" si="537"/>
        <v>0</v>
      </c>
      <c r="AC4904" s="60">
        <f t="shared" si="538"/>
        <v>0</v>
      </c>
    </row>
    <row r="4905" spans="1:29">
      <c r="A4905" s="83" t="str">
        <f t="shared" si="533"/>
        <v/>
      </c>
      <c r="B4905" s="83" t="str">
        <f t="shared" si="539"/>
        <v/>
      </c>
      <c r="U4905" s="83" t="str">
        <f t="shared" si="534"/>
        <v/>
      </c>
      <c r="V4905" s="83" t="str">
        <f t="shared" si="535"/>
        <v/>
      </c>
      <c r="AA4905" s="60">
        <f t="shared" si="536"/>
        <v>0</v>
      </c>
      <c r="AB4905" s="49">
        <f t="shared" si="537"/>
        <v>0</v>
      </c>
      <c r="AC4905" s="60">
        <f t="shared" si="538"/>
        <v>0</v>
      </c>
    </row>
    <row r="4906" spans="1:29">
      <c r="A4906" s="83" t="str">
        <f t="shared" si="533"/>
        <v/>
      </c>
      <c r="B4906" s="83" t="str">
        <f t="shared" si="539"/>
        <v/>
      </c>
      <c r="U4906" s="83" t="str">
        <f t="shared" si="534"/>
        <v/>
      </c>
      <c r="V4906" s="83" t="str">
        <f t="shared" si="535"/>
        <v/>
      </c>
      <c r="AA4906" s="60">
        <f t="shared" si="536"/>
        <v>0</v>
      </c>
      <c r="AB4906" s="49">
        <f t="shared" si="537"/>
        <v>0</v>
      </c>
      <c r="AC4906" s="60">
        <f t="shared" si="538"/>
        <v>0</v>
      </c>
    </row>
    <row r="4907" spans="1:29">
      <c r="A4907" s="83" t="str">
        <f t="shared" si="533"/>
        <v/>
      </c>
      <c r="B4907" s="83" t="str">
        <f t="shared" si="539"/>
        <v/>
      </c>
      <c r="U4907" s="83" t="str">
        <f t="shared" si="534"/>
        <v/>
      </c>
      <c r="V4907" s="83" t="str">
        <f t="shared" si="535"/>
        <v/>
      </c>
      <c r="AA4907" s="60">
        <f t="shared" si="536"/>
        <v>0</v>
      </c>
      <c r="AB4907" s="49">
        <f t="shared" si="537"/>
        <v>0</v>
      </c>
      <c r="AC4907" s="60">
        <f t="shared" si="538"/>
        <v>0</v>
      </c>
    </row>
    <row r="4908" spans="1:29">
      <c r="A4908" s="83" t="str">
        <f t="shared" si="533"/>
        <v/>
      </c>
      <c r="B4908" s="83" t="str">
        <f t="shared" si="539"/>
        <v/>
      </c>
      <c r="U4908" s="83" t="str">
        <f t="shared" si="534"/>
        <v/>
      </c>
      <c r="V4908" s="83" t="str">
        <f t="shared" si="535"/>
        <v/>
      </c>
      <c r="AA4908" s="60">
        <f t="shared" si="536"/>
        <v>0</v>
      </c>
      <c r="AB4908" s="49">
        <f t="shared" si="537"/>
        <v>0</v>
      </c>
      <c r="AC4908" s="60">
        <f t="shared" si="538"/>
        <v>0</v>
      </c>
    </row>
    <row r="4909" spans="1:29">
      <c r="A4909" s="83" t="str">
        <f t="shared" si="533"/>
        <v/>
      </c>
      <c r="B4909" s="83" t="str">
        <f t="shared" si="539"/>
        <v/>
      </c>
      <c r="U4909" s="83" t="str">
        <f t="shared" si="534"/>
        <v/>
      </c>
      <c r="V4909" s="83" t="str">
        <f t="shared" si="535"/>
        <v/>
      </c>
      <c r="AA4909" s="60">
        <f t="shared" si="536"/>
        <v>0</v>
      </c>
      <c r="AB4909" s="49">
        <f t="shared" si="537"/>
        <v>0</v>
      </c>
      <c r="AC4909" s="60">
        <f t="shared" si="538"/>
        <v>0</v>
      </c>
    </row>
    <row r="4910" spans="1:29">
      <c r="A4910" s="83" t="str">
        <f t="shared" si="533"/>
        <v/>
      </c>
      <c r="B4910" s="83" t="str">
        <f t="shared" si="539"/>
        <v/>
      </c>
      <c r="U4910" s="83" t="str">
        <f t="shared" si="534"/>
        <v/>
      </c>
      <c r="V4910" s="83" t="str">
        <f t="shared" si="535"/>
        <v/>
      </c>
      <c r="AA4910" s="60">
        <f t="shared" si="536"/>
        <v>0</v>
      </c>
      <c r="AB4910" s="49">
        <f t="shared" si="537"/>
        <v>0</v>
      </c>
      <c r="AC4910" s="60">
        <f t="shared" si="538"/>
        <v>0</v>
      </c>
    </row>
    <row r="4911" spans="1:29">
      <c r="A4911" s="83" t="str">
        <f t="shared" si="533"/>
        <v/>
      </c>
      <c r="B4911" s="83" t="str">
        <f t="shared" si="539"/>
        <v/>
      </c>
      <c r="U4911" s="83" t="str">
        <f t="shared" si="534"/>
        <v/>
      </c>
      <c r="V4911" s="83" t="str">
        <f t="shared" si="535"/>
        <v/>
      </c>
      <c r="AA4911" s="60">
        <f t="shared" si="536"/>
        <v>0</v>
      </c>
      <c r="AB4911" s="49">
        <f t="shared" si="537"/>
        <v>0</v>
      </c>
      <c r="AC4911" s="60">
        <f t="shared" si="538"/>
        <v>0</v>
      </c>
    </row>
    <row r="4912" spans="1:29">
      <c r="A4912" s="83" t="str">
        <f t="shared" si="533"/>
        <v/>
      </c>
      <c r="B4912" s="83" t="str">
        <f t="shared" si="539"/>
        <v/>
      </c>
      <c r="U4912" s="83" t="str">
        <f t="shared" si="534"/>
        <v/>
      </c>
      <c r="V4912" s="83" t="str">
        <f t="shared" si="535"/>
        <v/>
      </c>
      <c r="AA4912" s="60">
        <f t="shared" si="536"/>
        <v>0</v>
      </c>
      <c r="AB4912" s="49">
        <f t="shared" si="537"/>
        <v>0</v>
      </c>
      <c r="AC4912" s="60">
        <f t="shared" si="538"/>
        <v>0</v>
      </c>
    </row>
    <row r="4913" spans="1:29">
      <c r="A4913" s="83" t="str">
        <f t="shared" si="533"/>
        <v/>
      </c>
      <c r="B4913" s="83" t="str">
        <f t="shared" si="539"/>
        <v/>
      </c>
      <c r="U4913" s="83" t="str">
        <f t="shared" si="534"/>
        <v/>
      </c>
      <c r="V4913" s="83" t="str">
        <f t="shared" si="535"/>
        <v/>
      </c>
      <c r="AA4913" s="60">
        <f t="shared" si="536"/>
        <v>0</v>
      </c>
      <c r="AB4913" s="49">
        <f t="shared" si="537"/>
        <v>0</v>
      </c>
      <c r="AC4913" s="60">
        <f t="shared" si="538"/>
        <v>0</v>
      </c>
    </row>
    <row r="4914" spans="1:29">
      <c r="A4914" s="83" t="str">
        <f t="shared" si="533"/>
        <v/>
      </c>
      <c r="B4914" s="83" t="str">
        <f t="shared" si="539"/>
        <v/>
      </c>
      <c r="U4914" s="83" t="str">
        <f t="shared" si="534"/>
        <v/>
      </c>
      <c r="V4914" s="83" t="str">
        <f t="shared" si="535"/>
        <v/>
      </c>
      <c r="AA4914" s="60">
        <f t="shared" si="536"/>
        <v>0</v>
      </c>
      <c r="AB4914" s="49">
        <f t="shared" si="537"/>
        <v>0</v>
      </c>
      <c r="AC4914" s="60">
        <f t="shared" si="538"/>
        <v>0</v>
      </c>
    </row>
    <row r="4915" spans="1:29">
      <c r="A4915" s="83" t="str">
        <f t="shared" si="533"/>
        <v/>
      </c>
      <c r="B4915" s="83" t="str">
        <f t="shared" si="539"/>
        <v/>
      </c>
      <c r="U4915" s="83" t="str">
        <f t="shared" si="534"/>
        <v/>
      </c>
      <c r="V4915" s="83" t="str">
        <f t="shared" si="535"/>
        <v/>
      </c>
      <c r="AA4915" s="60">
        <f t="shared" si="536"/>
        <v>0</v>
      </c>
      <c r="AB4915" s="49">
        <f t="shared" si="537"/>
        <v>0</v>
      </c>
      <c r="AC4915" s="60">
        <f t="shared" si="538"/>
        <v>0</v>
      </c>
    </row>
    <row r="4916" spans="1:29">
      <c r="A4916" s="83" t="str">
        <f t="shared" si="533"/>
        <v/>
      </c>
      <c r="B4916" s="83" t="str">
        <f t="shared" si="539"/>
        <v/>
      </c>
      <c r="U4916" s="83" t="str">
        <f t="shared" si="534"/>
        <v/>
      </c>
      <c r="V4916" s="83" t="str">
        <f t="shared" si="535"/>
        <v/>
      </c>
      <c r="AA4916" s="60">
        <f t="shared" si="536"/>
        <v>0</v>
      </c>
      <c r="AB4916" s="49">
        <f t="shared" si="537"/>
        <v>0</v>
      </c>
      <c r="AC4916" s="60">
        <f t="shared" si="538"/>
        <v>0</v>
      </c>
    </row>
    <row r="4917" spans="1:29">
      <c r="A4917" s="83" t="str">
        <f t="shared" si="533"/>
        <v/>
      </c>
      <c r="B4917" s="83" t="str">
        <f t="shared" si="539"/>
        <v/>
      </c>
      <c r="U4917" s="83" t="str">
        <f t="shared" si="534"/>
        <v/>
      </c>
      <c r="V4917" s="83" t="str">
        <f t="shared" si="535"/>
        <v/>
      </c>
      <c r="AA4917" s="60">
        <f t="shared" si="536"/>
        <v>0</v>
      </c>
      <c r="AB4917" s="49">
        <f t="shared" si="537"/>
        <v>0</v>
      </c>
      <c r="AC4917" s="60">
        <f t="shared" si="538"/>
        <v>0</v>
      </c>
    </row>
    <row r="4918" spans="1:29">
      <c r="A4918" s="83" t="str">
        <f t="shared" si="533"/>
        <v/>
      </c>
      <c r="B4918" s="83" t="str">
        <f t="shared" si="539"/>
        <v/>
      </c>
      <c r="U4918" s="83" t="str">
        <f t="shared" si="534"/>
        <v/>
      </c>
      <c r="V4918" s="83" t="str">
        <f t="shared" si="535"/>
        <v/>
      </c>
      <c r="AA4918" s="60">
        <f t="shared" si="536"/>
        <v>0</v>
      </c>
      <c r="AB4918" s="49">
        <f t="shared" si="537"/>
        <v>0</v>
      </c>
      <c r="AC4918" s="60">
        <f t="shared" si="538"/>
        <v>0</v>
      </c>
    </row>
    <row r="4919" spans="1:29">
      <c r="A4919" s="83" t="str">
        <f t="shared" si="533"/>
        <v/>
      </c>
      <c r="B4919" s="83" t="str">
        <f t="shared" si="539"/>
        <v/>
      </c>
      <c r="U4919" s="83" t="str">
        <f t="shared" si="534"/>
        <v/>
      </c>
      <c r="V4919" s="83" t="str">
        <f t="shared" si="535"/>
        <v/>
      </c>
      <c r="AA4919" s="60">
        <f t="shared" si="536"/>
        <v>0</v>
      </c>
      <c r="AB4919" s="49">
        <f t="shared" si="537"/>
        <v>0</v>
      </c>
      <c r="AC4919" s="60">
        <f t="shared" si="538"/>
        <v>0</v>
      </c>
    </row>
    <row r="4920" spans="1:29">
      <c r="A4920" s="83" t="str">
        <f t="shared" si="533"/>
        <v/>
      </c>
      <c r="B4920" s="83" t="str">
        <f t="shared" si="539"/>
        <v/>
      </c>
      <c r="U4920" s="83" t="str">
        <f t="shared" si="534"/>
        <v/>
      </c>
      <c r="V4920" s="83" t="str">
        <f t="shared" si="535"/>
        <v/>
      </c>
      <c r="AA4920" s="60">
        <f t="shared" si="536"/>
        <v>0</v>
      </c>
      <c r="AB4920" s="49">
        <f t="shared" si="537"/>
        <v>0</v>
      </c>
      <c r="AC4920" s="60">
        <f t="shared" si="538"/>
        <v>0</v>
      </c>
    </row>
    <row r="4921" spans="1:29">
      <c r="A4921" s="83" t="str">
        <f t="shared" si="533"/>
        <v/>
      </c>
      <c r="B4921" s="83" t="str">
        <f t="shared" si="539"/>
        <v/>
      </c>
      <c r="U4921" s="83" t="str">
        <f t="shared" si="534"/>
        <v/>
      </c>
      <c r="V4921" s="83" t="str">
        <f t="shared" si="535"/>
        <v/>
      </c>
      <c r="AA4921" s="60">
        <f t="shared" si="536"/>
        <v>0</v>
      </c>
      <c r="AB4921" s="49">
        <f t="shared" si="537"/>
        <v>0</v>
      </c>
      <c r="AC4921" s="60">
        <f t="shared" si="538"/>
        <v>0</v>
      </c>
    </row>
    <row r="4922" spans="1:29">
      <c r="A4922" s="83" t="str">
        <f t="shared" si="533"/>
        <v/>
      </c>
      <c r="B4922" s="83" t="str">
        <f t="shared" si="539"/>
        <v/>
      </c>
      <c r="U4922" s="83" t="str">
        <f t="shared" si="534"/>
        <v/>
      </c>
      <c r="V4922" s="83" t="str">
        <f t="shared" si="535"/>
        <v/>
      </c>
      <c r="AA4922" s="60">
        <f t="shared" si="536"/>
        <v>0</v>
      </c>
      <c r="AB4922" s="49">
        <f t="shared" si="537"/>
        <v>0</v>
      </c>
      <c r="AC4922" s="60">
        <f t="shared" si="538"/>
        <v>0</v>
      </c>
    </row>
    <row r="4923" spans="1:29">
      <c r="A4923" s="83" t="str">
        <f t="shared" si="533"/>
        <v/>
      </c>
      <c r="B4923" s="83" t="str">
        <f t="shared" si="539"/>
        <v/>
      </c>
      <c r="U4923" s="83" t="str">
        <f t="shared" si="534"/>
        <v/>
      </c>
      <c r="V4923" s="83" t="str">
        <f t="shared" si="535"/>
        <v/>
      </c>
      <c r="AA4923" s="60">
        <f t="shared" si="536"/>
        <v>0</v>
      </c>
      <c r="AB4923" s="49">
        <f t="shared" si="537"/>
        <v>0</v>
      </c>
      <c r="AC4923" s="60">
        <f t="shared" si="538"/>
        <v>0</v>
      </c>
    </row>
    <row r="4924" spans="1:29">
      <c r="A4924" s="83" t="str">
        <f t="shared" si="533"/>
        <v/>
      </c>
      <c r="B4924" s="83" t="str">
        <f t="shared" si="539"/>
        <v/>
      </c>
      <c r="U4924" s="83" t="str">
        <f t="shared" si="534"/>
        <v/>
      </c>
      <c r="V4924" s="83" t="str">
        <f t="shared" si="535"/>
        <v/>
      </c>
      <c r="AA4924" s="60">
        <f t="shared" si="536"/>
        <v>0</v>
      </c>
      <c r="AB4924" s="49">
        <f t="shared" si="537"/>
        <v>0</v>
      </c>
      <c r="AC4924" s="60">
        <f t="shared" si="538"/>
        <v>0</v>
      </c>
    </row>
    <row r="4925" spans="1:29">
      <c r="A4925" s="83" t="str">
        <f t="shared" si="533"/>
        <v/>
      </c>
      <c r="B4925" s="83" t="str">
        <f t="shared" si="539"/>
        <v/>
      </c>
      <c r="U4925" s="83" t="str">
        <f t="shared" si="534"/>
        <v/>
      </c>
      <c r="V4925" s="83" t="str">
        <f t="shared" si="535"/>
        <v/>
      </c>
      <c r="AA4925" s="60">
        <f t="shared" si="536"/>
        <v>0</v>
      </c>
      <c r="AB4925" s="49">
        <f t="shared" si="537"/>
        <v>0</v>
      </c>
      <c r="AC4925" s="60">
        <f t="shared" si="538"/>
        <v>0</v>
      </c>
    </row>
    <row r="4926" spans="1:29">
      <c r="A4926" s="83" t="str">
        <f t="shared" si="533"/>
        <v/>
      </c>
      <c r="B4926" s="83" t="str">
        <f t="shared" si="539"/>
        <v/>
      </c>
      <c r="U4926" s="83" t="str">
        <f t="shared" si="534"/>
        <v/>
      </c>
      <c r="V4926" s="83" t="str">
        <f t="shared" si="535"/>
        <v/>
      </c>
      <c r="AA4926" s="60">
        <f t="shared" si="536"/>
        <v>0</v>
      </c>
      <c r="AB4926" s="49">
        <f t="shared" si="537"/>
        <v>0</v>
      </c>
      <c r="AC4926" s="60">
        <f t="shared" si="538"/>
        <v>0</v>
      </c>
    </row>
    <row r="4927" spans="1:29">
      <c r="A4927" s="83" t="str">
        <f t="shared" si="533"/>
        <v/>
      </c>
      <c r="B4927" s="83" t="str">
        <f t="shared" si="539"/>
        <v/>
      </c>
      <c r="U4927" s="83" t="str">
        <f t="shared" si="534"/>
        <v/>
      </c>
      <c r="V4927" s="83" t="str">
        <f t="shared" si="535"/>
        <v/>
      </c>
      <c r="AA4927" s="60">
        <f t="shared" si="536"/>
        <v>0</v>
      </c>
      <c r="AB4927" s="49">
        <f t="shared" si="537"/>
        <v>0</v>
      </c>
      <c r="AC4927" s="60">
        <f t="shared" si="538"/>
        <v>0</v>
      </c>
    </row>
    <row r="4928" spans="1:29">
      <c r="A4928" s="83" t="str">
        <f t="shared" si="533"/>
        <v/>
      </c>
      <c r="B4928" s="83" t="str">
        <f t="shared" si="539"/>
        <v/>
      </c>
      <c r="U4928" s="83" t="str">
        <f t="shared" si="534"/>
        <v/>
      </c>
      <c r="V4928" s="83" t="str">
        <f t="shared" si="535"/>
        <v/>
      </c>
      <c r="AA4928" s="60">
        <f t="shared" si="536"/>
        <v>0</v>
      </c>
      <c r="AB4928" s="49">
        <f t="shared" si="537"/>
        <v>0</v>
      </c>
      <c r="AC4928" s="60">
        <f t="shared" si="538"/>
        <v>0</v>
      </c>
    </row>
    <row r="4929" spans="1:29">
      <c r="A4929" s="83" t="str">
        <f t="shared" si="533"/>
        <v/>
      </c>
      <c r="B4929" s="83" t="str">
        <f t="shared" si="539"/>
        <v/>
      </c>
      <c r="U4929" s="83" t="str">
        <f t="shared" si="534"/>
        <v/>
      </c>
      <c r="V4929" s="83" t="str">
        <f t="shared" si="535"/>
        <v/>
      </c>
      <c r="AA4929" s="60">
        <f t="shared" si="536"/>
        <v>0</v>
      </c>
      <c r="AB4929" s="49">
        <f t="shared" si="537"/>
        <v>0</v>
      </c>
      <c r="AC4929" s="60">
        <f t="shared" si="538"/>
        <v>0</v>
      </c>
    </row>
    <row r="4930" spans="1:29">
      <c r="A4930" s="83" t="str">
        <f t="shared" si="533"/>
        <v/>
      </c>
      <c r="B4930" s="83" t="str">
        <f t="shared" si="539"/>
        <v/>
      </c>
      <c r="U4930" s="83" t="str">
        <f t="shared" si="534"/>
        <v/>
      </c>
      <c r="V4930" s="83" t="str">
        <f t="shared" si="535"/>
        <v/>
      </c>
      <c r="AA4930" s="60">
        <f t="shared" si="536"/>
        <v>0</v>
      </c>
      <c r="AB4930" s="49">
        <f t="shared" si="537"/>
        <v>0</v>
      </c>
      <c r="AC4930" s="60">
        <f t="shared" si="538"/>
        <v>0</v>
      </c>
    </row>
    <row r="4931" spans="1:29">
      <c r="A4931" s="83" t="str">
        <f t="shared" ref="A4931:A4994" si="540">IF(G4931&amp;Q4931&lt;&gt;"",U4931&amp;Q4931,"")</f>
        <v/>
      </c>
      <c r="B4931" s="83" t="str">
        <f t="shared" si="539"/>
        <v/>
      </c>
      <c r="U4931" s="83" t="str">
        <f t="shared" ref="U4931:U4994" si="541">IF(G4931&lt;&gt;"",IF(StyleSpaceSplit,IFERROR(IF(FIND(" ",G4931)&gt;=1,MID(G4931,1,FIND(" ",G4931)-1),G4931),G4931),G4931),"")</f>
        <v/>
      </c>
      <c r="V4931" s="83" t="str">
        <f t="shared" ref="V4931:V4994" si="542">IF(A4931&lt;&gt;"",IFERROR(IF(FIND(" ",G4931)&gt;=1,MID(G4931,FIND(" ",G4931)+1,LEN(G4931)),""),G4931),"")</f>
        <v/>
      </c>
      <c r="AA4931" s="60">
        <f t="shared" ref="AA4931:AA4994" si="543">IFERROR(VALUE(MID($C4931,1,2)),0)</f>
        <v>0</v>
      </c>
      <c r="AB4931" s="49">
        <f t="shared" ref="AB4931:AB4994" si="544">IFERROR(VALUE(MID($C4931,4,3)),0)</f>
        <v>0</v>
      </c>
      <c r="AC4931" s="60">
        <f t="shared" ref="AC4931:AC4994" si="545">VALUE(RIGHT("00"&amp;AA4931,2)&amp;RIGHT("000"&amp;AB4931,3))</f>
        <v>0</v>
      </c>
    </row>
    <row r="4932" spans="1:29">
      <c r="A4932" s="83" t="str">
        <f t="shared" si="540"/>
        <v/>
      </c>
      <c r="B4932" s="83" t="str">
        <f t="shared" si="539"/>
        <v/>
      </c>
      <c r="U4932" s="83" t="str">
        <f t="shared" si="541"/>
        <v/>
      </c>
      <c r="V4932" s="83" t="str">
        <f t="shared" si="542"/>
        <v/>
      </c>
      <c r="AA4932" s="60">
        <f t="shared" si="543"/>
        <v>0</v>
      </c>
      <c r="AB4932" s="49">
        <f t="shared" si="544"/>
        <v>0</v>
      </c>
      <c r="AC4932" s="60">
        <f t="shared" si="545"/>
        <v>0</v>
      </c>
    </row>
    <row r="4933" spans="1:29">
      <c r="A4933" s="83" t="str">
        <f t="shared" si="540"/>
        <v/>
      </c>
      <c r="B4933" s="83" t="str">
        <f t="shared" si="539"/>
        <v/>
      </c>
      <c r="U4933" s="83" t="str">
        <f t="shared" si="541"/>
        <v/>
      </c>
      <c r="V4933" s="83" t="str">
        <f t="shared" si="542"/>
        <v/>
      </c>
      <c r="AA4933" s="60">
        <f t="shared" si="543"/>
        <v>0</v>
      </c>
      <c r="AB4933" s="49">
        <f t="shared" si="544"/>
        <v>0</v>
      </c>
      <c r="AC4933" s="60">
        <f t="shared" si="545"/>
        <v>0</v>
      </c>
    </row>
    <row r="4934" spans="1:29">
      <c r="A4934" s="83" t="str">
        <f t="shared" si="540"/>
        <v/>
      </c>
      <c r="B4934" s="83" t="str">
        <f t="shared" si="539"/>
        <v/>
      </c>
      <c r="U4934" s="83" t="str">
        <f t="shared" si="541"/>
        <v/>
      </c>
      <c r="V4934" s="83" t="str">
        <f t="shared" si="542"/>
        <v/>
      </c>
      <c r="AA4934" s="60">
        <f t="shared" si="543"/>
        <v>0</v>
      </c>
      <c r="AB4934" s="49">
        <f t="shared" si="544"/>
        <v>0</v>
      </c>
      <c r="AC4934" s="60">
        <f t="shared" si="545"/>
        <v>0</v>
      </c>
    </row>
    <row r="4935" spans="1:29">
      <c r="A4935" s="83" t="str">
        <f t="shared" si="540"/>
        <v/>
      </c>
      <c r="B4935" s="83" t="str">
        <f t="shared" si="539"/>
        <v/>
      </c>
      <c r="U4935" s="83" t="str">
        <f t="shared" si="541"/>
        <v/>
      </c>
      <c r="V4935" s="83" t="str">
        <f t="shared" si="542"/>
        <v/>
      </c>
      <c r="AA4935" s="60">
        <f t="shared" si="543"/>
        <v>0</v>
      </c>
      <c r="AB4935" s="49">
        <f t="shared" si="544"/>
        <v>0</v>
      </c>
      <c r="AC4935" s="60">
        <f t="shared" si="545"/>
        <v>0</v>
      </c>
    </row>
    <row r="4936" spans="1:29">
      <c r="A4936" s="83" t="str">
        <f t="shared" si="540"/>
        <v/>
      </c>
      <c r="B4936" s="83" t="str">
        <f t="shared" si="539"/>
        <v/>
      </c>
      <c r="U4936" s="83" t="str">
        <f t="shared" si="541"/>
        <v/>
      </c>
      <c r="V4936" s="83" t="str">
        <f t="shared" si="542"/>
        <v/>
      </c>
      <c r="AA4936" s="60">
        <f t="shared" si="543"/>
        <v>0</v>
      </c>
      <c r="AB4936" s="49">
        <f t="shared" si="544"/>
        <v>0</v>
      </c>
      <c r="AC4936" s="60">
        <f t="shared" si="545"/>
        <v>0</v>
      </c>
    </row>
    <row r="4937" spans="1:29">
      <c r="A4937" s="83" t="str">
        <f t="shared" si="540"/>
        <v/>
      </c>
      <c r="B4937" s="83" t="str">
        <f t="shared" si="539"/>
        <v/>
      </c>
      <c r="U4937" s="83" t="str">
        <f t="shared" si="541"/>
        <v/>
      </c>
      <c r="V4937" s="83" t="str">
        <f t="shared" si="542"/>
        <v/>
      </c>
      <c r="AA4937" s="60">
        <f t="shared" si="543"/>
        <v>0</v>
      </c>
      <c r="AB4937" s="49">
        <f t="shared" si="544"/>
        <v>0</v>
      </c>
      <c r="AC4937" s="60">
        <f t="shared" si="545"/>
        <v>0</v>
      </c>
    </row>
    <row r="4938" spans="1:29">
      <c r="A4938" s="83" t="str">
        <f t="shared" si="540"/>
        <v/>
      </c>
      <c r="B4938" s="83" t="str">
        <f t="shared" si="539"/>
        <v/>
      </c>
      <c r="U4938" s="83" t="str">
        <f t="shared" si="541"/>
        <v/>
      </c>
      <c r="V4938" s="83" t="str">
        <f t="shared" si="542"/>
        <v/>
      </c>
      <c r="AA4938" s="60">
        <f t="shared" si="543"/>
        <v>0</v>
      </c>
      <c r="AB4938" s="49">
        <f t="shared" si="544"/>
        <v>0</v>
      </c>
      <c r="AC4938" s="60">
        <f t="shared" si="545"/>
        <v>0</v>
      </c>
    </row>
    <row r="4939" spans="1:29">
      <c r="A4939" s="83" t="str">
        <f t="shared" si="540"/>
        <v/>
      </c>
      <c r="B4939" s="83" t="str">
        <f t="shared" si="539"/>
        <v/>
      </c>
      <c r="U4939" s="83" t="str">
        <f t="shared" si="541"/>
        <v/>
      </c>
      <c r="V4939" s="83" t="str">
        <f t="shared" si="542"/>
        <v/>
      </c>
      <c r="AA4939" s="60">
        <f t="shared" si="543"/>
        <v>0</v>
      </c>
      <c r="AB4939" s="49">
        <f t="shared" si="544"/>
        <v>0</v>
      </c>
      <c r="AC4939" s="60">
        <f t="shared" si="545"/>
        <v>0</v>
      </c>
    </row>
    <row r="4940" spans="1:29">
      <c r="A4940" s="83" t="str">
        <f t="shared" si="540"/>
        <v/>
      </c>
      <c r="B4940" s="83" t="str">
        <f t="shared" si="539"/>
        <v/>
      </c>
      <c r="U4940" s="83" t="str">
        <f t="shared" si="541"/>
        <v/>
      </c>
      <c r="V4940" s="83" t="str">
        <f t="shared" si="542"/>
        <v/>
      </c>
      <c r="AA4940" s="60">
        <f t="shared" si="543"/>
        <v>0</v>
      </c>
      <c r="AB4940" s="49">
        <f t="shared" si="544"/>
        <v>0</v>
      </c>
      <c r="AC4940" s="60">
        <f t="shared" si="545"/>
        <v>0</v>
      </c>
    </row>
    <row r="4941" spans="1:29">
      <c r="A4941" s="83" t="str">
        <f t="shared" si="540"/>
        <v/>
      </c>
      <c r="B4941" s="83" t="str">
        <f t="shared" si="539"/>
        <v/>
      </c>
      <c r="U4941" s="83" t="str">
        <f t="shared" si="541"/>
        <v/>
      </c>
      <c r="V4941" s="83" t="str">
        <f t="shared" si="542"/>
        <v/>
      </c>
      <c r="AA4941" s="60">
        <f t="shared" si="543"/>
        <v>0</v>
      </c>
      <c r="AB4941" s="49">
        <f t="shared" si="544"/>
        <v>0</v>
      </c>
      <c r="AC4941" s="60">
        <f t="shared" si="545"/>
        <v>0</v>
      </c>
    </row>
    <row r="4942" spans="1:29">
      <c r="A4942" s="83" t="str">
        <f t="shared" si="540"/>
        <v/>
      </c>
      <c r="B4942" s="83" t="str">
        <f t="shared" si="539"/>
        <v/>
      </c>
      <c r="U4942" s="83" t="str">
        <f t="shared" si="541"/>
        <v/>
      </c>
      <c r="V4942" s="83" t="str">
        <f t="shared" si="542"/>
        <v/>
      </c>
      <c r="AA4942" s="60">
        <f t="shared" si="543"/>
        <v>0</v>
      </c>
      <c r="AB4942" s="49">
        <f t="shared" si="544"/>
        <v>0</v>
      </c>
      <c r="AC4942" s="60">
        <f t="shared" si="545"/>
        <v>0</v>
      </c>
    </row>
    <row r="4943" spans="1:29">
      <c r="A4943" s="83" t="str">
        <f t="shared" si="540"/>
        <v/>
      </c>
      <c r="B4943" s="83" t="str">
        <f t="shared" si="539"/>
        <v/>
      </c>
      <c r="U4943" s="83" t="str">
        <f t="shared" si="541"/>
        <v/>
      </c>
      <c r="V4943" s="83" t="str">
        <f t="shared" si="542"/>
        <v/>
      </c>
      <c r="AA4943" s="60">
        <f t="shared" si="543"/>
        <v>0</v>
      </c>
      <c r="AB4943" s="49">
        <f t="shared" si="544"/>
        <v>0</v>
      </c>
      <c r="AC4943" s="60">
        <f t="shared" si="545"/>
        <v>0</v>
      </c>
    </row>
    <row r="4944" spans="1:29">
      <c r="A4944" s="83" t="str">
        <f t="shared" si="540"/>
        <v/>
      </c>
      <c r="B4944" s="83" t="str">
        <f t="shared" si="539"/>
        <v/>
      </c>
      <c r="U4944" s="83" t="str">
        <f t="shared" si="541"/>
        <v/>
      </c>
      <c r="V4944" s="83" t="str">
        <f t="shared" si="542"/>
        <v/>
      </c>
      <c r="AA4944" s="60">
        <f t="shared" si="543"/>
        <v>0</v>
      </c>
      <c r="AB4944" s="49">
        <f t="shared" si="544"/>
        <v>0</v>
      </c>
      <c r="AC4944" s="60">
        <f t="shared" si="545"/>
        <v>0</v>
      </c>
    </row>
    <row r="4945" spans="1:29">
      <c r="A4945" s="83" t="str">
        <f t="shared" si="540"/>
        <v/>
      </c>
      <c r="B4945" s="83" t="str">
        <f t="shared" si="539"/>
        <v/>
      </c>
      <c r="U4945" s="83" t="str">
        <f t="shared" si="541"/>
        <v/>
      </c>
      <c r="V4945" s="83" t="str">
        <f t="shared" si="542"/>
        <v/>
      </c>
      <c r="AA4945" s="60">
        <f t="shared" si="543"/>
        <v>0</v>
      </c>
      <c r="AB4945" s="49">
        <f t="shared" si="544"/>
        <v>0</v>
      </c>
      <c r="AC4945" s="60">
        <f t="shared" si="545"/>
        <v>0</v>
      </c>
    </row>
    <row r="4946" spans="1:29">
      <c r="A4946" s="83" t="str">
        <f t="shared" si="540"/>
        <v/>
      </c>
      <c r="B4946" s="83" t="str">
        <f t="shared" si="539"/>
        <v/>
      </c>
      <c r="U4946" s="83" t="str">
        <f t="shared" si="541"/>
        <v/>
      </c>
      <c r="V4946" s="83" t="str">
        <f t="shared" si="542"/>
        <v/>
      </c>
      <c r="AA4946" s="60">
        <f t="shared" si="543"/>
        <v>0</v>
      </c>
      <c r="AB4946" s="49">
        <f t="shared" si="544"/>
        <v>0</v>
      </c>
      <c r="AC4946" s="60">
        <f t="shared" si="545"/>
        <v>0</v>
      </c>
    </row>
    <row r="4947" spans="1:29">
      <c r="A4947" s="83" t="str">
        <f t="shared" si="540"/>
        <v/>
      </c>
      <c r="B4947" s="83" t="str">
        <f t="shared" si="539"/>
        <v/>
      </c>
      <c r="U4947" s="83" t="str">
        <f t="shared" si="541"/>
        <v/>
      </c>
      <c r="V4947" s="83" t="str">
        <f t="shared" si="542"/>
        <v/>
      </c>
      <c r="AA4947" s="60">
        <f t="shared" si="543"/>
        <v>0</v>
      </c>
      <c r="AB4947" s="49">
        <f t="shared" si="544"/>
        <v>0</v>
      </c>
      <c r="AC4947" s="60">
        <f t="shared" si="545"/>
        <v>0</v>
      </c>
    </row>
    <row r="4948" spans="1:29">
      <c r="A4948" s="83" t="str">
        <f t="shared" si="540"/>
        <v/>
      </c>
      <c r="B4948" s="83" t="str">
        <f t="shared" si="539"/>
        <v/>
      </c>
      <c r="U4948" s="83" t="str">
        <f t="shared" si="541"/>
        <v/>
      </c>
      <c r="V4948" s="83" t="str">
        <f t="shared" si="542"/>
        <v/>
      </c>
      <c r="AA4948" s="60">
        <f t="shared" si="543"/>
        <v>0</v>
      </c>
      <c r="AB4948" s="49">
        <f t="shared" si="544"/>
        <v>0</v>
      </c>
      <c r="AC4948" s="60">
        <f t="shared" si="545"/>
        <v>0</v>
      </c>
    </row>
    <row r="4949" spans="1:29">
      <c r="A4949" s="83" t="str">
        <f t="shared" si="540"/>
        <v/>
      </c>
      <c r="B4949" s="83" t="str">
        <f t="shared" si="539"/>
        <v/>
      </c>
      <c r="U4949" s="83" t="str">
        <f t="shared" si="541"/>
        <v/>
      </c>
      <c r="V4949" s="83" t="str">
        <f t="shared" si="542"/>
        <v/>
      </c>
      <c r="AA4949" s="60">
        <f t="shared" si="543"/>
        <v>0</v>
      </c>
      <c r="AB4949" s="49">
        <f t="shared" si="544"/>
        <v>0</v>
      </c>
      <c r="AC4949" s="60">
        <f t="shared" si="545"/>
        <v>0</v>
      </c>
    </row>
    <row r="4950" spans="1:29">
      <c r="A4950" s="83" t="str">
        <f t="shared" si="540"/>
        <v/>
      </c>
      <c r="B4950" s="83" t="str">
        <f t="shared" si="539"/>
        <v/>
      </c>
      <c r="U4950" s="83" t="str">
        <f t="shared" si="541"/>
        <v/>
      </c>
      <c r="V4950" s="83" t="str">
        <f t="shared" si="542"/>
        <v/>
      </c>
      <c r="AA4950" s="60">
        <f t="shared" si="543"/>
        <v>0</v>
      </c>
      <c r="AB4950" s="49">
        <f t="shared" si="544"/>
        <v>0</v>
      </c>
      <c r="AC4950" s="60">
        <f t="shared" si="545"/>
        <v>0</v>
      </c>
    </row>
    <row r="4951" spans="1:29">
      <c r="A4951" s="83" t="str">
        <f t="shared" si="540"/>
        <v/>
      </c>
      <c r="B4951" s="83" t="str">
        <f t="shared" si="539"/>
        <v/>
      </c>
      <c r="U4951" s="83" t="str">
        <f t="shared" si="541"/>
        <v/>
      </c>
      <c r="V4951" s="83" t="str">
        <f t="shared" si="542"/>
        <v/>
      </c>
      <c r="AA4951" s="60">
        <f t="shared" si="543"/>
        <v>0</v>
      </c>
      <c r="AB4951" s="49">
        <f t="shared" si="544"/>
        <v>0</v>
      </c>
      <c r="AC4951" s="60">
        <f t="shared" si="545"/>
        <v>0</v>
      </c>
    </row>
    <row r="4952" spans="1:29">
      <c r="A4952" s="83" t="str">
        <f t="shared" si="540"/>
        <v/>
      </c>
      <c r="B4952" s="83" t="str">
        <f t="shared" si="539"/>
        <v/>
      </c>
      <c r="U4952" s="83" t="str">
        <f t="shared" si="541"/>
        <v/>
      </c>
      <c r="V4952" s="83" t="str">
        <f t="shared" si="542"/>
        <v/>
      </c>
      <c r="AA4952" s="60">
        <f t="shared" si="543"/>
        <v>0</v>
      </c>
      <c r="AB4952" s="49">
        <f t="shared" si="544"/>
        <v>0</v>
      </c>
      <c r="AC4952" s="60">
        <f t="shared" si="545"/>
        <v>0</v>
      </c>
    </row>
    <row r="4953" spans="1:29">
      <c r="A4953" s="83" t="str">
        <f t="shared" si="540"/>
        <v/>
      </c>
      <c r="B4953" s="83" t="str">
        <f t="shared" si="539"/>
        <v/>
      </c>
      <c r="U4953" s="83" t="str">
        <f t="shared" si="541"/>
        <v/>
      </c>
      <c r="V4953" s="83" t="str">
        <f t="shared" si="542"/>
        <v/>
      </c>
      <c r="AA4953" s="60">
        <f t="shared" si="543"/>
        <v>0</v>
      </c>
      <c r="AB4953" s="49">
        <f t="shared" si="544"/>
        <v>0</v>
      </c>
      <c r="AC4953" s="60">
        <f t="shared" si="545"/>
        <v>0</v>
      </c>
    </row>
    <row r="4954" spans="1:29">
      <c r="A4954" s="83" t="str">
        <f t="shared" si="540"/>
        <v/>
      </c>
      <c r="B4954" s="83" t="str">
        <f t="shared" si="539"/>
        <v/>
      </c>
      <c r="U4954" s="83" t="str">
        <f t="shared" si="541"/>
        <v/>
      </c>
      <c r="V4954" s="83" t="str">
        <f t="shared" si="542"/>
        <v/>
      </c>
      <c r="AA4954" s="60">
        <f t="shared" si="543"/>
        <v>0</v>
      </c>
      <c r="AB4954" s="49">
        <f t="shared" si="544"/>
        <v>0</v>
      </c>
      <c r="AC4954" s="60">
        <f t="shared" si="545"/>
        <v>0</v>
      </c>
    </row>
    <row r="4955" spans="1:29">
      <c r="A4955" s="83" t="str">
        <f t="shared" si="540"/>
        <v/>
      </c>
      <c r="B4955" s="83" t="str">
        <f t="shared" si="539"/>
        <v/>
      </c>
      <c r="U4955" s="83" t="str">
        <f t="shared" si="541"/>
        <v/>
      </c>
      <c r="V4955" s="83" t="str">
        <f t="shared" si="542"/>
        <v/>
      </c>
      <c r="AA4955" s="60">
        <f t="shared" si="543"/>
        <v>0</v>
      </c>
      <c r="AB4955" s="49">
        <f t="shared" si="544"/>
        <v>0</v>
      </c>
      <c r="AC4955" s="60">
        <f t="shared" si="545"/>
        <v>0</v>
      </c>
    </row>
    <row r="4956" spans="1:29">
      <c r="A4956" s="83" t="str">
        <f t="shared" si="540"/>
        <v/>
      </c>
      <c r="B4956" s="83" t="str">
        <f t="shared" si="539"/>
        <v/>
      </c>
      <c r="U4956" s="83" t="str">
        <f t="shared" si="541"/>
        <v/>
      </c>
      <c r="V4956" s="83" t="str">
        <f t="shared" si="542"/>
        <v/>
      </c>
      <c r="AA4956" s="60">
        <f t="shared" si="543"/>
        <v>0</v>
      </c>
      <c r="AB4956" s="49">
        <f t="shared" si="544"/>
        <v>0</v>
      </c>
      <c r="AC4956" s="60">
        <f t="shared" si="545"/>
        <v>0</v>
      </c>
    </row>
    <row r="4957" spans="1:29">
      <c r="A4957" s="83" t="str">
        <f t="shared" si="540"/>
        <v/>
      </c>
      <c r="B4957" s="83" t="str">
        <f t="shared" si="539"/>
        <v/>
      </c>
      <c r="U4957" s="83" t="str">
        <f t="shared" si="541"/>
        <v/>
      </c>
      <c r="V4957" s="83" t="str">
        <f t="shared" si="542"/>
        <v/>
      </c>
      <c r="AA4957" s="60">
        <f t="shared" si="543"/>
        <v>0</v>
      </c>
      <c r="AB4957" s="49">
        <f t="shared" si="544"/>
        <v>0</v>
      </c>
      <c r="AC4957" s="60">
        <f t="shared" si="545"/>
        <v>0</v>
      </c>
    </row>
    <row r="4958" spans="1:29">
      <c r="A4958" s="83" t="str">
        <f t="shared" si="540"/>
        <v/>
      </c>
      <c r="B4958" s="83" t="str">
        <f t="shared" si="539"/>
        <v/>
      </c>
      <c r="U4958" s="83" t="str">
        <f t="shared" si="541"/>
        <v/>
      </c>
      <c r="V4958" s="83" t="str">
        <f t="shared" si="542"/>
        <v/>
      </c>
      <c r="AA4958" s="60">
        <f t="shared" si="543"/>
        <v>0</v>
      </c>
      <c r="AB4958" s="49">
        <f t="shared" si="544"/>
        <v>0</v>
      </c>
      <c r="AC4958" s="60">
        <f t="shared" si="545"/>
        <v>0</v>
      </c>
    </row>
    <row r="4959" spans="1:29">
      <c r="A4959" s="83" t="str">
        <f t="shared" si="540"/>
        <v/>
      </c>
      <c r="B4959" s="83" t="str">
        <f t="shared" si="539"/>
        <v/>
      </c>
      <c r="U4959" s="83" t="str">
        <f t="shared" si="541"/>
        <v/>
      </c>
      <c r="V4959" s="83" t="str">
        <f t="shared" si="542"/>
        <v/>
      </c>
      <c r="AA4959" s="60">
        <f t="shared" si="543"/>
        <v>0</v>
      </c>
      <c r="AB4959" s="49">
        <f t="shared" si="544"/>
        <v>0</v>
      </c>
      <c r="AC4959" s="60">
        <f t="shared" si="545"/>
        <v>0</v>
      </c>
    </row>
    <row r="4960" spans="1:29">
      <c r="A4960" s="83" t="str">
        <f t="shared" si="540"/>
        <v/>
      </c>
      <c r="B4960" s="83" t="str">
        <f t="shared" si="539"/>
        <v/>
      </c>
      <c r="U4960" s="83" t="str">
        <f t="shared" si="541"/>
        <v/>
      </c>
      <c r="V4960" s="83" t="str">
        <f t="shared" si="542"/>
        <v/>
      </c>
      <c r="AA4960" s="60">
        <f t="shared" si="543"/>
        <v>0</v>
      </c>
      <c r="AB4960" s="49">
        <f t="shared" si="544"/>
        <v>0</v>
      </c>
      <c r="AC4960" s="60">
        <f t="shared" si="545"/>
        <v>0</v>
      </c>
    </row>
    <row r="4961" spans="1:29">
      <c r="A4961" s="83" t="str">
        <f t="shared" si="540"/>
        <v/>
      </c>
      <c r="B4961" s="83" t="str">
        <f t="shared" ref="B4961:B5024" si="546">IF(C4961&lt;&gt;"",LEFT(C4961,9),"")</f>
        <v/>
      </c>
      <c r="U4961" s="83" t="str">
        <f t="shared" si="541"/>
        <v/>
      </c>
      <c r="V4961" s="83" t="str">
        <f t="shared" si="542"/>
        <v/>
      </c>
      <c r="AA4961" s="60">
        <f t="shared" si="543"/>
        <v>0</v>
      </c>
      <c r="AB4961" s="49">
        <f t="shared" si="544"/>
        <v>0</v>
      </c>
      <c r="AC4961" s="60">
        <f t="shared" si="545"/>
        <v>0</v>
      </c>
    </row>
    <row r="4962" spans="1:29">
      <c r="A4962" s="83" t="str">
        <f t="shared" si="540"/>
        <v/>
      </c>
      <c r="B4962" s="83" t="str">
        <f t="shared" si="546"/>
        <v/>
      </c>
      <c r="U4962" s="83" t="str">
        <f t="shared" si="541"/>
        <v/>
      </c>
      <c r="V4962" s="83" t="str">
        <f t="shared" si="542"/>
        <v/>
      </c>
      <c r="AA4962" s="60">
        <f t="shared" si="543"/>
        <v>0</v>
      </c>
      <c r="AB4962" s="49">
        <f t="shared" si="544"/>
        <v>0</v>
      </c>
      <c r="AC4962" s="60">
        <f t="shared" si="545"/>
        <v>0</v>
      </c>
    </row>
    <row r="4963" spans="1:29">
      <c r="A4963" s="83" t="str">
        <f t="shared" si="540"/>
        <v/>
      </c>
      <c r="B4963" s="83" t="str">
        <f t="shared" si="546"/>
        <v/>
      </c>
      <c r="U4963" s="83" t="str">
        <f t="shared" si="541"/>
        <v/>
      </c>
      <c r="V4963" s="83" t="str">
        <f t="shared" si="542"/>
        <v/>
      </c>
      <c r="AA4963" s="60">
        <f t="shared" si="543"/>
        <v>0</v>
      </c>
      <c r="AB4963" s="49">
        <f t="shared" si="544"/>
        <v>0</v>
      </c>
      <c r="AC4963" s="60">
        <f t="shared" si="545"/>
        <v>0</v>
      </c>
    </row>
    <row r="4964" spans="1:29">
      <c r="A4964" s="83" t="str">
        <f t="shared" si="540"/>
        <v/>
      </c>
      <c r="B4964" s="83" t="str">
        <f t="shared" si="546"/>
        <v/>
      </c>
      <c r="U4964" s="83" t="str">
        <f t="shared" si="541"/>
        <v/>
      </c>
      <c r="V4964" s="83" t="str">
        <f t="shared" si="542"/>
        <v/>
      </c>
      <c r="AA4964" s="60">
        <f t="shared" si="543"/>
        <v>0</v>
      </c>
      <c r="AB4964" s="49">
        <f t="shared" si="544"/>
        <v>0</v>
      </c>
      <c r="AC4964" s="60">
        <f t="shared" si="545"/>
        <v>0</v>
      </c>
    </row>
    <row r="4965" spans="1:29">
      <c r="A4965" s="83" t="str">
        <f t="shared" si="540"/>
        <v/>
      </c>
      <c r="B4965" s="83" t="str">
        <f t="shared" si="546"/>
        <v/>
      </c>
      <c r="U4965" s="83" t="str">
        <f t="shared" si="541"/>
        <v/>
      </c>
      <c r="V4965" s="83" t="str">
        <f t="shared" si="542"/>
        <v/>
      </c>
      <c r="AA4965" s="60">
        <f t="shared" si="543"/>
        <v>0</v>
      </c>
      <c r="AB4965" s="49">
        <f t="shared" si="544"/>
        <v>0</v>
      </c>
      <c r="AC4965" s="60">
        <f t="shared" si="545"/>
        <v>0</v>
      </c>
    </row>
    <row r="4966" spans="1:29">
      <c r="A4966" s="83" t="str">
        <f t="shared" si="540"/>
        <v/>
      </c>
      <c r="B4966" s="83" t="str">
        <f t="shared" si="546"/>
        <v/>
      </c>
      <c r="U4966" s="83" t="str">
        <f t="shared" si="541"/>
        <v/>
      </c>
      <c r="V4966" s="83" t="str">
        <f t="shared" si="542"/>
        <v/>
      </c>
      <c r="AA4966" s="60">
        <f t="shared" si="543"/>
        <v>0</v>
      </c>
      <c r="AB4966" s="49">
        <f t="shared" si="544"/>
        <v>0</v>
      </c>
      <c r="AC4966" s="60">
        <f t="shared" si="545"/>
        <v>0</v>
      </c>
    </row>
    <row r="4967" spans="1:29">
      <c r="A4967" s="83" t="str">
        <f t="shared" si="540"/>
        <v/>
      </c>
      <c r="B4967" s="83" t="str">
        <f t="shared" si="546"/>
        <v/>
      </c>
      <c r="U4967" s="83" t="str">
        <f t="shared" si="541"/>
        <v/>
      </c>
      <c r="V4967" s="83" t="str">
        <f t="shared" si="542"/>
        <v/>
      </c>
      <c r="AA4967" s="60">
        <f t="shared" si="543"/>
        <v>0</v>
      </c>
      <c r="AB4967" s="49">
        <f t="shared" si="544"/>
        <v>0</v>
      </c>
      <c r="AC4967" s="60">
        <f t="shared" si="545"/>
        <v>0</v>
      </c>
    </row>
    <row r="4968" spans="1:29">
      <c r="A4968" s="83" t="str">
        <f t="shared" si="540"/>
        <v/>
      </c>
      <c r="B4968" s="83" t="str">
        <f t="shared" si="546"/>
        <v/>
      </c>
      <c r="U4968" s="83" t="str">
        <f t="shared" si="541"/>
        <v/>
      </c>
      <c r="V4968" s="83" t="str">
        <f t="shared" si="542"/>
        <v/>
      </c>
      <c r="AA4968" s="60">
        <f t="shared" si="543"/>
        <v>0</v>
      </c>
      <c r="AB4968" s="49">
        <f t="shared" si="544"/>
        <v>0</v>
      </c>
      <c r="AC4968" s="60">
        <f t="shared" si="545"/>
        <v>0</v>
      </c>
    </row>
    <row r="4969" spans="1:29">
      <c r="A4969" s="83" t="str">
        <f t="shared" si="540"/>
        <v/>
      </c>
      <c r="B4969" s="83" t="str">
        <f t="shared" si="546"/>
        <v/>
      </c>
      <c r="U4969" s="83" t="str">
        <f t="shared" si="541"/>
        <v/>
      </c>
      <c r="V4969" s="83" t="str">
        <f t="shared" si="542"/>
        <v/>
      </c>
      <c r="AA4969" s="60">
        <f t="shared" si="543"/>
        <v>0</v>
      </c>
      <c r="AB4969" s="49">
        <f t="shared" si="544"/>
        <v>0</v>
      </c>
      <c r="AC4969" s="60">
        <f t="shared" si="545"/>
        <v>0</v>
      </c>
    </row>
    <row r="4970" spans="1:29">
      <c r="A4970" s="83" t="str">
        <f t="shared" si="540"/>
        <v/>
      </c>
      <c r="B4970" s="83" t="str">
        <f t="shared" si="546"/>
        <v/>
      </c>
      <c r="U4970" s="83" t="str">
        <f t="shared" si="541"/>
        <v/>
      </c>
      <c r="V4970" s="83" t="str">
        <f t="shared" si="542"/>
        <v/>
      </c>
      <c r="AA4970" s="60">
        <f t="shared" si="543"/>
        <v>0</v>
      </c>
      <c r="AB4970" s="49">
        <f t="shared" si="544"/>
        <v>0</v>
      </c>
      <c r="AC4970" s="60">
        <f t="shared" si="545"/>
        <v>0</v>
      </c>
    </row>
    <row r="4971" spans="1:29">
      <c r="A4971" s="83" t="str">
        <f t="shared" si="540"/>
        <v/>
      </c>
      <c r="B4971" s="83" t="str">
        <f t="shared" si="546"/>
        <v/>
      </c>
      <c r="U4971" s="83" t="str">
        <f t="shared" si="541"/>
        <v/>
      </c>
      <c r="V4971" s="83" t="str">
        <f t="shared" si="542"/>
        <v/>
      </c>
      <c r="AA4971" s="60">
        <f t="shared" si="543"/>
        <v>0</v>
      </c>
      <c r="AB4971" s="49">
        <f t="shared" si="544"/>
        <v>0</v>
      </c>
      <c r="AC4971" s="60">
        <f t="shared" si="545"/>
        <v>0</v>
      </c>
    </row>
    <row r="4972" spans="1:29">
      <c r="A4972" s="83" t="str">
        <f t="shared" si="540"/>
        <v/>
      </c>
      <c r="B4972" s="83" t="str">
        <f t="shared" si="546"/>
        <v/>
      </c>
      <c r="U4972" s="83" t="str">
        <f t="shared" si="541"/>
        <v/>
      </c>
      <c r="V4972" s="83" t="str">
        <f t="shared" si="542"/>
        <v/>
      </c>
      <c r="AA4972" s="60">
        <f t="shared" si="543"/>
        <v>0</v>
      </c>
      <c r="AB4972" s="49">
        <f t="shared" si="544"/>
        <v>0</v>
      </c>
      <c r="AC4972" s="60">
        <f t="shared" si="545"/>
        <v>0</v>
      </c>
    </row>
    <row r="4973" spans="1:29">
      <c r="A4973" s="83" t="str">
        <f t="shared" si="540"/>
        <v/>
      </c>
      <c r="B4973" s="83" t="str">
        <f t="shared" si="546"/>
        <v/>
      </c>
      <c r="U4973" s="83" t="str">
        <f t="shared" si="541"/>
        <v/>
      </c>
      <c r="V4973" s="83" t="str">
        <f t="shared" si="542"/>
        <v/>
      </c>
      <c r="AA4973" s="60">
        <f t="shared" si="543"/>
        <v>0</v>
      </c>
      <c r="AB4973" s="49">
        <f t="shared" si="544"/>
        <v>0</v>
      </c>
      <c r="AC4973" s="60">
        <f t="shared" si="545"/>
        <v>0</v>
      </c>
    </row>
    <row r="4974" spans="1:29">
      <c r="A4974" s="83" t="str">
        <f t="shared" si="540"/>
        <v/>
      </c>
      <c r="B4974" s="83" t="str">
        <f t="shared" si="546"/>
        <v/>
      </c>
      <c r="U4974" s="83" t="str">
        <f t="shared" si="541"/>
        <v/>
      </c>
      <c r="V4974" s="83" t="str">
        <f t="shared" si="542"/>
        <v/>
      </c>
      <c r="AA4974" s="60">
        <f t="shared" si="543"/>
        <v>0</v>
      </c>
      <c r="AB4974" s="49">
        <f t="shared" si="544"/>
        <v>0</v>
      </c>
      <c r="AC4974" s="60">
        <f t="shared" si="545"/>
        <v>0</v>
      </c>
    </row>
    <row r="4975" spans="1:29">
      <c r="A4975" s="83" t="str">
        <f t="shared" si="540"/>
        <v/>
      </c>
      <c r="B4975" s="83" t="str">
        <f t="shared" si="546"/>
        <v/>
      </c>
      <c r="U4975" s="83" t="str">
        <f t="shared" si="541"/>
        <v/>
      </c>
      <c r="V4975" s="83" t="str">
        <f t="shared" si="542"/>
        <v/>
      </c>
      <c r="AA4975" s="60">
        <f t="shared" si="543"/>
        <v>0</v>
      </c>
      <c r="AB4975" s="49">
        <f t="shared" si="544"/>
        <v>0</v>
      </c>
      <c r="AC4975" s="60">
        <f t="shared" si="545"/>
        <v>0</v>
      </c>
    </row>
    <row r="4976" spans="1:29">
      <c r="A4976" s="83" t="str">
        <f t="shared" si="540"/>
        <v/>
      </c>
      <c r="B4976" s="83" t="str">
        <f t="shared" si="546"/>
        <v/>
      </c>
      <c r="U4976" s="83" t="str">
        <f t="shared" si="541"/>
        <v/>
      </c>
      <c r="V4976" s="83" t="str">
        <f t="shared" si="542"/>
        <v/>
      </c>
      <c r="AA4976" s="60">
        <f t="shared" si="543"/>
        <v>0</v>
      </c>
      <c r="AB4976" s="49">
        <f t="shared" si="544"/>
        <v>0</v>
      </c>
      <c r="AC4976" s="60">
        <f t="shared" si="545"/>
        <v>0</v>
      </c>
    </row>
    <row r="4977" spans="1:29">
      <c r="A4977" s="83" t="str">
        <f t="shared" si="540"/>
        <v/>
      </c>
      <c r="B4977" s="83" t="str">
        <f t="shared" si="546"/>
        <v/>
      </c>
      <c r="U4977" s="83" t="str">
        <f t="shared" si="541"/>
        <v/>
      </c>
      <c r="V4977" s="83" t="str">
        <f t="shared" si="542"/>
        <v/>
      </c>
      <c r="AA4977" s="60">
        <f t="shared" si="543"/>
        <v>0</v>
      </c>
      <c r="AB4977" s="49">
        <f t="shared" si="544"/>
        <v>0</v>
      </c>
      <c r="AC4977" s="60">
        <f t="shared" si="545"/>
        <v>0</v>
      </c>
    </row>
    <row r="4978" spans="1:29">
      <c r="A4978" s="83" t="str">
        <f t="shared" si="540"/>
        <v/>
      </c>
      <c r="B4978" s="83" t="str">
        <f t="shared" si="546"/>
        <v/>
      </c>
      <c r="U4978" s="83" t="str">
        <f t="shared" si="541"/>
        <v/>
      </c>
      <c r="V4978" s="83" t="str">
        <f t="shared" si="542"/>
        <v/>
      </c>
      <c r="AA4978" s="60">
        <f t="shared" si="543"/>
        <v>0</v>
      </c>
      <c r="AB4978" s="49">
        <f t="shared" si="544"/>
        <v>0</v>
      </c>
      <c r="AC4978" s="60">
        <f t="shared" si="545"/>
        <v>0</v>
      </c>
    </row>
    <row r="4979" spans="1:29">
      <c r="A4979" s="83" t="str">
        <f t="shared" si="540"/>
        <v/>
      </c>
      <c r="B4979" s="83" t="str">
        <f t="shared" si="546"/>
        <v/>
      </c>
      <c r="U4979" s="83" t="str">
        <f t="shared" si="541"/>
        <v/>
      </c>
      <c r="V4979" s="83" t="str">
        <f t="shared" si="542"/>
        <v/>
      </c>
      <c r="AA4979" s="60">
        <f t="shared" si="543"/>
        <v>0</v>
      </c>
      <c r="AB4979" s="49">
        <f t="shared" si="544"/>
        <v>0</v>
      </c>
      <c r="AC4979" s="60">
        <f t="shared" si="545"/>
        <v>0</v>
      </c>
    </row>
    <row r="4980" spans="1:29">
      <c r="A4980" s="83" t="str">
        <f t="shared" si="540"/>
        <v/>
      </c>
      <c r="B4980" s="83" t="str">
        <f t="shared" si="546"/>
        <v/>
      </c>
      <c r="U4980" s="83" t="str">
        <f t="shared" si="541"/>
        <v/>
      </c>
      <c r="V4980" s="83" t="str">
        <f t="shared" si="542"/>
        <v/>
      </c>
      <c r="AA4980" s="60">
        <f t="shared" si="543"/>
        <v>0</v>
      </c>
      <c r="AB4980" s="49">
        <f t="shared" si="544"/>
        <v>0</v>
      </c>
      <c r="AC4980" s="60">
        <f t="shared" si="545"/>
        <v>0</v>
      </c>
    </row>
    <row r="4981" spans="1:29">
      <c r="A4981" s="83" t="str">
        <f t="shared" si="540"/>
        <v/>
      </c>
      <c r="B4981" s="83" t="str">
        <f t="shared" si="546"/>
        <v/>
      </c>
      <c r="U4981" s="83" t="str">
        <f t="shared" si="541"/>
        <v/>
      </c>
      <c r="V4981" s="83" t="str">
        <f t="shared" si="542"/>
        <v/>
      </c>
      <c r="AA4981" s="60">
        <f t="shared" si="543"/>
        <v>0</v>
      </c>
      <c r="AB4981" s="49">
        <f t="shared" si="544"/>
        <v>0</v>
      </c>
      <c r="AC4981" s="60">
        <f t="shared" si="545"/>
        <v>0</v>
      </c>
    </row>
    <row r="4982" spans="1:29">
      <c r="A4982" s="83" t="str">
        <f t="shared" si="540"/>
        <v/>
      </c>
      <c r="B4982" s="83" t="str">
        <f t="shared" si="546"/>
        <v/>
      </c>
      <c r="U4982" s="83" t="str">
        <f t="shared" si="541"/>
        <v/>
      </c>
      <c r="V4982" s="83" t="str">
        <f t="shared" si="542"/>
        <v/>
      </c>
      <c r="AA4982" s="60">
        <f t="shared" si="543"/>
        <v>0</v>
      </c>
      <c r="AB4982" s="49">
        <f t="shared" si="544"/>
        <v>0</v>
      </c>
      <c r="AC4982" s="60">
        <f t="shared" si="545"/>
        <v>0</v>
      </c>
    </row>
    <row r="4983" spans="1:29">
      <c r="A4983" s="83" t="str">
        <f t="shared" si="540"/>
        <v/>
      </c>
      <c r="B4983" s="83" t="str">
        <f t="shared" si="546"/>
        <v/>
      </c>
      <c r="U4983" s="83" t="str">
        <f t="shared" si="541"/>
        <v/>
      </c>
      <c r="V4983" s="83" t="str">
        <f t="shared" si="542"/>
        <v/>
      </c>
      <c r="AA4983" s="60">
        <f t="shared" si="543"/>
        <v>0</v>
      </c>
      <c r="AB4983" s="49">
        <f t="shared" si="544"/>
        <v>0</v>
      </c>
      <c r="AC4983" s="60">
        <f t="shared" si="545"/>
        <v>0</v>
      </c>
    </row>
    <row r="4984" spans="1:29">
      <c r="A4984" s="83" t="str">
        <f t="shared" si="540"/>
        <v/>
      </c>
      <c r="B4984" s="83" t="str">
        <f t="shared" si="546"/>
        <v/>
      </c>
      <c r="U4984" s="83" t="str">
        <f t="shared" si="541"/>
        <v/>
      </c>
      <c r="V4984" s="83" t="str">
        <f t="shared" si="542"/>
        <v/>
      </c>
      <c r="AA4984" s="60">
        <f t="shared" si="543"/>
        <v>0</v>
      </c>
      <c r="AB4984" s="49">
        <f t="shared" si="544"/>
        <v>0</v>
      </c>
      <c r="AC4984" s="60">
        <f t="shared" si="545"/>
        <v>0</v>
      </c>
    </row>
    <row r="4985" spans="1:29">
      <c r="A4985" s="83" t="str">
        <f t="shared" si="540"/>
        <v/>
      </c>
      <c r="B4985" s="83" t="str">
        <f t="shared" si="546"/>
        <v/>
      </c>
      <c r="U4985" s="83" t="str">
        <f t="shared" si="541"/>
        <v/>
      </c>
      <c r="V4985" s="83" t="str">
        <f t="shared" si="542"/>
        <v/>
      </c>
      <c r="AA4985" s="60">
        <f t="shared" si="543"/>
        <v>0</v>
      </c>
      <c r="AB4985" s="49">
        <f t="shared" si="544"/>
        <v>0</v>
      </c>
      <c r="AC4985" s="60">
        <f t="shared" si="545"/>
        <v>0</v>
      </c>
    </row>
    <row r="4986" spans="1:29">
      <c r="A4986" s="83" t="str">
        <f t="shared" si="540"/>
        <v/>
      </c>
      <c r="B4986" s="83" t="str">
        <f t="shared" si="546"/>
        <v/>
      </c>
      <c r="U4986" s="83" t="str">
        <f t="shared" si="541"/>
        <v/>
      </c>
      <c r="V4986" s="83" t="str">
        <f t="shared" si="542"/>
        <v/>
      </c>
      <c r="AA4986" s="60">
        <f t="shared" si="543"/>
        <v>0</v>
      </c>
      <c r="AB4986" s="49">
        <f t="shared" si="544"/>
        <v>0</v>
      </c>
      <c r="AC4986" s="60">
        <f t="shared" si="545"/>
        <v>0</v>
      </c>
    </row>
    <row r="4987" spans="1:29">
      <c r="A4987" s="83" t="str">
        <f t="shared" si="540"/>
        <v/>
      </c>
      <c r="B4987" s="83" t="str">
        <f t="shared" si="546"/>
        <v/>
      </c>
      <c r="U4987" s="83" t="str">
        <f t="shared" si="541"/>
        <v/>
      </c>
      <c r="V4987" s="83" t="str">
        <f t="shared" si="542"/>
        <v/>
      </c>
      <c r="AA4987" s="60">
        <f t="shared" si="543"/>
        <v>0</v>
      </c>
      <c r="AB4987" s="49">
        <f t="shared" si="544"/>
        <v>0</v>
      </c>
      <c r="AC4987" s="60">
        <f t="shared" si="545"/>
        <v>0</v>
      </c>
    </row>
    <row r="4988" spans="1:29">
      <c r="A4988" s="83" t="str">
        <f t="shared" si="540"/>
        <v/>
      </c>
      <c r="B4988" s="83" t="str">
        <f t="shared" si="546"/>
        <v/>
      </c>
      <c r="U4988" s="83" t="str">
        <f t="shared" si="541"/>
        <v/>
      </c>
      <c r="V4988" s="83" t="str">
        <f t="shared" si="542"/>
        <v/>
      </c>
      <c r="AA4988" s="60">
        <f t="shared" si="543"/>
        <v>0</v>
      </c>
      <c r="AB4988" s="49">
        <f t="shared" si="544"/>
        <v>0</v>
      </c>
      <c r="AC4988" s="60">
        <f t="shared" si="545"/>
        <v>0</v>
      </c>
    </row>
    <row r="4989" spans="1:29">
      <c r="A4989" s="83" t="str">
        <f t="shared" si="540"/>
        <v/>
      </c>
      <c r="B4989" s="83" t="str">
        <f t="shared" si="546"/>
        <v/>
      </c>
      <c r="U4989" s="83" t="str">
        <f t="shared" si="541"/>
        <v/>
      </c>
      <c r="V4989" s="83" t="str">
        <f t="shared" si="542"/>
        <v/>
      </c>
      <c r="AA4989" s="60">
        <f t="shared" si="543"/>
        <v>0</v>
      </c>
      <c r="AB4989" s="49">
        <f t="shared" si="544"/>
        <v>0</v>
      </c>
      <c r="AC4989" s="60">
        <f t="shared" si="545"/>
        <v>0</v>
      </c>
    </row>
    <row r="4990" spans="1:29">
      <c r="A4990" s="83" t="str">
        <f t="shared" si="540"/>
        <v/>
      </c>
      <c r="B4990" s="83" t="str">
        <f t="shared" si="546"/>
        <v/>
      </c>
      <c r="U4990" s="83" t="str">
        <f t="shared" si="541"/>
        <v/>
      </c>
      <c r="V4990" s="83" t="str">
        <f t="shared" si="542"/>
        <v/>
      </c>
      <c r="AA4990" s="60">
        <f t="shared" si="543"/>
        <v>0</v>
      </c>
      <c r="AB4990" s="49">
        <f t="shared" si="544"/>
        <v>0</v>
      </c>
      <c r="AC4990" s="60">
        <f t="shared" si="545"/>
        <v>0</v>
      </c>
    </row>
    <row r="4991" spans="1:29">
      <c r="A4991" s="83" t="str">
        <f t="shared" si="540"/>
        <v/>
      </c>
      <c r="B4991" s="83" t="str">
        <f t="shared" si="546"/>
        <v/>
      </c>
      <c r="U4991" s="83" t="str">
        <f t="shared" si="541"/>
        <v/>
      </c>
      <c r="V4991" s="83" t="str">
        <f t="shared" si="542"/>
        <v/>
      </c>
      <c r="AA4991" s="60">
        <f t="shared" si="543"/>
        <v>0</v>
      </c>
      <c r="AB4991" s="49">
        <f t="shared" si="544"/>
        <v>0</v>
      </c>
      <c r="AC4991" s="60">
        <f t="shared" si="545"/>
        <v>0</v>
      </c>
    </row>
    <row r="4992" spans="1:29">
      <c r="A4992" s="83" t="str">
        <f t="shared" si="540"/>
        <v/>
      </c>
      <c r="B4992" s="83" t="str">
        <f t="shared" si="546"/>
        <v/>
      </c>
      <c r="U4992" s="83" t="str">
        <f t="shared" si="541"/>
        <v/>
      </c>
      <c r="V4992" s="83" t="str">
        <f t="shared" si="542"/>
        <v/>
      </c>
      <c r="AA4992" s="60">
        <f t="shared" si="543"/>
        <v>0</v>
      </c>
      <c r="AB4992" s="49">
        <f t="shared" si="544"/>
        <v>0</v>
      </c>
      <c r="AC4992" s="60">
        <f t="shared" si="545"/>
        <v>0</v>
      </c>
    </row>
    <row r="4993" spans="1:29">
      <c r="A4993" s="83" t="str">
        <f t="shared" si="540"/>
        <v/>
      </c>
      <c r="B4993" s="83" t="str">
        <f t="shared" si="546"/>
        <v/>
      </c>
      <c r="U4993" s="83" t="str">
        <f t="shared" si="541"/>
        <v/>
      </c>
      <c r="V4993" s="83" t="str">
        <f t="shared" si="542"/>
        <v/>
      </c>
      <c r="AA4993" s="60">
        <f t="shared" si="543"/>
        <v>0</v>
      </c>
      <c r="AB4993" s="49">
        <f t="shared" si="544"/>
        <v>0</v>
      </c>
      <c r="AC4993" s="60">
        <f t="shared" si="545"/>
        <v>0</v>
      </c>
    </row>
    <row r="4994" spans="1:29">
      <c r="A4994" s="83" t="str">
        <f t="shared" si="540"/>
        <v/>
      </c>
      <c r="B4994" s="83" t="str">
        <f t="shared" si="546"/>
        <v/>
      </c>
      <c r="U4994" s="83" t="str">
        <f t="shared" si="541"/>
        <v/>
      </c>
      <c r="V4994" s="83" t="str">
        <f t="shared" si="542"/>
        <v/>
      </c>
      <c r="AA4994" s="60">
        <f t="shared" si="543"/>
        <v>0</v>
      </c>
      <c r="AB4994" s="49">
        <f t="shared" si="544"/>
        <v>0</v>
      </c>
      <c r="AC4994" s="60">
        <f t="shared" si="545"/>
        <v>0</v>
      </c>
    </row>
    <row r="4995" spans="1:29">
      <c r="A4995" s="83" t="str">
        <f t="shared" ref="A4995:A5058" si="547">IF(G4995&amp;Q4995&lt;&gt;"",U4995&amp;Q4995,"")</f>
        <v/>
      </c>
      <c r="B4995" s="83" t="str">
        <f t="shared" si="546"/>
        <v/>
      </c>
      <c r="U4995" s="83" t="str">
        <f t="shared" ref="U4995:U5058" si="548">IF(G4995&lt;&gt;"",IF(StyleSpaceSplit,IFERROR(IF(FIND(" ",G4995)&gt;=1,MID(G4995,1,FIND(" ",G4995)-1),G4995),G4995),G4995),"")</f>
        <v/>
      </c>
      <c r="V4995" s="83" t="str">
        <f t="shared" ref="V4995:V5058" si="549">IF(A4995&lt;&gt;"",IFERROR(IF(FIND(" ",G4995)&gt;=1,MID(G4995,FIND(" ",G4995)+1,LEN(G4995)),""),G4995),"")</f>
        <v/>
      </c>
      <c r="AA4995" s="60">
        <f t="shared" ref="AA4995:AA5058" si="550">IFERROR(VALUE(MID($C4995,1,2)),0)</f>
        <v>0</v>
      </c>
      <c r="AB4995" s="49">
        <f t="shared" ref="AB4995:AB5058" si="551">IFERROR(VALUE(MID($C4995,4,3)),0)</f>
        <v>0</v>
      </c>
      <c r="AC4995" s="60">
        <f t="shared" ref="AC4995:AC5058" si="552">VALUE(RIGHT("00"&amp;AA4995,2)&amp;RIGHT("000"&amp;AB4995,3))</f>
        <v>0</v>
      </c>
    </row>
    <row r="4996" spans="1:29">
      <c r="A4996" s="83" t="str">
        <f t="shared" si="547"/>
        <v/>
      </c>
      <c r="B4996" s="83" t="str">
        <f t="shared" si="546"/>
        <v/>
      </c>
      <c r="U4996" s="83" t="str">
        <f t="shared" si="548"/>
        <v/>
      </c>
      <c r="V4996" s="83" t="str">
        <f t="shared" si="549"/>
        <v/>
      </c>
      <c r="AA4996" s="60">
        <f t="shared" si="550"/>
        <v>0</v>
      </c>
      <c r="AB4996" s="49">
        <f t="shared" si="551"/>
        <v>0</v>
      </c>
      <c r="AC4996" s="60">
        <f t="shared" si="552"/>
        <v>0</v>
      </c>
    </row>
    <row r="4997" spans="1:29">
      <c r="A4997" s="83" t="str">
        <f t="shared" si="547"/>
        <v/>
      </c>
      <c r="B4997" s="83" t="str">
        <f t="shared" si="546"/>
        <v/>
      </c>
      <c r="U4997" s="83" t="str">
        <f t="shared" si="548"/>
        <v/>
      </c>
      <c r="V4997" s="83" t="str">
        <f t="shared" si="549"/>
        <v/>
      </c>
      <c r="AA4997" s="60">
        <f t="shared" si="550"/>
        <v>0</v>
      </c>
      <c r="AB4997" s="49">
        <f t="shared" si="551"/>
        <v>0</v>
      </c>
      <c r="AC4997" s="60">
        <f t="shared" si="552"/>
        <v>0</v>
      </c>
    </row>
    <row r="4998" spans="1:29">
      <c r="A4998" s="83" t="str">
        <f t="shared" si="547"/>
        <v/>
      </c>
      <c r="B4998" s="83" t="str">
        <f t="shared" si="546"/>
        <v/>
      </c>
      <c r="U4998" s="83" t="str">
        <f t="shared" si="548"/>
        <v/>
      </c>
      <c r="V4998" s="83" t="str">
        <f t="shared" si="549"/>
        <v/>
      </c>
      <c r="AA4998" s="60">
        <f t="shared" si="550"/>
        <v>0</v>
      </c>
      <c r="AB4998" s="49">
        <f t="shared" si="551"/>
        <v>0</v>
      </c>
      <c r="AC4998" s="60">
        <f t="shared" si="552"/>
        <v>0</v>
      </c>
    </row>
    <row r="4999" spans="1:29">
      <c r="A4999" s="83" t="str">
        <f t="shared" si="547"/>
        <v/>
      </c>
      <c r="B4999" s="83" t="str">
        <f t="shared" si="546"/>
        <v/>
      </c>
      <c r="U4999" s="83" t="str">
        <f t="shared" si="548"/>
        <v/>
      </c>
      <c r="V4999" s="83" t="str">
        <f t="shared" si="549"/>
        <v/>
      </c>
      <c r="AA4999" s="60">
        <f t="shared" si="550"/>
        <v>0</v>
      </c>
      <c r="AB4999" s="49">
        <f t="shared" si="551"/>
        <v>0</v>
      </c>
      <c r="AC4999" s="60">
        <f t="shared" si="552"/>
        <v>0</v>
      </c>
    </row>
    <row r="5000" spans="1:29">
      <c r="A5000" s="83" t="str">
        <f t="shared" si="547"/>
        <v/>
      </c>
      <c r="B5000" s="83" t="str">
        <f t="shared" si="546"/>
        <v/>
      </c>
      <c r="U5000" s="83" t="str">
        <f t="shared" si="548"/>
        <v/>
      </c>
      <c r="V5000" s="83" t="str">
        <f t="shared" si="549"/>
        <v/>
      </c>
      <c r="AA5000" s="60">
        <f t="shared" si="550"/>
        <v>0</v>
      </c>
      <c r="AB5000" s="49">
        <f t="shared" si="551"/>
        <v>0</v>
      </c>
      <c r="AC5000" s="60">
        <f t="shared" si="552"/>
        <v>0</v>
      </c>
    </row>
    <row r="5001" spans="1:29">
      <c r="A5001" s="83" t="str">
        <f t="shared" si="547"/>
        <v/>
      </c>
      <c r="B5001" s="83" t="str">
        <f t="shared" si="546"/>
        <v/>
      </c>
      <c r="U5001" s="83" t="str">
        <f t="shared" si="548"/>
        <v/>
      </c>
      <c r="V5001" s="83" t="str">
        <f t="shared" si="549"/>
        <v/>
      </c>
      <c r="AA5001" s="60">
        <f t="shared" si="550"/>
        <v>0</v>
      </c>
      <c r="AB5001" s="49">
        <f t="shared" si="551"/>
        <v>0</v>
      </c>
      <c r="AC5001" s="60">
        <f t="shared" si="552"/>
        <v>0</v>
      </c>
    </row>
    <row r="5002" spans="1:29">
      <c r="A5002" s="83" t="str">
        <f t="shared" si="547"/>
        <v/>
      </c>
      <c r="B5002" s="83" t="str">
        <f t="shared" si="546"/>
        <v/>
      </c>
      <c r="U5002" s="83" t="str">
        <f t="shared" si="548"/>
        <v/>
      </c>
      <c r="V5002" s="83" t="str">
        <f t="shared" si="549"/>
        <v/>
      </c>
      <c r="AA5002" s="60">
        <f t="shared" si="550"/>
        <v>0</v>
      </c>
      <c r="AB5002" s="49">
        <f t="shared" si="551"/>
        <v>0</v>
      </c>
      <c r="AC5002" s="60">
        <f t="shared" si="552"/>
        <v>0</v>
      </c>
    </row>
    <row r="5003" spans="1:29">
      <c r="A5003" s="83" t="str">
        <f t="shared" si="547"/>
        <v/>
      </c>
      <c r="B5003" s="83" t="str">
        <f t="shared" si="546"/>
        <v/>
      </c>
      <c r="U5003" s="83" t="str">
        <f t="shared" si="548"/>
        <v/>
      </c>
      <c r="V5003" s="83" t="str">
        <f t="shared" si="549"/>
        <v/>
      </c>
      <c r="AA5003" s="60">
        <f t="shared" si="550"/>
        <v>0</v>
      </c>
      <c r="AB5003" s="49">
        <f t="shared" si="551"/>
        <v>0</v>
      </c>
      <c r="AC5003" s="60">
        <f t="shared" si="552"/>
        <v>0</v>
      </c>
    </row>
    <row r="5004" spans="1:29">
      <c r="A5004" s="83" t="str">
        <f t="shared" si="547"/>
        <v/>
      </c>
      <c r="B5004" s="83" t="str">
        <f t="shared" si="546"/>
        <v/>
      </c>
      <c r="U5004" s="83" t="str">
        <f t="shared" si="548"/>
        <v/>
      </c>
      <c r="V5004" s="83" t="str">
        <f t="shared" si="549"/>
        <v/>
      </c>
      <c r="AA5004" s="60">
        <f t="shared" si="550"/>
        <v>0</v>
      </c>
      <c r="AB5004" s="49">
        <f t="shared" si="551"/>
        <v>0</v>
      </c>
      <c r="AC5004" s="60">
        <f t="shared" si="552"/>
        <v>0</v>
      </c>
    </row>
    <row r="5005" spans="1:29">
      <c r="A5005" s="83" t="str">
        <f t="shared" si="547"/>
        <v/>
      </c>
      <c r="B5005" s="83" t="str">
        <f t="shared" si="546"/>
        <v/>
      </c>
      <c r="U5005" s="83" t="str">
        <f t="shared" si="548"/>
        <v/>
      </c>
      <c r="V5005" s="83" t="str">
        <f t="shared" si="549"/>
        <v/>
      </c>
      <c r="AA5005" s="60">
        <f t="shared" si="550"/>
        <v>0</v>
      </c>
      <c r="AB5005" s="49">
        <f t="shared" si="551"/>
        <v>0</v>
      </c>
      <c r="AC5005" s="60">
        <f t="shared" si="552"/>
        <v>0</v>
      </c>
    </row>
    <row r="5006" spans="1:29">
      <c r="A5006" s="83" t="str">
        <f t="shared" si="547"/>
        <v/>
      </c>
      <c r="B5006" s="83" t="str">
        <f t="shared" si="546"/>
        <v/>
      </c>
      <c r="U5006" s="83" t="str">
        <f t="shared" si="548"/>
        <v/>
      </c>
      <c r="V5006" s="83" t="str">
        <f t="shared" si="549"/>
        <v/>
      </c>
      <c r="AA5006" s="60">
        <f t="shared" si="550"/>
        <v>0</v>
      </c>
      <c r="AB5006" s="49">
        <f t="shared" si="551"/>
        <v>0</v>
      </c>
      <c r="AC5006" s="60">
        <f t="shared" si="552"/>
        <v>0</v>
      </c>
    </row>
    <row r="5007" spans="1:29">
      <c r="A5007" s="83" t="str">
        <f t="shared" si="547"/>
        <v/>
      </c>
      <c r="B5007" s="83" t="str">
        <f t="shared" si="546"/>
        <v/>
      </c>
      <c r="U5007" s="83" t="str">
        <f t="shared" si="548"/>
        <v/>
      </c>
      <c r="V5007" s="83" t="str">
        <f t="shared" si="549"/>
        <v/>
      </c>
      <c r="AA5007" s="60">
        <f t="shared" si="550"/>
        <v>0</v>
      </c>
      <c r="AB5007" s="49">
        <f t="shared" si="551"/>
        <v>0</v>
      </c>
      <c r="AC5007" s="60">
        <f t="shared" si="552"/>
        <v>0</v>
      </c>
    </row>
    <row r="5008" spans="1:29">
      <c r="A5008" s="83" t="str">
        <f t="shared" si="547"/>
        <v/>
      </c>
      <c r="B5008" s="83" t="str">
        <f t="shared" si="546"/>
        <v/>
      </c>
      <c r="U5008" s="83" t="str">
        <f t="shared" si="548"/>
        <v/>
      </c>
      <c r="V5008" s="83" t="str">
        <f t="shared" si="549"/>
        <v/>
      </c>
      <c r="AA5008" s="60">
        <f t="shared" si="550"/>
        <v>0</v>
      </c>
      <c r="AB5008" s="49">
        <f t="shared" si="551"/>
        <v>0</v>
      </c>
      <c r="AC5008" s="60">
        <f t="shared" si="552"/>
        <v>0</v>
      </c>
    </row>
    <row r="5009" spans="1:29">
      <c r="A5009" s="83" t="str">
        <f t="shared" si="547"/>
        <v/>
      </c>
      <c r="B5009" s="83" t="str">
        <f t="shared" si="546"/>
        <v/>
      </c>
      <c r="U5009" s="83" t="str">
        <f t="shared" si="548"/>
        <v/>
      </c>
      <c r="V5009" s="83" t="str">
        <f t="shared" si="549"/>
        <v/>
      </c>
      <c r="AA5009" s="60">
        <f t="shared" si="550"/>
        <v>0</v>
      </c>
      <c r="AB5009" s="49">
        <f t="shared" si="551"/>
        <v>0</v>
      </c>
      <c r="AC5009" s="60">
        <f t="shared" si="552"/>
        <v>0</v>
      </c>
    </row>
    <row r="5010" spans="1:29">
      <c r="A5010" s="83" t="str">
        <f t="shared" si="547"/>
        <v/>
      </c>
      <c r="B5010" s="83" t="str">
        <f t="shared" si="546"/>
        <v/>
      </c>
      <c r="U5010" s="83" t="str">
        <f t="shared" si="548"/>
        <v/>
      </c>
      <c r="V5010" s="83" t="str">
        <f t="shared" si="549"/>
        <v/>
      </c>
      <c r="AA5010" s="60">
        <f t="shared" si="550"/>
        <v>0</v>
      </c>
      <c r="AB5010" s="49">
        <f t="shared" si="551"/>
        <v>0</v>
      </c>
      <c r="AC5010" s="60">
        <f t="shared" si="552"/>
        <v>0</v>
      </c>
    </row>
    <row r="5011" spans="1:29">
      <c r="A5011" s="83" t="str">
        <f t="shared" si="547"/>
        <v/>
      </c>
      <c r="B5011" s="83" t="str">
        <f t="shared" si="546"/>
        <v/>
      </c>
      <c r="U5011" s="83" t="str">
        <f t="shared" si="548"/>
        <v/>
      </c>
      <c r="V5011" s="83" t="str">
        <f t="shared" si="549"/>
        <v/>
      </c>
      <c r="AA5011" s="60">
        <f t="shared" si="550"/>
        <v>0</v>
      </c>
      <c r="AB5011" s="49">
        <f t="shared" si="551"/>
        <v>0</v>
      </c>
      <c r="AC5011" s="60">
        <f t="shared" si="552"/>
        <v>0</v>
      </c>
    </row>
    <row r="5012" spans="1:29">
      <c r="A5012" s="83" t="str">
        <f t="shared" si="547"/>
        <v/>
      </c>
      <c r="B5012" s="83" t="str">
        <f t="shared" si="546"/>
        <v/>
      </c>
      <c r="U5012" s="83" t="str">
        <f t="shared" si="548"/>
        <v/>
      </c>
      <c r="V5012" s="83" t="str">
        <f t="shared" si="549"/>
        <v/>
      </c>
      <c r="AA5012" s="60">
        <f t="shared" si="550"/>
        <v>0</v>
      </c>
      <c r="AB5012" s="49">
        <f t="shared" si="551"/>
        <v>0</v>
      </c>
      <c r="AC5012" s="60">
        <f t="shared" si="552"/>
        <v>0</v>
      </c>
    </row>
    <row r="5013" spans="1:29">
      <c r="A5013" s="83" t="str">
        <f t="shared" si="547"/>
        <v/>
      </c>
      <c r="B5013" s="83" t="str">
        <f t="shared" si="546"/>
        <v/>
      </c>
      <c r="U5013" s="83" t="str">
        <f t="shared" si="548"/>
        <v/>
      </c>
      <c r="V5013" s="83" t="str">
        <f t="shared" si="549"/>
        <v/>
      </c>
      <c r="AA5013" s="60">
        <f t="shared" si="550"/>
        <v>0</v>
      </c>
      <c r="AB5013" s="49">
        <f t="shared" si="551"/>
        <v>0</v>
      </c>
      <c r="AC5013" s="60">
        <f t="shared" si="552"/>
        <v>0</v>
      </c>
    </row>
    <row r="5014" spans="1:29">
      <c r="A5014" s="83" t="str">
        <f t="shared" si="547"/>
        <v/>
      </c>
      <c r="B5014" s="83" t="str">
        <f t="shared" si="546"/>
        <v/>
      </c>
      <c r="U5014" s="83" t="str">
        <f t="shared" si="548"/>
        <v/>
      </c>
      <c r="V5014" s="83" t="str">
        <f t="shared" si="549"/>
        <v/>
      </c>
      <c r="AA5014" s="60">
        <f t="shared" si="550"/>
        <v>0</v>
      </c>
      <c r="AB5014" s="49">
        <f t="shared" si="551"/>
        <v>0</v>
      </c>
      <c r="AC5014" s="60">
        <f t="shared" si="552"/>
        <v>0</v>
      </c>
    </row>
    <row r="5015" spans="1:29">
      <c r="A5015" s="83" t="str">
        <f t="shared" si="547"/>
        <v/>
      </c>
      <c r="B5015" s="83" t="str">
        <f t="shared" si="546"/>
        <v/>
      </c>
      <c r="U5015" s="83" t="str">
        <f t="shared" si="548"/>
        <v/>
      </c>
      <c r="V5015" s="83" t="str">
        <f t="shared" si="549"/>
        <v/>
      </c>
      <c r="AA5015" s="60">
        <f t="shared" si="550"/>
        <v>0</v>
      </c>
      <c r="AB5015" s="49">
        <f t="shared" si="551"/>
        <v>0</v>
      </c>
      <c r="AC5015" s="60">
        <f t="shared" si="552"/>
        <v>0</v>
      </c>
    </row>
    <row r="5016" spans="1:29">
      <c r="A5016" s="83" t="str">
        <f t="shared" si="547"/>
        <v/>
      </c>
      <c r="B5016" s="83" t="str">
        <f t="shared" si="546"/>
        <v/>
      </c>
      <c r="U5016" s="83" t="str">
        <f t="shared" si="548"/>
        <v/>
      </c>
      <c r="V5016" s="83" t="str">
        <f t="shared" si="549"/>
        <v/>
      </c>
      <c r="AA5016" s="60">
        <f t="shared" si="550"/>
        <v>0</v>
      </c>
      <c r="AB5016" s="49">
        <f t="shared" si="551"/>
        <v>0</v>
      </c>
      <c r="AC5016" s="60">
        <f t="shared" si="552"/>
        <v>0</v>
      </c>
    </row>
    <row r="5017" spans="1:29">
      <c r="A5017" s="83" t="str">
        <f t="shared" si="547"/>
        <v/>
      </c>
      <c r="B5017" s="83" t="str">
        <f t="shared" si="546"/>
        <v/>
      </c>
      <c r="U5017" s="83" t="str">
        <f t="shared" si="548"/>
        <v/>
      </c>
      <c r="V5017" s="83" t="str">
        <f t="shared" si="549"/>
        <v/>
      </c>
      <c r="AA5017" s="60">
        <f t="shared" si="550"/>
        <v>0</v>
      </c>
      <c r="AB5017" s="49">
        <f t="shared" si="551"/>
        <v>0</v>
      </c>
      <c r="AC5017" s="60">
        <f t="shared" si="552"/>
        <v>0</v>
      </c>
    </row>
    <row r="5018" spans="1:29">
      <c r="A5018" s="83" t="str">
        <f t="shared" si="547"/>
        <v/>
      </c>
      <c r="B5018" s="83" t="str">
        <f t="shared" si="546"/>
        <v/>
      </c>
      <c r="U5018" s="83" t="str">
        <f t="shared" si="548"/>
        <v/>
      </c>
      <c r="V5018" s="83" t="str">
        <f t="shared" si="549"/>
        <v/>
      </c>
      <c r="AA5018" s="60">
        <f t="shared" si="550"/>
        <v>0</v>
      </c>
      <c r="AB5018" s="49">
        <f t="shared" si="551"/>
        <v>0</v>
      </c>
      <c r="AC5018" s="60">
        <f t="shared" si="552"/>
        <v>0</v>
      </c>
    </row>
    <row r="5019" spans="1:29">
      <c r="A5019" s="83" t="str">
        <f t="shared" si="547"/>
        <v/>
      </c>
      <c r="B5019" s="83" t="str">
        <f t="shared" si="546"/>
        <v/>
      </c>
      <c r="U5019" s="83" t="str">
        <f t="shared" si="548"/>
        <v/>
      </c>
      <c r="V5019" s="83" t="str">
        <f t="shared" si="549"/>
        <v/>
      </c>
      <c r="AA5019" s="60">
        <f t="shared" si="550"/>
        <v>0</v>
      </c>
      <c r="AB5019" s="49">
        <f t="shared" si="551"/>
        <v>0</v>
      </c>
      <c r="AC5019" s="60">
        <f t="shared" si="552"/>
        <v>0</v>
      </c>
    </row>
    <row r="5020" spans="1:29">
      <c r="A5020" s="83" t="str">
        <f t="shared" si="547"/>
        <v/>
      </c>
      <c r="B5020" s="83" t="str">
        <f t="shared" si="546"/>
        <v/>
      </c>
      <c r="U5020" s="83" t="str">
        <f t="shared" si="548"/>
        <v/>
      </c>
      <c r="V5020" s="83" t="str">
        <f t="shared" si="549"/>
        <v/>
      </c>
      <c r="AA5020" s="60">
        <f t="shared" si="550"/>
        <v>0</v>
      </c>
      <c r="AB5020" s="49">
        <f t="shared" si="551"/>
        <v>0</v>
      </c>
      <c r="AC5020" s="60">
        <f t="shared" si="552"/>
        <v>0</v>
      </c>
    </row>
    <row r="5021" spans="1:29">
      <c r="A5021" s="83" t="str">
        <f t="shared" si="547"/>
        <v/>
      </c>
      <c r="B5021" s="83" t="str">
        <f t="shared" si="546"/>
        <v/>
      </c>
      <c r="U5021" s="83" t="str">
        <f t="shared" si="548"/>
        <v/>
      </c>
      <c r="V5021" s="83" t="str">
        <f t="shared" si="549"/>
        <v/>
      </c>
      <c r="AA5021" s="60">
        <f t="shared" si="550"/>
        <v>0</v>
      </c>
      <c r="AB5021" s="49">
        <f t="shared" si="551"/>
        <v>0</v>
      </c>
      <c r="AC5021" s="60">
        <f t="shared" si="552"/>
        <v>0</v>
      </c>
    </row>
    <row r="5022" spans="1:29">
      <c r="A5022" s="83" t="str">
        <f t="shared" si="547"/>
        <v/>
      </c>
      <c r="B5022" s="83" t="str">
        <f t="shared" si="546"/>
        <v/>
      </c>
      <c r="U5022" s="83" t="str">
        <f t="shared" si="548"/>
        <v/>
      </c>
      <c r="V5022" s="83" t="str">
        <f t="shared" si="549"/>
        <v/>
      </c>
      <c r="AA5022" s="60">
        <f t="shared" si="550"/>
        <v>0</v>
      </c>
      <c r="AB5022" s="49">
        <f t="shared" si="551"/>
        <v>0</v>
      </c>
      <c r="AC5022" s="60">
        <f t="shared" si="552"/>
        <v>0</v>
      </c>
    </row>
    <row r="5023" spans="1:29">
      <c r="A5023" s="83" t="str">
        <f t="shared" si="547"/>
        <v/>
      </c>
      <c r="B5023" s="83" t="str">
        <f t="shared" si="546"/>
        <v/>
      </c>
      <c r="U5023" s="83" t="str">
        <f t="shared" si="548"/>
        <v/>
      </c>
      <c r="V5023" s="83" t="str">
        <f t="shared" si="549"/>
        <v/>
      </c>
      <c r="AA5023" s="60">
        <f t="shared" si="550"/>
        <v>0</v>
      </c>
      <c r="AB5023" s="49">
        <f t="shared" si="551"/>
        <v>0</v>
      </c>
      <c r="AC5023" s="60">
        <f t="shared" si="552"/>
        <v>0</v>
      </c>
    </row>
    <row r="5024" spans="1:29">
      <c r="A5024" s="83" t="str">
        <f t="shared" si="547"/>
        <v/>
      </c>
      <c r="B5024" s="83" t="str">
        <f t="shared" si="546"/>
        <v/>
      </c>
      <c r="U5024" s="83" t="str">
        <f t="shared" si="548"/>
        <v/>
      </c>
      <c r="V5024" s="83" t="str">
        <f t="shared" si="549"/>
        <v/>
      </c>
      <c r="AA5024" s="60">
        <f t="shared" si="550"/>
        <v>0</v>
      </c>
      <c r="AB5024" s="49">
        <f t="shared" si="551"/>
        <v>0</v>
      </c>
      <c r="AC5024" s="60">
        <f t="shared" si="552"/>
        <v>0</v>
      </c>
    </row>
    <row r="5025" spans="1:29">
      <c r="A5025" s="83" t="str">
        <f t="shared" si="547"/>
        <v/>
      </c>
      <c r="B5025" s="83" t="str">
        <f t="shared" ref="B5025:B5088" si="553">IF(C5025&lt;&gt;"",LEFT(C5025,9),"")</f>
        <v/>
      </c>
      <c r="U5025" s="83" t="str">
        <f t="shared" si="548"/>
        <v/>
      </c>
      <c r="V5025" s="83" t="str">
        <f t="shared" si="549"/>
        <v/>
      </c>
      <c r="AA5025" s="60">
        <f t="shared" si="550"/>
        <v>0</v>
      </c>
      <c r="AB5025" s="49">
        <f t="shared" si="551"/>
        <v>0</v>
      </c>
      <c r="AC5025" s="60">
        <f t="shared" si="552"/>
        <v>0</v>
      </c>
    </row>
    <row r="5026" spans="1:29">
      <c r="A5026" s="83" t="str">
        <f t="shared" si="547"/>
        <v/>
      </c>
      <c r="B5026" s="83" t="str">
        <f t="shared" si="553"/>
        <v/>
      </c>
      <c r="U5026" s="83" t="str">
        <f t="shared" si="548"/>
        <v/>
      </c>
      <c r="V5026" s="83" t="str">
        <f t="shared" si="549"/>
        <v/>
      </c>
      <c r="AA5026" s="60">
        <f t="shared" si="550"/>
        <v>0</v>
      </c>
      <c r="AB5026" s="49">
        <f t="shared" si="551"/>
        <v>0</v>
      </c>
      <c r="AC5026" s="60">
        <f t="shared" si="552"/>
        <v>0</v>
      </c>
    </row>
    <row r="5027" spans="1:29">
      <c r="A5027" s="83" t="str">
        <f t="shared" si="547"/>
        <v/>
      </c>
      <c r="B5027" s="83" t="str">
        <f t="shared" si="553"/>
        <v/>
      </c>
      <c r="U5027" s="83" t="str">
        <f t="shared" si="548"/>
        <v/>
      </c>
      <c r="V5027" s="83" t="str">
        <f t="shared" si="549"/>
        <v/>
      </c>
      <c r="AA5027" s="60">
        <f t="shared" si="550"/>
        <v>0</v>
      </c>
      <c r="AB5027" s="49">
        <f t="shared" si="551"/>
        <v>0</v>
      </c>
      <c r="AC5027" s="60">
        <f t="shared" si="552"/>
        <v>0</v>
      </c>
    </row>
    <row r="5028" spans="1:29">
      <c r="A5028" s="83" t="str">
        <f t="shared" si="547"/>
        <v/>
      </c>
      <c r="B5028" s="83" t="str">
        <f t="shared" si="553"/>
        <v/>
      </c>
      <c r="U5028" s="83" t="str">
        <f t="shared" si="548"/>
        <v/>
      </c>
      <c r="V5028" s="83" t="str">
        <f t="shared" si="549"/>
        <v/>
      </c>
      <c r="AA5028" s="60">
        <f t="shared" si="550"/>
        <v>0</v>
      </c>
      <c r="AB5028" s="49">
        <f t="shared" si="551"/>
        <v>0</v>
      </c>
      <c r="AC5028" s="60">
        <f t="shared" si="552"/>
        <v>0</v>
      </c>
    </row>
    <row r="5029" spans="1:29">
      <c r="A5029" s="83" t="str">
        <f t="shared" si="547"/>
        <v/>
      </c>
      <c r="B5029" s="83" t="str">
        <f t="shared" si="553"/>
        <v/>
      </c>
      <c r="U5029" s="83" t="str">
        <f t="shared" si="548"/>
        <v/>
      </c>
      <c r="V5029" s="83" t="str">
        <f t="shared" si="549"/>
        <v/>
      </c>
      <c r="AA5029" s="60">
        <f t="shared" si="550"/>
        <v>0</v>
      </c>
      <c r="AB5029" s="49">
        <f t="shared" si="551"/>
        <v>0</v>
      </c>
      <c r="AC5029" s="60">
        <f t="shared" si="552"/>
        <v>0</v>
      </c>
    </row>
    <row r="5030" spans="1:29">
      <c r="A5030" s="83" t="str">
        <f t="shared" si="547"/>
        <v/>
      </c>
      <c r="B5030" s="83" t="str">
        <f t="shared" si="553"/>
        <v/>
      </c>
      <c r="U5030" s="83" t="str">
        <f t="shared" si="548"/>
        <v/>
      </c>
      <c r="V5030" s="83" t="str">
        <f t="shared" si="549"/>
        <v/>
      </c>
      <c r="AA5030" s="60">
        <f t="shared" si="550"/>
        <v>0</v>
      </c>
      <c r="AB5030" s="49">
        <f t="shared" si="551"/>
        <v>0</v>
      </c>
      <c r="AC5030" s="60">
        <f t="shared" si="552"/>
        <v>0</v>
      </c>
    </row>
    <row r="5031" spans="1:29">
      <c r="A5031" s="83" t="str">
        <f t="shared" si="547"/>
        <v/>
      </c>
      <c r="B5031" s="83" t="str">
        <f t="shared" si="553"/>
        <v/>
      </c>
      <c r="U5031" s="83" t="str">
        <f t="shared" si="548"/>
        <v/>
      </c>
      <c r="V5031" s="83" t="str">
        <f t="shared" si="549"/>
        <v/>
      </c>
      <c r="AA5031" s="60">
        <f t="shared" si="550"/>
        <v>0</v>
      </c>
      <c r="AB5031" s="49">
        <f t="shared" si="551"/>
        <v>0</v>
      </c>
      <c r="AC5031" s="60">
        <f t="shared" si="552"/>
        <v>0</v>
      </c>
    </row>
    <row r="5032" spans="1:29">
      <c r="A5032" s="83" t="str">
        <f t="shared" si="547"/>
        <v/>
      </c>
      <c r="B5032" s="83" t="str">
        <f t="shared" si="553"/>
        <v/>
      </c>
      <c r="U5032" s="83" t="str">
        <f t="shared" si="548"/>
        <v/>
      </c>
      <c r="V5032" s="83" t="str">
        <f t="shared" si="549"/>
        <v/>
      </c>
      <c r="AA5032" s="60">
        <f t="shared" si="550"/>
        <v>0</v>
      </c>
      <c r="AB5032" s="49">
        <f t="shared" si="551"/>
        <v>0</v>
      </c>
      <c r="AC5032" s="60">
        <f t="shared" si="552"/>
        <v>0</v>
      </c>
    </row>
    <row r="5033" spans="1:29">
      <c r="A5033" s="83" t="str">
        <f t="shared" si="547"/>
        <v/>
      </c>
      <c r="B5033" s="83" t="str">
        <f t="shared" si="553"/>
        <v/>
      </c>
      <c r="U5033" s="83" t="str">
        <f t="shared" si="548"/>
        <v/>
      </c>
      <c r="V5033" s="83" t="str">
        <f t="shared" si="549"/>
        <v/>
      </c>
      <c r="AA5033" s="60">
        <f t="shared" si="550"/>
        <v>0</v>
      </c>
      <c r="AB5033" s="49">
        <f t="shared" si="551"/>
        <v>0</v>
      </c>
      <c r="AC5033" s="60">
        <f t="shared" si="552"/>
        <v>0</v>
      </c>
    </row>
    <row r="5034" spans="1:29">
      <c r="A5034" s="83" t="str">
        <f t="shared" si="547"/>
        <v/>
      </c>
      <c r="B5034" s="83" t="str">
        <f t="shared" si="553"/>
        <v/>
      </c>
      <c r="U5034" s="83" t="str">
        <f t="shared" si="548"/>
        <v/>
      </c>
      <c r="V5034" s="83" t="str">
        <f t="shared" si="549"/>
        <v/>
      </c>
      <c r="AA5034" s="60">
        <f t="shared" si="550"/>
        <v>0</v>
      </c>
      <c r="AB5034" s="49">
        <f t="shared" si="551"/>
        <v>0</v>
      </c>
      <c r="AC5034" s="60">
        <f t="shared" si="552"/>
        <v>0</v>
      </c>
    </row>
    <row r="5035" spans="1:29">
      <c r="A5035" s="83" t="str">
        <f t="shared" si="547"/>
        <v/>
      </c>
      <c r="B5035" s="83" t="str">
        <f t="shared" si="553"/>
        <v/>
      </c>
      <c r="U5035" s="83" t="str">
        <f t="shared" si="548"/>
        <v/>
      </c>
      <c r="V5035" s="83" t="str">
        <f t="shared" si="549"/>
        <v/>
      </c>
      <c r="AA5035" s="60">
        <f t="shared" si="550"/>
        <v>0</v>
      </c>
      <c r="AB5035" s="49">
        <f t="shared" si="551"/>
        <v>0</v>
      </c>
      <c r="AC5035" s="60">
        <f t="shared" si="552"/>
        <v>0</v>
      </c>
    </row>
    <row r="5036" spans="1:29">
      <c r="A5036" s="83" t="str">
        <f t="shared" si="547"/>
        <v/>
      </c>
      <c r="B5036" s="83" t="str">
        <f t="shared" si="553"/>
        <v/>
      </c>
      <c r="U5036" s="83" t="str">
        <f t="shared" si="548"/>
        <v/>
      </c>
      <c r="V5036" s="83" t="str">
        <f t="shared" si="549"/>
        <v/>
      </c>
      <c r="AA5036" s="60">
        <f t="shared" si="550"/>
        <v>0</v>
      </c>
      <c r="AB5036" s="49">
        <f t="shared" si="551"/>
        <v>0</v>
      </c>
      <c r="AC5036" s="60">
        <f t="shared" si="552"/>
        <v>0</v>
      </c>
    </row>
    <row r="5037" spans="1:29">
      <c r="A5037" s="83" t="str">
        <f t="shared" si="547"/>
        <v/>
      </c>
      <c r="B5037" s="83" t="str">
        <f t="shared" si="553"/>
        <v/>
      </c>
      <c r="U5037" s="83" t="str">
        <f t="shared" si="548"/>
        <v/>
      </c>
      <c r="V5037" s="83" t="str">
        <f t="shared" si="549"/>
        <v/>
      </c>
      <c r="AA5037" s="60">
        <f t="shared" si="550"/>
        <v>0</v>
      </c>
      <c r="AB5037" s="49">
        <f t="shared" si="551"/>
        <v>0</v>
      </c>
      <c r="AC5037" s="60">
        <f t="shared" si="552"/>
        <v>0</v>
      </c>
    </row>
    <row r="5038" spans="1:29">
      <c r="A5038" s="83" t="str">
        <f t="shared" si="547"/>
        <v/>
      </c>
      <c r="B5038" s="83" t="str">
        <f t="shared" si="553"/>
        <v/>
      </c>
      <c r="U5038" s="83" t="str">
        <f t="shared" si="548"/>
        <v/>
      </c>
      <c r="V5038" s="83" t="str">
        <f t="shared" si="549"/>
        <v/>
      </c>
      <c r="AA5038" s="60">
        <f t="shared" si="550"/>
        <v>0</v>
      </c>
      <c r="AB5038" s="49">
        <f t="shared" si="551"/>
        <v>0</v>
      </c>
      <c r="AC5038" s="60">
        <f t="shared" si="552"/>
        <v>0</v>
      </c>
    </row>
    <row r="5039" spans="1:29">
      <c r="A5039" s="83" t="str">
        <f t="shared" si="547"/>
        <v/>
      </c>
      <c r="B5039" s="83" t="str">
        <f t="shared" si="553"/>
        <v/>
      </c>
      <c r="U5039" s="83" t="str">
        <f t="shared" si="548"/>
        <v/>
      </c>
      <c r="V5039" s="83" t="str">
        <f t="shared" si="549"/>
        <v/>
      </c>
      <c r="AA5039" s="60">
        <f t="shared" si="550"/>
        <v>0</v>
      </c>
      <c r="AB5039" s="49">
        <f t="shared" si="551"/>
        <v>0</v>
      </c>
      <c r="AC5039" s="60">
        <f t="shared" si="552"/>
        <v>0</v>
      </c>
    </row>
    <row r="5040" spans="1:29">
      <c r="A5040" s="83" t="str">
        <f t="shared" si="547"/>
        <v/>
      </c>
      <c r="B5040" s="83" t="str">
        <f t="shared" si="553"/>
        <v/>
      </c>
      <c r="U5040" s="83" t="str">
        <f t="shared" si="548"/>
        <v/>
      </c>
      <c r="V5040" s="83" t="str">
        <f t="shared" si="549"/>
        <v/>
      </c>
      <c r="AA5040" s="60">
        <f t="shared" si="550"/>
        <v>0</v>
      </c>
      <c r="AB5040" s="49">
        <f t="shared" si="551"/>
        <v>0</v>
      </c>
      <c r="AC5040" s="60">
        <f t="shared" si="552"/>
        <v>0</v>
      </c>
    </row>
    <row r="5041" spans="1:29">
      <c r="A5041" s="83" t="str">
        <f t="shared" si="547"/>
        <v/>
      </c>
      <c r="B5041" s="83" t="str">
        <f t="shared" si="553"/>
        <v/>
      </c>
      <c r="U5041" s="83" t="str">
        <f t="shared" si="548"/>
        <v/>
      </c>
      <c r="V5041" s="83" t="str">
        <f t="shared" si="549"/>
        <v/>
      </c>
      <c r="AA5041" s="60">
        <f t="shared" si="550"/>
        <v>0</v>
      </c>
      <c r="AB5041" s="49">
        <f t="shared" si="551"/>
        <v>0</v>
      </c>
      <c r="AC5041" s="60">
        <f t="shared" si="552"/>
        <v>0</v>
      </c>
    </row>
    <row r="5042" spans="1:29">
      <c r="A5042" s="83" t="str">
        <f t="shared" si="547"/>
        <v/>
      </c>
      <c r="B5042" s="83" t="str">
        <f t="shared" si="553"/>
        <v/>
      </c>
      <c r="U5042" s="83" t="str">
        <f t="shared" si="548"/>
        <v/>
      </c>
      <c r="V5042" s="83" t="str">
        <f t="shared" si="549"/>
        <v/>
      </c>
      <c r="AA5042" s="60">
        <f t="shared" si="550"/>
        <v>0</v>
      </c>
      <c r="AB5042" s="49">
        <f t="shared" si="551"/>
        <v>0</v>
      </c>
      <c r="AC5042" s="60">
        <f t="shared" si="552"/>
        <v>0</v>
      </c>
    </row>
    <row r="5043" spans="1:29">
      <c r="A5043" s="83" t="str">
        <f t="shared" si="547"/>
        <v/>
      </c>
      <c r="B5043" s="83" t="str">
        <f t="shared" si="553"/>
        <v/>
      </c>
      <c r="U5043" s="83" t="str">
        <f t="shared" si="548"/>
        <v/>
      </c>
      <c r="V5043" s="83" t="str">
        <f t="shared" si="549"/>
        <v/>
      </c>
      <c r="AA5043" s="60">
        <f t="shared" si="550"/>
        <v>0</v>
      </c>
      <c r="AB5043" s="49">
        <f t="shared" si="551"/>
        <v>0</v>
      </c>
      <c r="AC5043" s="60">
        <f t="shared" si="552"/>
        <v>0</v>
      </c>
    </row>
    <row r="5044" spans="1:29">
      <c r="A5044" s="83" t="str">
        <f t="shared" si="547"/>
        <v/>
      </c>
      <c r="B5044" s="83" t="str">
        <f t="shared" si="553"/>
        <v/>
      </c>
      <c r="U5044" s="83" t="str">
        <f t="shared" si="548"/>
        <v/>
      </c>
      <c r="V5044" s="83" t="str">
        <f t="shared" si="549"/>
        <v/>
      </c>
      <c r="AA5044" s="60">
        <f t="shared" si="550"/>
        <v>0</v>
      </c>
      <c r="AB5044" s="49">
        <f t="shared" si="551"/>
        <v>0</v>
      </c>
      <c r="AC5044" s="60">
        <f t="shared" si="552"/>
        <v>0</v>
      </c>
    </row>
    <row r="5045" spans="1:29">
      <c r="A5045" s="83" t="str">
        <f t="shared" si="547"/>
        <v/>
      </c>
      <c r="B5045" s="83" t="str">
        <f t="shared" si="553"/>
        <v/>
      </c>
      <c r="U5045" s="83" t="str">
        <f t="shared" si="548"/>
        <v/>
      </c>
      <c r="V5045" s="83" t="str">
        <f t="shared" si="549"/>
        <v/>
      </c>
      <c r="AA5045" s="60">
        <f t="shared" si="550"/>
        <v>0</v>
      </c>
      <c r="AB5045" s="49">
        <f t="shared" si="551"/>
        <v>0</v>
      </c>
      <c r="AC5045" s="60">
        <f t="shared" si="552"/>
        <v>0</v>
      </c>
    </row>
    <row r="5046" spans="1:29">
      <c r="A5046" s="83" t="str">
        <f t="shared" si="547"/>
        <v/>
      </c>
      <c r="B5046" s="83" t="str">
        <f t="shared" si="553"/>
        <v/>
      </c>
      <c r="U5046" s="83" t="str">
        <f t="shared" si="548"/>
        <v/>
      </c>
      <c r="V5046" s="83" t="str">
        <f t="shared" si="549"/>
        <v/>
      </c>
      <c r="AA5046" s="60">
        <f t="shared" si="550"/>
        <v>0</v>
      </c>
      <c r="AB5046" s="49">
        <f t="shared" si="551"/>
        <v>0</v>
      </c>
      <c r="AC5046" s="60">
        <f t="shared" si="552"/>
        <v>0</v>
      </c>
    </row>
    <row r="5047" spans="1:29">
      <c r="A5047" s="83" t="str">
        <f t="shared" si="547"/>
        <v/>
      </c>
      <c r="B5047" s="83" t="str">
        <f t="shared" si="553"/>
        <v/>
      </c>
      <c r="U5047" s="83" t="str">
        <f t="shared" si="548"/>
        <v/>
      </c>
      <c r="V5047" s="83" t="str">
        <f t="shared" si="549"/>
        <v/>
      </c>
      <c r="AA5047" s="60">
        <f t="shared" si="550"/>
        <v>0</v>
      </c>
      <c r="AB5047" s="49">
        <f t="shared" si="551"/>
        <v>0</v>
      </c>
      <c r="AC5047" s="60">
        <f t="shared" si="552"/>
        <v>0</v>
      </c>
    </row>
    <row r="5048" spans="1:29">
      <c r="A5048" s="83" t="str">
        <f t="shared" si="547"/>
        <v/>
      </c>
      <c r="B5048" s="83" t="str">
        <f t="shared" si="553"/>
        <v/>
      </c>
      <c r="U5048" s="83" t="str">
        <f t="shared" si="548"/>
        <v/>
      </c>
      <c r="V5048" s="83" t="str">
        <f t="shared" si="549"/>
        <v/>
      </c>
      <c r="AA5048" s="60">
        <f t="shared" si="550"/>
        <v>0</v>
      </c>
      <c r="AB5048" s="49">
        <f t="shared" si="551"/>
        <v>0</v>
      </c>
      <c r="AC5048" s="60">
        <f t="shared" si="552"/>
        <v>0</v>
      </c>
    </row>
    <row r="5049" spans="1:29">
      <c r="A5049" s="83" t="str">
        <f t="shared" si="547"/>
        <v/>
      </c>
      <c r="B5049" s="83" t="str">
        <f t="shared" si="553"/>
        <v/>
      </c>
      <c r="U5049" s="83" t="str">
        <f t="shared" si="548"/>
        <v/>
      </c>
      <c r="V5049" s="83" t="str">
        <f t="shared" si="549"/>
        <v/>
      </c>
      <c r="AA5049" s="60">
        <f t="shared" si="550"/>
        <v>0</v>
      </c>
      <c r="AB5049" s="49">
        <f t="shared" si="551"/>
        <v>0</v>
      </c>
      <c r="AC5049" s="60">
        <f t="shared" si="552"/>
        <v>0</v>
      </c>
    </row>
    <row r="5050" spans="1:29">
      <c r="A5050" s="83" t="str">
        <f t="shared" si="547"/>
        <v/>
      </c>
      <c r="B5050" s="83" t="str">
        <f t="shared" si="553"/>
        <v/>
      </c>
      <c r="U5050" s="83" t="str">
        <f t="shared" si="548"/>
        <v/>
      </c>
      <c r="V5050" s="83" t="str">
        <f t="shared" si="549"/>
        <v/>
      </c>
      <c r="AA5050" s="60">
        <f t="shared" si="550"/>
        <v>0</v>
      </c>
      <c r="AB5050" s="49">
        <f t="shared" si="551"/>
        <v>0</v>
      </c>
      <c r="AC5050" s="60">
        <f t="shared" si="552"/>
        <v>0</v>
      </c>
    </row>
    <row r="5051" spans="1:29">
      <c r="A5051" s="83" t="str">
        <f t="shared" si="547"/>
        <v/>
      </c>
      <c r="B5051" s="83" t="str">
        <f t="shared" si="553"/>
        <v/>
      </c>
      <c r="U5051" s="83" t="str">
        <f t="shared" si="548"/>
        <v/>
      </c>
      <c r="V5051" s="83" t="str">
        <f t="shared" si="549"/>
        <v/>
      </c>
      <c r="AA5051" s="60">
        <f t="shared" si="550"/>
        <v>0</v>
      </c>
      <c r="AB5051" s="49">
        <f t="shared" si="551"/>
        <v>0</v>
      </c>
      <c r="AC5051" s="60">
        <f t="shared" si="552"/>
        <v>0</v>
      </c>
    </row>
    <row r="5052" spans="1:29">
      <c r="A5052" s="83" t="str">
        <f t="shared" si="547"/>
        <v/>
      </c>
      <c r="B5052" s="83" t="str">
        <f t="shared" si="553"/>
        <v/>
      </c>
      <c r="U5052" s="83" t="str">
        <f t="shared" si="548"/>
        <v/>
      </c>
      <c r="V5052" s="83" t="str">
        <f t="shared" si="549"/>
        <v/>
      </c>
      <c r="AA5052" s="60">
        <f t="shared" si="550"/>
        <v>0</v>
      </c>
      <c r="AB5052" s="49">
        <f t="shared" si="551"/>
        <v>0</v>
      </c>
      <c r="AC5052" s="60">
        <f t="shared" si="552"/>
        <v>0</v>
      </c>
    </row>
    <row r="5053" spans="1:29">
      <c r="A5053" s="83" t="str">
        <f t="shared" si="547"/>
        <v/>
      </c>
      <c r="B5053" s="83" t="str">
        <f t="shared" si="553"/>
        <v/>
      </c>
      <c r="U5053" s="83" t="str">
        <f t="shared" si="548"/>
        <v/>
      </c>
      <c r="V5053" s="83" t="str">
        <f t="shared" si="549"/>
        <v/>
      </c>
      <c r="AA5053" s="60">
        <f t="shared" si="550"/>
        <v>0</v>
      </c>
      <c r="AB5053" s="49">
        <f t="shared" si="551"/>
        <v>0</v>
      </c>
      <c r="AC5053" s="60">
        <f t="shared" si="552"/>
        <v>0</v>
      </c>
    </row>
    <row r="5054" spans="1:29">
      <c r="A5054" s="83" t="str">
        <f t="shared" si="547"/>
        <v/>
      </c>
      <c r="B5054" s="83" t="str">
        <f t="shared" si="553"/>
        <v/>
      </c>
      <c r="U5054" s="83" t="str">
        <f t="shared" si="548"/>
        <v/>
      </c>
      <c r="V5054" s="83" t="str">
        <f t="shared" si="549"/>
        <v/>
      </c>
      <c r="AA5054" s="60">
        <f t="shared" si="550"/>
        <v>0</v>
      </c>
      <c r="AB5054" s="49">
        <f t="shared" si="551"/>
        <v>0</v>
      </c>
      <c r="AC5054" s="60">
        <f t="shared" si="552"/>
        <v>0</v>
      </c>
    </row>
    <row r="5055" spans="1:29">
      <c r="A5055" s="83" t="str">
        <f t="shared" si="547"/>
        <v/>
      </c>
      <c r="B5055" s="83" t="str">
        <f t="shared" si="553"/>
        <v/>
      </c>
      <c r="U5055" s="83" t="str">
        <f t="shared" si="548"/>
        <v/>
      </c>
      <c r="V5055" s="83" t="str">
        <f t="shared" si="549"/>
        <v/>
      </c>
      <c r="AA5055" s="60">
        <f t="shared" si="550"/>
        <v>0</v>
      </c>
      <c r="AB5055" s="49">
        <f t="shared" si="551"/>
        <v>0</v>
      </c>
      <c r="AC5055" s="60">
        <f t="shared" si="552"/>
        <v>0</v>
      </c>
    </row>
    <row r="5056" spans="1:29">
      <c r="A5056" s="83" t="str">
        <f t="shared" si="547"/>
        <v/>
      </c>
      <c r="B5056" s="83" t="str">
        <f t="shared" si="553"/>
        <v/>
      </c>
      <c r="U5056" s="83" t="str">
        <f t="shared" si="548"/>
        <v/>
      </c>
      <c r="V5056" s="83" t="str">
        <f t="shared" si="549"/>
        <v/>
      </c>
      <c r="AA5056" s="60">
        <f t="shared" si="550"/>
        <v>0</v>
      </c>
      <c r="AB5056" s="49">
        <f t="shared" si="551"/>
        <v>0</v>
      </c>
      <c r="AC5056" s="60">
        <f t="shared" si="552"/>
        <v>0</v>
      </c>
    </row>
    <row r="5057" spans="1:29">
      <c r="A5057" s="83" t="str">
        <f t="shared" si="547"/>
        <v/>
      </c>
      <c r="B5057" s="83" t="str">
        <f t="shared" si="553"/>
        <v/>
      </c>
      <c r="U5057" s="83" t="str">
        <f t="shared" si="548"/>
        <v/>
      </c>
      <c r="V5057" s="83" t="str">
        <f t="shared" si="549"/>
        <v/>
      </c>
      <c r="AA5057" s="60">
        <f t="shared" si="550"/>
        <v>0</v>
      </c>
      <c r="AB5057" s="49">
        <f t="shared" si="551"/>
        <v>0</v>
      </c>
      <c r="AC5057" s="60">
        <f t="shared" si="552"/>
        <v>0</v>
      </c>
    </row>
    <row r="5058" spans="1:29">
      <c r="A5058" s="83" t="str">
        <f t="shared" si="547"/>
        <v/>
      </c>
      <c r="B5058" s="83" t="str">
        <f t="shared" si="553"/>
        <v/>
      </c>
      <c r="U5058" s="83" t="str">
        <f t="shared" si="548"/>
        <v/>
      </c>
      <c r="V5058" s="83" t="str">
        <f t="shared" si="549"/>
        <v/>
      </c>
      <c r="AA5058" s="60">
        <f t="shared" si="550"/>
        <v>0</v>
      </c>
      <c r="AB5058" s="49">
        <f t="shared" si="551"/>
        <v>0</v>
      </c>
      <c r="AC5058" s="60">
        <f t="shared" si="552"/>
        <v>0</v>
      </c>
    </row>
    <row r="5059" spans="1:29">
      <c r="A5059" s="83" t="str">
        <f t="shared" ref="A5059:A5122" si="554">IF(G5059&amp;Q5059&lt;&gt;"",U5059&amp;Q5059,"")</f>
        <v/>
      </c>
      <c r="B5059" s="83" t="str">
        <f t="shared" si="553"/>
        <v/>
      </c>
      <c r="U5059" s="83" t="str">
        <f t="shared" ref="U5059:U5122" si="555">IF(G5059&lt;&gt;"",IF(StyleSpaceSplit,IFERROR(IF(FIND(" ",G5059)&gt;=1,MID(G5059,1,FIND(" ",G5059)-1),G5059),G5059),G5059),"")</f>
        <v/>
      </c>
      <c r="V5059" s="83" t="str">
        <f t="shared" ref="V5059:V5122" si="556">IF(A5059&lt;&gt;"",IFERROR(IF(FIND(" ",G5059)&gt;=1,MID(G5059,FIND(" ",G5059)+1,LEN(G5059)),""),G5059),"")</f>
        <v/>
      </c>
      <c r="AA5059" s="60">
        <f t="shared" ref="AA5059:AA5122" si="557">IFERROR(VALUE(MID($C5059,1,2)),0)</f>
        <v>0</v>
      </c>
      <c r="AB5059" s="49">
        <f t="shared" ref="AB5059:AB5122" si="558">IFERROR(VALUE(MID($C5059,4,3)),0)</f>
        <v>0</v>
      </c>
      <c r="AC5059" s="60">
        <f t="shared" ref="AC5059:AC5122" si="559">VALUE(RIGHT("00"&amp;AA5059,2)&amp;RIGHT("000"&amp;AB5059,3))</f>
        <v>0</v>
      </c>
    </row>
    <row r="5060" spans="1:29">
      <c r="A5060" s="83" t="str">
        <f t="shared" si="554"/>
        <v/>
      </c>
      <c r="B5060" s="83" t="str">
        <f t="shared" si="553"/>
        <v/>
      </c>
      <c r="U5060" s="83" t="str">
        <f t="shared" si="555"/>
        <v/>
      </c>
      <c r="V5060" s="83" t="str">
        <f t="shared" si="556"/>
        <v/>
      </c>
      <c r="AA5060" s="60">
        <f t="shared" si="557"/>
        <v>0</v>
      </c>
      <c r="AB5060" s="49">
        <f t="shared" si="558"/>
        <v>0</v>
      </c>
      <c r="AC5060" s="60">
        <f t="shared" si="559"/>
        <v>0</v>
      </c>
    </row>
    <row r="5061" spans="1:29">
      <c r="A5061" s="83" t="str">
        <f t="shared" si="554"/>
        <v/>
      </c>
      <c r="B5061" s="83" t="str">
        <f t="shared" si="553"/>
        <v/>
      </c>
      <c r="U5061" s="83" t="str">
        <f t="shared" si="555"/>
        <v/>
      </c>
      <c r="V5061" s="83" t="str">
        <f t="shared" si="556"/>
        <v/>
      </c>
      <c r="AA5061" s="60">
        <f t="shared" si="557"/>
        <v>0</v>
      </c>
      <c r="AB5061" s="49">
        <f t="shared" si="558"/>
        <v>0</v>
      </c>
      <c r="AC5061" s="60">
        <f t="shared" si="559"/>
        <v>0</v>
      </c>
    </row>
    <row r="5062" spans="1:29">
      <c r="A5062" s="83" t="str">
        <f t="shared" si="554"/>
        <v/>
      </c>
      <c r="B5062" s="83" t="str">
        <f t="shared" si="553"/>
        <v/>
      </c>
      <c r="U5062" s="83" t="str">
        <f t="shared" si="555"/>
        <v/>
      </c>
      <c r="V5062" s="83" t="str">
        <f t="shared" si="556"/>
        <v/>
      </c>
      <c r="AA5062" s="60">
        <f t="shared" si="557"/>
        <v>0</v>
      </c>
      <c r="AB5062" s="49">
        <f t="shared" si="558"/>
        <v>0</v>
      </c>
      <c r="AC5062" s="60">
        <f t="shared" si="559"/>
        <v>0</v>
      </c>
    </row>
    <row r="5063" spans="1:29">
      <c r="A5063" s="83" t="str">
        <f t="shared" si="554"/>
        <v/>
      </c>
      <c r="B5063" s="83" t="str">
        <f t="shared" si="553"/>
        <v/>
      </c>
      <c r="U5063" s="83" t="str">
        <f t="shared" si="555"/>
        <v/>
      </c>
      <c r="V5063" s="83" t="str">
        <f t="shared" si="556"/>
        <v/>
      </c>
      <c r="AA5063" s="60">
        <f t="shared" si="557"/>
        <v>0</v>
      </c>
      <c r="AB5063" s="49">
        <f t="shared" si="558"/>
        <v>0</v>
      </c>
      <c r="AC5063" s="60">
        <f t="shared" si="559"/>
        <v>0</v>
      </c>
    </row>
    <row r="5064" spans="1:29">
      <c r="A5064" s="83" t="str">
        <f t="shared" si="554"/>
        <v/>
      </c>
      <c r="B5064" s="83" t="str">
        <f t="shared" si="553"/>
        <v/>
      </c>
      <c r="U5064" s="83" t="str">
        <f t="shared" si="555"/>
        <v/>
      </c>
      <c r="V5064" s="83" t="str">
        <f t="shared" si="556"/>
        <v/>
      </c>
      <c r="AA5064" s="60">
        <f t="shared" si="557"/>
        <v>0</v>
      </c>
      <c r="AB5064" s="49">
        <f t="shared" si="558"/>
        <v>0</v>
      </c>
      <c r="AC5064" s="60">
        <f t="shared" si="559"/>
        <v>0</v>
      </c>
    </row>
    <row r="5065" spans="1:29">
      <c r="A5065" s="83" t="str">
        <f t="shared" si="554"/>
        <v/>
      </c>
      <c r="B5065" s="83" t="str">
        <f t="shared" si="553"/>
        <v/>
      </c>
      <c r="U5065" s="83" t="str">
        <f t="shared" si="555"/>
        <v/>
      </c>
      <c r="V5065" s="83" t="str">
        <f t="shared" si="556"/>
        <v/>
      </c>
      <c r="AA5065" s="60">
        <f t="shared" si="557"/>
        <v>0</v>
      </c>
      <c r="AB5065" s="49">
        <f t="shared" si="558"/>
        <v>0</v>
      </c>
      <c r="AC5065" s="60">
        <f t="shared" si="559"/>
        <v>0</v>
      </c>
    </row>
    <row r="5066" spans="1:29">
      <c r="A5066" s="83" t="str">
        <f t="shared" si="554"/>
        <v/>
      </c>
      <c r="B5066" s="83" t="str">
        <f t="shared" si="553"/>
        <v/>
      </c>
      <c r="U5066" s="83" t="str">
        <f t="shared" si="555"/>
        <v/>
      </c>
      <c r="V5066" s="83" t="str">
        <f t="shared" si="556"/>
        <v/>
      </c>
      <c r="AA5066" s="60">
        <f t="shared" si="557"/>
        <v>0</v>
      </c>
      <c r="AB5066" s="49">
        <f t="shared" si="558"/>
        <v>0</v>
      </c>
      <c r="AC5066" s="60">
        <f t="shared" si="559"/>
        <v>0</v>
      </c>
    </row>
    <row r="5067" spans="1:29">
      <c r="A5067" s="83" t="str">
        <f t="shared" si="554"/>
        <v/>
      </c>
      <c r="B5067" s="83" t="str">
        <f t="shared" si="553"/>
        <v/>
      </c>
      <c r="U5067" s="83" t="str">
        <f t="shared" si="555"/>
        <v/>
      </c>
      <c r="V5067" s="83" t="str">
        <f t="shared" si="556"/>
        <v/>
      </c>
      <c r="AA5067" s="60">
        <f t="shared" si="557"/>
        <v>0</v>
      </c>
      <c r="AB5067" s="49">
        <f t="shared" si="558"/>
        <v>0</v>
      </c>
      <c r="AC5067" s="60">
        <f t="shared" si="559"/>
        <v>0</v>
      </c>
    </row>
    <row r="5068" spans="1:29">
      <c r="A5068" s="83" t="str">
        <f t="shared" si="554"/>
        <v/>
      </c>
      <c r="B5068" s="83" t="str">
        <f t="shared" si="553"/>
        <v/>
      </c>
      <c r="U5068" s="83" t="str">
        <f t="shared" si="555"/>
        <v/>
      </c>
      <c r="V5068" s="83" t="str">
        <f t="shared" si="556"/>
        <v/>
      </c>
      <c r="AA5068" s="60">
        <f t="shared" si="557"/>
        <v>0</v>
      </c>
      <c r="AB5068" s="49">
        <f t="shared" si="558"/>
        <v>0</v>
      </c>
      <c r="AC5068" s="60">
        <f t="shared" si="559"/>
        <v>0</v>
      </c>
    </row>
    <row r="5069" spans="1:29">
      <c r="A5069" s="83" t="str">
        <f t="shared" si="554"/>
        <v/>
      </c>
      <c r="B5069" s="83" t="str">
        <f t="shared" si="553"/>
        <v/>
      </c>
      <c r="U5069" s="83" t="str">
        <f t="shared" si="555"/>
        <v/>
      </c>
      <c r="V5069" s="83" t="str">
        <f t="shared" si="556"/>
        <v/>
      </c>
      <c r="AA5069" s="60">
        <f t="shared" si="557"/>
        <v>0</v>
      </c>
      <c r="AB5069" s="49">
        <f t="shared" si="558"/>
        <v>0</v>
      </c>
      <c r="AC5069" s="60">
        <f t="shared" si="559"/>
        <v>0</v>
      </c>
    </row>
    <row r="5070" spans="1:29">
      <c r="A5070" s="83" t="str">
        <f t="shared" si="554"/>
        <v/>
      </c>
      <c r="B5070" s="83" t="str">
        <f t="shared" si="553"/>
        <v/>
      </c>
      <c r="U5070" s="83" t="str">
        <f t="shared" si="555"/>
        <v/>
      </c>
      <c r="V5070" s="83" t="str">
        <f t="shared" si="556"/>
        <v/>
      </c>
      <c r="AA5070" s="60">
        <f t="shared" si="557"/>
        <v>0</v>
      </c>
      <c r="AB5070" s="49">
        <f t="shared" si="558"/>
        <v>0</v>
      </c>
      <c r="AC5070" s="60">
        <f t="shared" si="559"/>
        <v>0</v>
      </c>
    </row>
    <row r="5071" spans="1:29">
      <c r="A5071" s="83" t="str">
        <f t="shared" si="554"/>
        <v/>
      </c>
      <c r="B5071" s="83" t="str">
        <f t="shared" si="553"/>
        <v/>
      </c>
      <c r="U5071" s="83" t="str">
        <f t="shared" si="555"/>
        <v/>
      </c>
      <c r="V5071" s="83" t="str">
        <f t="shared" si="556"/>
        <v/>
      </c>
      <c r="AA5071" s="60">
        <f t="shared" si="557"/>
        <v>0</v>
      </c>
      <c r="AB5071" s="49">
        <f t="shared" si="558"/>
        <v>0</v>
      </c>
      <c r="AC5071" s="60">
        <f t="shared" si="559"/>
        <v>0</v>
      </c>
    </row>
    <row r="5072" spans="1:29">
      <c r="A5072" s="83" t="str">
        <f t="shared" si="554"/>
        <v/>
      </c>
      <c r="B5072" s="83" t="str">
        <f t="shared" si="553"/>
        <v/>
      </c>
      <c r="U5072" s="83" t="str">
        <f t="shared" si="555"/>
        <v/>
      </c>
      <c r="V5072" s="83" t="str">
        <f t="shared" si="556"/>
        <v/>
      </c>
      <c r="AA5072" s="60">
        <f t="shared" si="557"/>
        <v>0</v>
      </c>
      <c r="AB5072" s="49">
        <f t="shared" si="558"/>
        <v>0</v>
      </c>
      <c r="AC5072" s="60">
        <f t="shared" si="559"/>
        <v>0</v>
      </c>
    </row>
    <row r="5073" spans="1:29">
      <c r="A5073" s="83" t="str">
        <f t="shared" si="554"/>
        <v/>
      </c>
      <c r="B5073" s="83" t="str">
        <f t="shared" si="553"/>
        <v/>
      </c>
      <c r="U5073" s="83" t="str">
        <f t="shared" si="555"/>
        <v/>
      </c>
      <c r="V5073" s="83" t="str">
        <f t="shared" si="556"/>
        <v/>
      </c>
      <c r="AA5073" s="60">
        <f t="shared" si="557"/>
        <v>0</v>
      </c>
      <c r="AB5073" s="49">
        <f t="shared" si="558"/>
        <v>0</v>
      </c>
      <c r="AC5073" s="60">
        <f t="shared" si="559"/>
        <v>0</v>
      </c>
    </row>
    <row r="5074" spans="1:29">
      <c r="A5074" s="83" t="str">
        <f t="shared" si="554"/>
        <v/>
      </c>
      <c r="B5074" s="83" t="str">
        <f t="shared" si="553"/>
        <v/>
      </c>
      <c r="U5074" s="83" t="str">
        <f t="shared" si="555"/>
        <v/>
      </c>
      <c r="V5074" s="83" t="str">
        <f t="shared" si="556"/>
        <v/>
      </c>
      <c r="AA5074" s="60">
        <f t="shared" si="557"/>
        <v>0</v>
      </c>
      <c r="AB5074" s="49">
        <f t="shared" si="558"/>
        <v>0</v>
      </c>
      <c r="AC5074" s="60">
        <f t="shared" si="559"/>
        <v>0</v>
      </c>
    </row>
    <row r="5075" spans="1:29">
      <c r="A5075" s="83" t="str">
        <f t="shared" si="554"/>
        <v/>
      </c>
      <c r="B5075" s="83" t="str">
        <f t="shared" si="553"/>
        <v/>
      </c>
      <c r="U5075" s="83" t="str">
        <f t="shared" si="555"/>
        <v/>
      </c>
      <c r="V5075" s="83" t="str">
        <f t="shared" si="556"/>
        <v/>
      </c>
      <c r="AA5075" s="60">
        <f t="shared" si="557"/>
        <v>0</v>
      </c>
      <c r="AB5075" s="49">
        <f t="shared" si="558"/>
        <v>0</v>
      </c>
      <c r="AC5075" s="60">
        <f t="shared" si="559"/>
        <v>0</v>
      </c>
    </row>
    <row r="5076" spans="1:29">
      <c r="A5076" s="83" t="str">
        <f t="shared" si="554"/>
        <v/>
      </c>
      <c r="B5076" s="83" t="str">
        <f t="shared" si="553"/>
        <v/>
      </c>
      <c r="U5076" s="83" t="str">
        <f t="shared" si="555"/>
        <v/>
      </c>
      <c r="V5076" s="83" t="str">
        <f t="shared" si="556"/>
        <v/>
      </c>
      <c r="AA5076" s="60">
        <f t="shared" si="557"/>
        <v>0</v>
      </c>
      <c r="AB5076" s="49">
        <f t="shared" si="558"/>
        <v>0</v>
      </c>
      <c r="AC5076" s="60">
        <f t="shared" si="559"/>
        <v>0</v>
      </c>
    </row>
    <row r="5077" spans="1:29">
      <c r="A5077" s="83" t="str">
        <f t="shared" si="554"/>
        <v/>
      </c>
      <c r="B5077" s="83" t="str">
        <f t="shared" si="553"/>
        <v/>
      </c>
      <c r="U5077" s="83" t="str">
        <f t="shared" si="555"/>
        <v/>
      </c>
      <c r="V5077" s="83" t="str">
        <f t="shared" si="556"/>
        <v/>
      </c>
      <c r="AA5077" s="60">
        <f t="shared" si="557"/>
        <v>0</v>
      </c>
      <c r="AB5077" s="49">
        <f t="shared" si="558"/>
        <v>0</v>
      </c>
      <c r="AC5077" s="60">
        <f t="shared" si="559"/>
        <v>0</v>
      </c>
    </row>
    <row r="5078" spans="1:29">
      <c r="A5078" s="83" t="str">
        <f t="shared" si="554"/>
        <v/>
      </c>
      <c r="B5078" s="83" t="str">
        <f t="shared" si="553"/>
        <v/>
      </c>
      <c r="U5078" s="83" t="str">
        <f t="shared" si="555"/>
        <v/>
      </c>
      <c r="V5078" s="83" t="str">
        <f t="shared" si="556"/>
        <v/>
      </c>
      <c r="AA5078" s="60">
        <f t="shared" si="557"/>
        <v>0</v>
      </c>
      <c r="AB5078" s="49">
        <f t="shared" si="558"/>
        <v>0</v>
      </c>
      <c r="AC5078" s="60">
        <f t="shared" si="559"/>
        <v>0</v>
      </c>
    </row>
    <row r="5079" spans="1:29">
      <c r="A5079" s="83" t="str">
        <f t="shared" si="554"/>
        <v/>
      </c>
      <c r="B5079" s="83" t="str">
        <f t="shared" si="553"/>
        <v/>
      </c>
      <c r="U5079" s="83" t="str">
        <f t="shared" si="555"/>
        <v/>
      </c>
      <c r="V5079" s="83" t="str">
        <f t="shared" si="556"/>
        <v/>
      </c>
      <c r="AA5079" s="60">
        <f t="shared" si="557"/>
        <v>0</v>
      </c>
      <c r="AB5079" s="49">
        <f t="shared" si="558"/>
        <v>0</v>
      </c>
      <c r="AC5079" s="60">
        <f t="shared" si="559"/>
        <v>0</v>
      </c>
    </row>
    <row r="5080" spans="1:29">
      <c r="A5080" s="83" t="str">
        <f t="shared" si="554"/>
        <v/>
      </c>
      <c r="B5080" s="83" t="str">
        <f t="shared" si="553"/>
        <v/>
      </c>
      <c r="U5080" s="83" t="str">
        <f t="shared" si="555"/>
        <v/>
      </c>
      <c r="V5080" s="83" t="str">
        <f t="shared" si="556"/>
        <v/>
      </c>
      <c r="AA5080" s="60">
        <f t="shared" si="557"/>
        <v>0</v>
      </c>
      <c r="AB5080" s="49">
        <f t="shared" si="558"/>
        <v>0</v>
      </c>
      <c r="AC5080" s="60">
        <f t="shared" si="559"/>
        <v>0</v>
      </c>
    </row>
    <row r="5081" spans="1:29">
      <c r="A5081" s="83" t="str">
        <f t="shared" si="554"/>
        <v/>
      </c>
      <c r="B5081" s="83" t="str">
        <f t="shared" si="553"/>
        <v/>
      </c>
      <c r="U5081" s="83" t="str">
        <f t="shared" si="555"/>
        <v/>
      </c>
      <c r="V5081" s="83" t="str">
        <f t="shared" si="556"/>
        <v/>
      </c>
      <c r="AA5081" s="60">
        <f t="shared" si="557"/>
        <v>0</v>
      </c>
      <c r="AB5081" s="49">
        <f t="shared" si="558"/>
        <v>0</v>
      </c>
      <c r="AC5081" s="60">
        <f t="shared" si="559"/>
        <v>0</v>
      </c>
    </row>
    <row r="5082" spans="1:29">
      <c r="A5082" s="83" t="str">
        <f t="shared" si="554"/>
        <v/>
      </c>
      <c r="B5082" s="83" t="str">
        <f t="shared" si="553"/>
        <v/>
      </c>
      <c r="U5082" s="83" t="str">
        <f t="shared" si="555"/>
        <v/>
      </c>
      <c r="V5082" s="83" t="str">
        <f t="shared" si="556"/>
        <v/>
      </c>
      <c r="AA5082" s="60">
        <f t="shared" si="557"/>
        <v>0</v>
      </c>
      <c r="AB5082" s="49">
        <f t="shared" si="558"/>
        <v>0</v>
      </c>
      <c r="AC5082" s="60">
        <f t="shared" si="559"/>
        <v>0</v>
      </c>
    </row>
    <row r="5083" spans="1:29">
      <c r="A5083" s="83" t="str">
        <f t="shared" si="554"/>
        <v/>
      </c>
      <c r="B5083" s="83" t="str">
        <f t="shared" si="553"/>
        <v/>
      </c>
      <c r="U5083" s="83" t="str">
        <f t="shared" si="555"/>
        <v/>
      </c>
      <c r="V5083" s="83" t="str">
        <f t="shared" si="556"/>
        <v/>
      </c>
      <c r="AA5083" s="60">
        <f t="shared" si="557"/>
        <v>0</v>
      </c>
      <c r="AB5083" s="49">
        <f t="shared" si="558"/>
        <v>0</v>
      </c>
      <c r="AC5083" s="60">
        <f t="shared" si="559"/>
        <v>0</v>
      </c>
    </row>
    <row r="5084" spans="1:29">
      <c r="A5084" s="83" t="str">
        <f t="shared" si="554"/>
        <v/>
      </c>
      <c r="B5084" s="83" t="str">
        <f t="shared" si="553"/>
        <v/>
      </c>
      <c r="U5084" s="83" t="str">
        <f t="shared" si="555"/>
        <v/>
      </c>
      <c r="V5084" s="83" t="str">
        <f t="shared" si="556"/>
        <v/>
      </c>
      <c r="AA5084" s="60">
        <f t="shared" si="557"/>
        <v>0</v>
      </c>
      <c r="AB5084" s="49">
        <f t="shared" si="558"/>
        <v>0</v>
      </c>
      <c r="AC5084" s="60">
        <f t="shared" si="559"/>
        <v>0</v>
      </c>
    </row>
    <row r="5085" spans="1:29">
      <c r="A5085" s="83" t="str">
        <f t="shared" si="554"/>
        <v/>
      </c>
      <c r="B5085" s="83" t="str">
        <f t="shared" si="553"/>
        <v/>
      </c>
      <c r="U5085" s="83" t="str">
        <f t="shared" si="555"/>
        <v/>
      </c>
      <c r="V5085" s="83" t="str">
        <f t="shared" si="556"/>
        <v/>
      </c>
      <c r="AA5085" s="60">
        <f t="shared" si="557"/>
        <v>0</v>
      </c>
      <c r="AB5085" s="49">
        <f t="shared" si="558"/>
        <v>0</v>
      </c>
      <c r="AC5085" s="60">
        <f t="shared" si="559"/>
        <v>0</v>
      </c>
    </row>
    <row r="5086" spans="1:29">
      <c r="A5086" s="83" t="str">
        <f t="shared" si="554"/>
        <v/>
      </c>
      <c r="B5086" s="83" t="str">
        <f t="shared" si="553"/>
        <v/>
      </c>
      <c r="U5086" s="83" t="str">
        <f t="shared" si="555"/>
        <v/>
      </c>
      <c r="V5086" s="83" t="str">
        <f t="shared" si="556"/>
        <v/>
      </c>
      <c r="AA5086" s="60">
        <f t="shared" si="557"/>
        <v>0</v>
      </c>
      <c r="AB5086" s="49">
        <f t="shared" si="558"/>
        <v>0</v>
      </c>
      <c r="AC5086" s="60">
        <f t="shared" si="559"/>
        <v>0</v>
      </c>
    </row>
    <row r="5087" spans="1:29">
      <c r="A5087" s="83" t="str">
        <f t="shared" si="554"/>
        <v/>
      </c>
      <c r="B5087" s="83" t="str">
        <f t="shared" si="553"/>
        <v/>
      </c>
      <c r="U5087" s="83" t="str">
        <f t="shared" si="555"/>
        <v/>
      </c>
      <c r="V5087" s="83" t="str">
        <f t="shared" si="556"/>
        <v/>
      </c>
      <c r="AA5087" s="60">
        <f t="shared" si="557"/>
        <v>0</v>
      </c>
      <c r="AB5087" s="49">
        <f t="shared" si="558"/>
        <v>0</v>
      </c>
      <c r="AC5087" s="60">
        <f t="shared" si="559"/>
        <v>0</v>
      </c>
    </row>
    <row r="5088" spans="1:29">
      <c r="A5088" s="83" t="str">
        <f t="shared" si="554"/>
        <v/>
      </c>
      <c r="B5088" s="83" t="str">
        <f t="shared" si="553"/>
        <v/>
      </c>
      <c r="U5088" s="83" t="str">
        <f t="shared" si="555"/>
        <v/>
      </c>
      <c r="V5088" s="83" t="str">
        <f t="shared" si="556"/>
        <v/>
      </c>
      <c r="AA5088" s="60">
        <f t="shared" si="557"/>
        <v>0</v>
      </c>
      <c r="AB5088" s="49">
        <f t="shared" si="558"/>
        <v>0</v>
      </c>
      <c r="AC5088" s="60">
        <f t="shared" si="559"/>
        <v>0</v>
      </c>
    </row>
    <row r="5089" spans="1:29">
      <c r="A5089" s="83" t="str">
        <f t="shared" si="554"/>
        <v/>
      </c>
      <c r="B5089" s="83" t="str">
        <f t="shared" ref="B5089:B5152" si="560">IF(C5089&lt;&gt;"",LEFT(C5089,9),"")</f>
        <v/>
      </c>
      <c r="U5089" s="83" t="str">
        <f t="shared" si="555"/>
        <v/>
      </c>
      <c r="V5089" s="83" t="str">
        <f t="shared" si="556"/>
        <v/>
      </c>
      <c r="AA5089" s="60">
        <f t="shared" si="557"/>
        <v>0</v>
      </c>
      <c r="AB5089" s="49">
        <f t="shared" si="558"/>
        <v>0</v>
      </c>
      <c r="AC5089" s="60">
        <f t="shared" si="559"/>
        <v>0</v>
      </c>
    </row>
    <row r="5090" spans="1:29">
      <c r="A5090" s="83" t="str">
        <f t="shared" si="554"/>
        <v/>
      </c>
      <c r="B5090" s="83" t="str">
        <f t="shared" si="560"/>
        <v/>
      </c>
      <c r="U5090" s="83" t="str">
        <f t="shared" si="555"/>
        <v/>
      </c>
      <c r="V5090" s="83" t="str">
        <f t="shared" si="556"/>
        <v/>
      </c>
      <c r="AA5090" s="60">
        <f t="shared" si="557"/>
        <v>0</v>
      </c>
      <c r="AB5090" s="49">
        <f t="shared" si="558"/>
        <v>0</v>
      </c>
      <c r="AC5090" s="60">
        <f t="shared" si="559"/>
        <v>0</v>
      </c>
    </row>
    <row r="5091" spans="1:29">
      <c r="A5091" s="83" t="str">
        <f t="shared" si="554"/>
        <v/>
      </c>
      <c r="B5091" s="83" t="str">
        <f t="shared" si="560"/>
        <v/>
      </c>
      <c r="U5091" s="83" t="str">
        <f t="shared" si="555"/>
        <v/>
      </c>
      <c r="V5091" s="83" t="str">
        <f t="shared" si="556"/>
        <v/>
      </c>
      <c r="AA5091" s="60">
        <f t="shared" si="557"/>
        <v>0</v>
      </c>
      <c r="AB5091" s="49">
        <f t="shared" si="558"/>
        <v>0</v>
      </c>
      <c r="AC5091" s="60">
        <f t="shared" si="559"/>
        <v>0</v>
      </c>
    </row>
    <row r="5092" spans="1:29">
      <c r="A5092" s="83" t="str">
        <f t="shared" si="554"/>
        <v/>
      </c>
      <c r="B5092" s="83" t="str">
        <f t="shared" si="560"/>
        <v/>
      </c>
      <c r="U5092" s="83" t="str">
        <f t="shared" si="555"/>
        <v/>
      </c>
      <c r="V5092" s="83" t="str">
        <f t="shared" si="556"/>
        <v/>
      </c>
      <c r="AA5092" s="60">
        <f t="shared" si="557"/>
        <v>0</v>
      </c>
      <c r="AB5092" s="49">
        <f t="shared" si="558"/>
        <v>0</v>
      </c>
      <c r="AC5092" s="60">
        <f t="shared" si="559"/>
        <v>0</v>
      </c>
    </row>
    <row r="5093" spans="1:29">
      <c r="A5093" s="83" t="str">
        <f t="shared" si="554"/>
        <v/>
      </c>
      <c r="B5093" s="83" t="str">
        <f t="shared" si="560"/>
        <v/>
      </c>
      <c r="U5093" s="83" t="str">
        <f t="shared" si="555"/>
        <v/>
      </c>
      <c r="V5093" s="83" t="str">
        <f t="shared" si="556"/>
        <v/>
      </c>
      <c r="AA5093" s="60">
        <f t="shared" si="557"/>
        <v>0</v>
      </c>
      <c r="AB5093" s="49">
        <f t="shared" si="558"/>
        <v>0</v>
      </c>
      <c r="AC5093" s="60">
        <f t="shared" si="559"/>
        <v>0</v>
      </c>
    </row>
    <row r="5094" spans="1:29">
      <c r="A5094" s="83" t="str">
        <f t="shared" si="554"/>
        <v/>
      </c>
      <c r="B5094" s="83" t="str">
        <f t="shared" si="560"/>
        <v/>
      </c>
      <c r="U5094" s="83" t="str">
        <f t="shared" si="555"/>
        <v/>
      </c>
      <c r="V5094" s="83" t="str">
        <f t="shared" si="556"/>
        <v/>
      </c>
      <c r="AA5094" s="60">
        <f t="shared" si="557"/>
        <v>0</v>
      </c>
      <c r="AB5094" s="49">
        <f t="shared" si="558"/>
        <v>0</v>
      </c>
      <c r="AC5094" s="60">
        <f t="shared" si="559"/>
        <v>0</v>
      </c>
    </row>
    <row r="5095" spans="1:29">
      <c r="A5095" s="83" t="str">
        <f t="shared" si="554"/>
        <v/>
      </c>
      <c r="B5095" s="83" t="str">
        <f t="shared" si="560"/>
        <v/>
      </c>
      <c r="U5095" s="83" t="str">
        <f t="shared" si="555"/>
        <v/>
      </c>
      <c r="V5095" s="83" t="str">
        <f t="shared" si="556"/>
        <v/>
      </c>
      <c r="AA5095" s="60">
        <f t="shared" si="557"/>
        <v>0</v>
      </c>
      <c r="AB5095" s="49">
        <f t="shared" si="558"/>
        <v>0</v>
      </c>
      <c r="AC5095" s="60">
        <f t="shared" si="559"/>
        <v>0</v>
      </c>
    </row>
    <row r="5096" spans="1:29">
      <c r="A5096" s="83" t="str">
        <f t="shared" si="554"/>
        <v/>
      </c>
      <c r="B5096" s="83" t="str">
        <f t="shared" si="560"/>
        <v/>
      </c>
      <c r="U5096" s="83" t="str">
        <f t="shared" si="555"/>
        <v/>
      </c>
      <c r="V5096" s="83" t="str">
        <f t="shared" si="556"/>
        <v/>
      </c>
      <c r="AA5096" s="60">
        <f t="shared" si="557"/>
        <v>0</v>
      </c>
      <c r="AB5096" s="49">
        <f t="shared" si="558"/>
        <v>0</v>
      </c>
      <c r="AC5096" s="60">
        <f t="shared" si="559"/>
        <v>0</v>
      </c>
    </row>
    <row r="5097" spans="1:29">
      <c r="A5097" s="83" t="str">
        <f t="shared" si="554"/>
        <v/>
      </c>
      <c r="B5097" s="83" t="str">
        <f t="shared" si="560"/>
        <v/>
      </c>
      <c r="U5097" s="83" t="str">
        <f t="shared" si="555"/>
        <v/>
      </c>
      <c r="V5097" s="83" t="str">
        <f t="shared" si="556"/>
        <v/>
      </c>
      <c r="AA5097" s="60">
        <f t="shared" si="557"/>
        <v>0</v>
      </c>
      <c r="AB5097" s="49">
        <f t="shared" si="558"/>
        <v>0</v>
      </c>
      <c r="AC5097" s="60">
        <f t="shared" si="559"/>
        <v>0</v>
      </c>
    </row>
    <row r="5098" spans="1:29">
      <c r="A5098" s="83" t="str">
        <f t="shared" si="554"/>
        <v/>
      </c>
      <c r="B5098" s="83" t="str">
        <f t="shared" si="560"/>
        <v/>
      </c>
      <c r="U5098" s="83" t="str">
        <f t="shared" si="555"/>
        <v/>
      </c>
      <c r="V5098" s="83" t="str">
        <f t="shared" si="556"/>
        <v/>
      </c>
      <c r="AA5098" s="60">
        <f t="shared" si="557"/>
        <v>0</v>
      </c>
      <c r="AB5098" s="49">
        <f t="shared" si="558"/>
        <v>0</v>
      </c>
      <c r="AC5098" s="60">
        <f t="shared" si="559"/>
        <v>0</v>
      </c>
    </row>
    <row r="5099" spans="1:29">
      <c r="A5099" s="83" t="str">
        <f t="shared" si="554"/>
        <v/>
      </c>
      <c r="B5099" s="83" t="str">
        <f t="shared" si="560"/>
        <v/>
      </c>
      <c r="U5099" s="83" t="str">
        <f t="shared" si="555"/>
        <v/>
      </c>
      <c r="V5099" s="83" t="str">
        <f t="shared" si="556"/>
        <v/>
      </c>
      <c r="AA5099" s="60">
        <f t="shared" si="557"/>
        <v>0</v>
      </c>
      <c r="AB5099" s="49">
        <f t="shared" si="558"/>
        <v>0</v>
      </c>
      <c r="AC5099" s="60">
        <f t="shared" si="559"/>
        <v>0</v>
      </c>
    </row>
    <row r="5100" spans="1:29">
      <c r="A5100" s="83" t="str">
        <f t="shared" si="554"/>
        <v/>
      </c>
      <c r="B5100" s="83" t="str">
        <f t="shared" si="560"/>
        <v/>
      </c>
      <c r="U5100" s="83" t="str">
        <f t="shared" si="555"/>
        <v/>
      </c>
      <c r="V5100" s="83" t="str">
        <f t="shared" si="556"/>
        <v/>
      </c>
      <c r="AA5100" s="60">
        <f t="shared" si="557"/>
        <v>0</v>
      </c>
      <c r="AB5100" s="49">
        <f t="shared" si="558"/>
        <v>0</v>
      </c>
      <c r="AC5100" s="60">
        <f t="shared" si="559"/>
        <v>0</v>
      </c>
    </row>
    <row r="5101" spans="1:29">
      <c r="A5101" s="83" t="str">
        <f t="shared" si="554"/>
        <v/>
      </c>
      <c r="B5101" s="83" t="str">
        <f t="shared" si="560"/>
        <v/>
      </c>
      <c r="U5101" s="83" t="str">
        <f t="shared" si="555"/>
        <v/>
      </c>
      <c r="V5101" s="83" t="str">
        <f t="shared" si="556"/>
        <v/>
      </c>
      <c r="AA5101" s="60">
        <f t="shared" si="557"/>
        <v>0</v>
      </c>
      <c r="AB5101" s="49">
        <f t="shared" si="558"/>
        <v>0</v>
      </c>
      <c r="AC5101" s="60">
        <f t="shared" si="559"/>
        <v>0</v>
      </c>
    </row>
    <row r="5102" spans="1:29">
      <c r="A5102" s="83" t="str">
        <f t="shared" si="554"/>
        <v/>
      </c>
      <c r="B5102" s="83" t="str">
        <f t="shared" si="560"/>
        <v/>
      </c>
      <c r="U5102" s="83" t="str">
        <f t="shared" si="555"/>
        <v/>
      </c>
      <c r="V5102" s="83" t="str">
        <f t="shared" si="556"/>
        <v/>
      </c>
      <c r="AA5102" s="60">
        <f t="shared" si="557"/>
        <v>0</v>
      </c>
      <c r="AB5102" s="49">
        <f t="shared" si="558"/>
        <v>0</v>
      </c>
      <c r="AC5102" s="60">
        <f t="shared" si="559"/>
        <v>0</v>
      </c>
    </row>
    <row r="5103" spans="1:29">
      <c r="A5103" s="83" t="str">
        <f t="shared" si="554"/>
        <v/>
      </c>
      <c r="B5103" s="83" t="str">
        <f t="shared" si="560"/>
        <v/>
      </c>
      <c r="U5103" s="83" t="str">
        <f t="shared" si="555"/>
        <v/>
      </c>
      <c r="V5103" s="83" t="str">
        <f t="shared" si="556"/>
        <v/>
      </c>
      <c r="AA5103" s="60">
        <f t="shared" si="557"/>
        <v>0</v>
      </c>
      <c r="AB5103" s="49">
        <f t="shared" si="558"/>
        <v>0</v>
      </c>
      <c r="AC5103" s="60">
        <f t="shared" si="559"/>
        <v>0</v>
      </c>
    </row>
    <row r="5104" spans="1:29">
      <c r="A5104" s="83" t="str">
        <f t="shared" si="554"/>
        <v/>
      </c>
      <c r="B5104" s="83" t="str">
        <f t="shared" si="560"/>
        <v/>
      </c>
      <c r="U5104" s="83" t="str">
        <f t="shared" si="555"/>
        <v/>
      </c>
      <c r="V5104" s="83" t="str">
        <f t="shared" si="556"/>
        <v/>
      </c>
      <c r="AA5104" s="60">
        <f t="shared" si="557"/>
        <v>0</v>
      </c>
      <c r="AB5104" s="49">
        <f t="shared" si="558"/>
        <v>0</v>
      </c>
      <c r="AC5104" s="60">
        <f t="shared" si="559"/>
        <v>0</v>
      </c>
    </row>
    <row r="5105" spans="1:29">
      <c r="A5105" s="83" t="str">
        <f t="shared" si="554"/>
        <v/>
      </c>
      <c r="B5105" s="83" t="str">
        <f t="shared" si="560"/>
        <v/>
      </c>
      <c r="U5105" s="83" t="str">
        <f t="shared" si="555"/>
        <v/>
      </c>
      <c r="V5105" s="83" t="str">
        <f t="shared" si="556"/>
        <v/>
      </c>
      <c r="AA5105" s="60">
        <f t="shared" si="557"/>
        <v>0</v>
      </c>
      <c r="AB5105" s="49">
        <f t="shared" si="558"/>
        <v>0</v>
      </c>
      <c r="AC5105" s="60">
        <f t="shared" si="559"/>
        <v>0</v>
      </c>
    </row>
    <row r="5106" spans="1:29">
      <c r="A5106" s="83" t="str">
        <f t="shared" si="554"/>
        <v/>
      </c>
      <c r="B5106" s="83" t="str">
        <f t="shared" si="560"/>
        <v/>
      </c>
      <c r="U5106" s="83" t="str">
        <f t="shared" si="555"/>
        <v/>
      </c>
      <c r="V5106" s="83" t="str">
        <f t="shared" si="556"/>
        <v/>
      </c>
      <c r="AA5106" s="60">
        <f t="shared" si="557"/>
        <v>0</v>
      </c>
      <c r="AB5106" s="49">
        <f t="shared" si="558"/>
        <v>0</v>
      </c>
      <c r="AC5106" s="60">
        <f t="shared" si="559"/>
        <v>0</v>
      </c>
    </row>
    <row r="5107" spans="1:29">
      <c r="A5107" s="83" t="str">
        <f t="shared" si="554"/>
        <v/>
      </c>
      <c r="B5107" s="83" t="str">
        <f t="shared" si="560"/>
        <v/>
      </c>
      <c r="U5107" s="83" t="str">
        <f t="shared" si="555"/>
        <v/>
      </c>
      <c r="V5107" s="83" t="str">
        <f t="shared" si="556"/>
        <v/>
      </c>
      <c r="AA5107" s="60">
        <f t="shared" si="557"/>
        <v>0</v>
      </c>
      <c r="AB5107" s="49">
        <f t="shared" si="558"/>
        <v>0</v>
      </c>
      <c r="AC5107" s="60">
        <f t="shared" si="559"/>
        <v>0</v>
      </c>
    </row>
    <row r="5108" spans="1:29">
      <c r="A5108" s="83" t="str">
        <f t="shared" si="554"/>
        <v/>
      </c>
      <c r="B5108" s="83" t="str">
        <f t="shared" si="560"/>
        <v/>
      </c>
      <c r="U5108" s="83" t="str">
        <f t="shared" si="555"/>
        <v/>
      </c>
      <c r="V5108" s="83" t="str">
        <f t="shared" si="556"/>
        <v/>
      </c>
      <c r="AA5108" s="60">
        <f t="shared" si="557"/>
        <v>0</v>
      </c>
      <c r="AB5108" s="49">
        <f t="shared" si="558"/>
        <v>0</v>
      </c>
      <c r="AC5108" s="60">
        <f t="shared" si="559"/>
        <v>0</v>
      </c>
    </row>
    <row r="5109" spans="1:29">
      <c r="A5109" s="83" t="str">
        <f t="shared" si="554"/>
        <v/>
      </c>
      <c r="B5109" s="83" t="str">
        <f t="shared" si="560"/>
        <v/>
      </c>
      <c r="U5109" s="83" t="str">
        <f t="shared" si="555"/>
        <v/>
      </c>
      <c r="V5109" s="83" t="str">
        <f t="shared" si="556"/>
        <v/>
      </c>
      <c r="AA5109" s="60">
        <f t="shared" si="557"/>
        <v>0</v>
      </c>
      <c r="AB5109" s="49">
        <f t="shared" si="558"/>
        <v>0</v>
      </c>
      <c r="AC5109" s="60">
        <f t="shared" si="559"/>
        <v>0</v>
      </c>
    </row>
    <row r="5110" spans="1:29">
      <c r="A5110" s="83" t="str">
        <f t="shared" si="554"/>
        <v/>
      </c>
      <c r="B5110" s="83" t="str">
        <f t="shared" si="560"/>
        <v/>
      </c>
      <c r="U5110" s="83" t="str">
        <f t="shared" si="555"/>
        <v/>
      </c>
      <c r="V5110" s="83" t="str">
        <f t="shared" si="556"/>
        <v/>
      </c>
      <c r="AA5110" s="60">
        <f t="shared" si="557"/>
        <v>0</v>
      </c>
      <c r="AB5110" s="49">
        <f t="shared" si="558"/>
        <v>0</v>
      </c>
      <c r="AC5110" s="60">
        <f t="shared" si="559"/>
        <v>0</v>
      </c>
    </row>
    <row r="5111" spans="1:29">
      <c r="A5111" s="83" t="str">
        <f t="shared" si="554"/>
        <v/>
      </c>
      <c r="B5111" s="83" t="str">
        <f t="shared" si="560"/>
        <v/>
      </c>
      <c r="U5111" s="83" t="str">
        <f t="shared" si="555"/>
        <v/>
      </c>
      <c r="V5111" s="83" t="str">
        <f t="shared" si="556"/>
        <v/>
      </c>
      <c r="AA5111" s="60">
        <f t="shared" si="557"/>
        <v>0</v>
      </c>
      <c r="AB5111" s="49">
        <f t="shared" si="558"/>
        <v>0</v>
      </c>
      <c r="AC5111" s="60">
        <f t="shared" si="559"/>
        <v>0</v>
      </c>
    </row>
    <row r="5112" spans="1:29">
      <c r="A5112" s="83" t="str">
        <f t="shared" si="554"/>
        <v/>
      </c>
      <c r="B5112" s="83" t="str">
        <f t="shared" si="560"/>
        <v/>
      </c>
      <c r="U5112" s="83" t="str">
        <f t="shared" si="555"/>
        <v/>
      </c>
      <c r="V5112" s="83" t="str">
        <f t="shared" si="556"/>
        <v/>
      </c>
      <c r="AA5112" s="60">
        <f t="shared" si="557"/>
        <v>0</v>
      </c>
      <c r="AB5112" s="49">
        <f t="shared" si="558"/>
        <v>0</v>
      </c>
      <c r="AC5112" s="60">
        <f t="shared" si="559"/>
        <v>0</v>
      </c>
    </row>
    <row r="5113" spans="1:29">
      <c r="A5113" s="83" t="str">
        <f t="shared" si="554"/>
        <v/>
      </c>
      <c r="B5113" s="83" t="str">
        <f t="shared" si="560"/>
        <v/>
      </c>
      <c r="U5113" s="83" t="str">
        <f t="shared" si="555"/>
        <v/>
      </c>
      <c r="V5113" s="83" t="str">
        <f t="shared" si="556"/>
        <v/>
      </c>
      <c r="AA5113" s="60">
        <f t="shared" si="557"/>
        <v>0</v>
      </c>
      <c r="AB5113" s="49">
        <f t="shared" si="558"/>
        <v>0</v>
      </c>
      <c r="AC5113" s="60">
        <f t="shared" si="559"/>
        <v>0</v>
      </c>
    </row>
    <row r="5114" spans="1:29">
      <c r="A5114" s="83" t="str">
        <f t="shared" si="554"/>
        <v/>
      </c>
      <c r="B5114" s="83" t="str">
        <f t="shared" si="560"/>
        <v/>
      </c>
      <c r="U5114" s="83" t="str">
        <f t="shared" si="555"/>
        <v/>
      </c>
      <c r="V5114" s="83" t="str">
        <f t="shared" si="556"/>
        <v/>
      </c>
      <c r="AA5114" s="60">
        <f t="shared" si="557"/>
        <v>0</v>
      </c>
      <c r="AB5114" s="49">
        <f t="shared" si="558"/>
        <v>0</v>
      </c>
      <c r="AC5114" s="60">
        <f t="shared" si="559"/>
        <v>0</v>
      </c>
    </row>
    <row r="5115" spans="1:29">
      <c r="A5115" s="83" t="str">
        <f t="shared" si="554"/>
        <v/>
      </c>
      <c r="B5115" s="83" t="str">
        <f t="shared" si="560"/>
        <v/>
      </c>
      <c r="U5115" s="83" t="str">
        <f t="shared" si="555"/>
        <v/>
      </c>
      <c r="V5115" s="83" t="str">
        <f t="shared" si="556"/>
        <v/>
      </c>
      <c r="AA5115" s="60">
        <f t="shared" si="557"/>
        <v>0</v>
      </c>
      <c r="AB5115" s="49">
        <f t="shared" si="558"/>
        <v>0</v>
      </c>
      <c r="AC5115" s="60">
        <f t="shared" si="559"/>
        <v>0</v>
      </c>
    </row>
    <row r="5116" spans="1:29">
      <c r="A5116" s="83" t="str">
        <f t="shared" si="554"/>
        <v/>
      </c>
      <c r="B5116" s="83" t="str">
        <f t="shared" si="560"/>
        <v/>
      </c>
      <c r="U5116" s="83" t="str">
        <f t="shared" si="555"/>
        <v/>
      </c>
      <c r="V5116" s="83" t="str">
        <f t="shared" si="556"/>
        <v/>
      </c>
      <c r="AA5116" s="60">
        <f t="shared" si="557"/>
        <v>0</v>
      </c>
      <c r="AB5116" s="49">
        <f t="shared" si="558"/>
        <v>0</v>
      </c>
      <c r="AC5116" s="60">
        <f t="shared" si="559"/>
        <v>0</v>
      </c>
    </row>
    <row r="5117" spans="1:29">
      <c r="A5117" s="83" t="str">
        <f t="shared" si="554"/>
        <v/>
      </c>
      <c r="B5117" s="83" t="str">
        <f t="shared" si="560"/>
        <v/>
      </c>
      <c r="U5117" s="83" t="str">
        <f t="shared" si="555"/>
        <v/>
      </c>
      <c r="V5117" s="83" t="str">
        <f t="shared" si="556"/>
        <v/>
      </c>
      <c r="AA5117" s="60">
        <f t="shared" si="557"/>
        <v>0</v>
      </c>
      <c r="AB5117" s="49">
        <f t="shared" si="558"/>
        <v>0</v>
      </c>
      <c r="AC5117" s="60">
        <f t="shared" si="559"/>
        <v>0</v>
      </c>
    </row>
    <row r="5118" spans="1:29">
      <c r="A5118" s="83" t="str">
        <f t="shared" si="554"/>
        <v/>
      </c>
      <c r="B5118" s="83" t="str">
        <f t="shared" si="560"/>
        <v/>
      </c>
      <c r="U5118" s="83" t="str">
        <f t="shared" si="555"/>
        <v/>
      </c>
      <c r="V5118" s="83" t="str">
        <f t="shared" si="556"/>
        <v/>
      </c>
      <c r="AA5118" s="60">
        <f t="shared" si="557"/>
        <v>0</v>
      </c>
      <c r="AB5118" s="49">
        <f t="shared" si="558"/>
        <v>0</v>
      </c>
      <c r="AC5118" s="60">
        <f t="shared" si="559"/>
        <v>0</v>
      </c>
    </row>
    <row r="5119" spans="1:29">
      <c r="A5119" s="83" t="str">
        <f t="shared" si="554"/>
        <v/>
      </c>
      <c r="B5119" s="83" t="str">
        <f t="shared" si="560"/>
        <v/>
      </c>
      <c r="U5119" s="83" t="str">
        <f t="shared" si="555"/>
        <v/>
      </c>
      <c r="V5119" s="83" t="str">
        <f t="shared" si="556"/>
        <v/>
      </c>
      <c r="AA5119" s="60">
        <f t="shared" si="557"/>
        <v>0</v>
      </c>
      <c r="AB5119" s="49">
        <f t="shared" si="558"/>
        <v>0</v>
      </c>
      <c r="AC5119" s="60">
        <f t="shared" si="559"/>
        <v>0</v>
      </c>
    </row>
    <row r="5120" spans="1:29">
      <c r="A5120" s="83" t="str">
        <f t="shared" si="554"/>
        <v/>
      </c>
      <c r="B5120" s="83" t="str">
        <f t="shared" si="560"/>
        <v/>
      </c>
      <c r="U5120" s="83" t="str">
        <f t="shared" si="555"/>
        <v/>
      </c>
      <c r="V5120" s="83" t="str">
        <f t="shared" si="556"/>
        <v/>
      </c>
      <c r="AA5120" s="60">
        <f t="shared" si="557"/>
        <v>0</v>
      </c>
      <c r="AB5120" s="49">
        <f t="shared" si="558"/>
        <v>0</v>
      </c>
      <c r="AC5120" s="60">
        <f t="shared" si="559"/>
        <v>0</v>
      </c>
    </row>
    <row r="5121" spans="1:29">
      <c r="A5121" s="83" t="str">
        <f t="shared" si="554"/>
        <v/>
      </c>
      <c r="B5121" s="83" t="str">
        <f t="shared" si="560"/>
        <v/>
      </c>
      <c r="U5121" s="83" t="str">
        <f t="shared" si="555"/>
        <v/>
      </c>
      <c r="V5121" s="83" t="str">
        <f t="shared" si="556"/>
        <v/>
      </c>
      <c r="AA5121" s="60">
        <f t="shared" si="557"/>
        <v>0</v>
      </c>
      <c r="AB5121" s="49">
        <f t="shared" si="558"/>
        <v>0</v>
      </c>
      <c r="AC5121" s="60">
        <f t="shared" si="559"/>
        <v>0</v>
      </c>
    </row>
    <row r="5122" spans="1:29">
      <c r="A5122" s="83" t="str">
        <f t="shared" si="554"/>
        <v/>
      </c>
      <c r="B5122" s="83" t="str">
        <f t="shared" si="560"/>
        <v/>
      </c>
      <c r="U5122" s="83" t="str">
        <f t="shared" si="555"/>
        <v/>
      </c>
      <c r="V5122" s="83" t="str">
        <f t="shared" si="556"/>
        <v/>
      </c>
      <c r="AA5122" s="60">
        <f t="shared" si="557"/>
        <v>0</v>
      </c>
      <c r="AB5122" s="49">
        <f t="shared" si="558"/>
        <v>0</v>
      </c>
      <c r="AC5122" s="60">
        <f t="shared" si="559"/>
        <v>0</v>
      </c>
    </row>
    <row r="5123" spans="1:29">
      <c r="A5123" s="83" t="str">
        <f t="shared" ref="A5123:A5186" si="561">IF(G5123&amp;Q5123&lt;&gt;"",U5123&amp;Q5123,"")</f>
        <v/>
      </c>
      <c r="B5123" s="83" t="str">
        <f t="shared" si="560"/>
        <v/>
      </c>
      <c r="U5123" s="83" t="str">
        <f t="shared" ref="U5123:U5186" si="562">IF(G5123&lt;&gt;"",IF(StyleSpaceSplit,IFERROR(IF(FIND(" ",G5123)&gt;=1,MID(G5123,1,FIND(" ",G5123)-1),G5123),G5123),G5123),"")</f>
        <v/>
      </c>
      <c r="V5123" s="83" t="str">
        <f t="shared" ref="V5123:V5186" si="563">IF(A5123&lt;&gt;"",IFERROR(IF(FIND(" ",G5123)&gt;=1,MID(G5123,FIND(" ",G5123)+1,LEN(G5123)),""),G5123),"")</f>
        <v/>
      </c>
      <c r="AA5123" s="60">
        <f t="shared" ref="AA5123:AA5186" si="564">IFERROR(VALUE(MID($C5123,1,2)),0)</f>
        <v>0</v>
      </c>
      <c r="AB5123" s="49">
        <f t="shared" ref="AB5123:AB5186" si="565">IFERROR(VALUE(MID($C5123,4,3)),0)</f>
        <v>0</v>
      </c>
      <c r="AC5123" s="60">
        <f t="shared" ref="AC5123:AC5186" si="566">VALUE(RIGHT("00"&amp;AA5123,2)&amp;RIGHT("000"&amp;AB5123,3))</f>
        <v>0</v>
      </c>
    </row>
    <row r="5124" spans="1:29">
      <c r="A5124" s="83" t="str">
        <f t="shared" si="561"/>
        <v/>
      </c>
      <c r="B5124" s="83" t="str">
        <f t="shared" si="560"/>
        <v/>
      </c>
      <c r="U5124" s="83" t="str">
        <f t="shared" si="562"/>
        <v/>
      </c>
      <c r="V5124" s="83" t="str">
        <f t="shared" si="563"/>
        <v/>
      </c>
      <c r="AA5124" s="60">
        <f t="shared" si="564"/>
        <v>0</v>
      </c>
      <c r="AB5124" s="49">
        <f t="shared" si="565"/>
        <v>0</v>
      </c>
      <c r="AC5124" s="60">
        <f t="shared" si="566"/>
        <v>0</v>
      </c>
    </row>
    <row r="5125" spans="1:29">
      <c r="A5125" s="83" t="str">
        <f t="shared" si="561"/>
        <v/>
      </c>
      <c r="B5125" s="83" t="str">
        <f t="shared" si="560"/>
        <v/>
      </c>
      <c r="U5125" s="83" t="str">
        <f t="shared" si="562"/>
        <v/>
      </c>
      <c r="V5125" s="83" t="str">
        <f t="shared" si="563"/>
        <v/>
      </c>
      <c r="AA5125" s="60">
        <f t="shared" si="564"/>
        <v>0</v>
      </c>
      <c r="AB5125" s="49">
        <f t="shared" si="565"/>
        <v>0</v>
      </c>
      <c r="AC5125" s="60">
        <f t="shared" si="566"/>
        <v>0</v>
      </c>
    </row>
    <row r="5126" spans="1:29">
      <c r="A5126" s="83" t="str">
        <f t="shared" si="561"/>
        <v/>
      </c>
      <c r="B5126" s="83" t="str">
        <f t="shared" si="560"/>
        <v/>
      </c>
      <c r="U5126" s="83" t="str">
        <f t="shared" si="562"/>
        <v/>
      </c>
      <c r="V5126" s="83" t="str">
        <f t="shared" si="563"/>
        <v/>
      </c>
      <c r="AA5126" s="60">
        <f t="shared" si="564"/>
        <v>0</v>
      </c>
      <c r="AB5126" s="49">
        <f t="shared" si="565"/>
        <v>0</v>
      </c>
      <c r="AC5126" s="60">
        <f t="shared" si="566"/>
        <v>0</v>
      </c>
    </row>
    <row r="5127" spans="1:29">
      <c r="A5127" s="83" t="str">
        <f t="shared" si="561"/>
        <v/>
      </c>
      <c r="B5127" s="83" t="str">
        <f t="shared" si="560"/>
        <v/>
      </c>
      <c r="U5127" s="83" t="str">
        <f t="shared" si="562"/>
        <v/>
      </c>
      <c r="V5127" s="83" t="str">
        <f t="shared" si="563"/>
        <v/>
      </c>
      <c r="AA5127" s="60">
        <f t="shared" si="564"/>
        <v>0</v>
      </c>
      <c r="AB5127" s="49">
        <f t="shared" si="565"/>
        <v>0</v>
      </c>
      <c r="AC5127" s="60">
        <f t="shared" si="566"/>
        <v>0</v>
      </c>
    </row>
    <row r="5128" spans="1:29">
      <c r="A5128" s="83" t="str">
        <f t="shared" si="561"/>
        <v/>
      </c>
      <c r="B5128" s="83" t="str">
        <f t="shared" si="560"/>
        <v/>
      </c>
      <c r="U5128" s="83" t="str">
        <f t="shared" si="562"/>
        <v/>
      </c>
      <c r="V5128" s="83" t="str">
        <f t="shared" si="563"/>
        <v/>
      </c>
      <c r="AA5128" s="60">
        <f t="shared" si="564"/>
        <v>0</v>
      </c>
      <c r="AB5128" s="49">
        <f t="shared" si="565"/>
        <v>0</v>
      </c>
      <c r="AC5128" s="60">
        <f t="shared" si="566"/>
        <v>0</v>
      </c>
    </row>
    <row r="5129" spans="1:29">
      <c r="A5129" s="83" t="str">
        <f t="shared" si="561"/>
        <v/>
      </c>
      <c r="B5129" s="83" t="str">
        <f t="shared" si="560"/>
        <v/>
      </c>
      <c r="U5129" s="83" t="str">
        <f t="shared" si="562"/>
        <v/>
      </c>
      <c r="V5129" s="83" t="str">
        <f t="shared" si="563"/>
        <v/>
      </c>
      <c r="AA5129" s="60">
        <f t="shared" si="564"/>
        <v>0</v>
      </c>
      <c r="AB5129" s="49">
        <f t="shared" si="565"/>
        <v>0</v>
      </c>
      <c r="AC5129" s="60">
        <f t="shared" si="566"/>
        <v>0</v>
      </c>
    </row>
    <row r="5130" spans="1:29">
      <c r="A5130" s="83" t="str">
        <f t="shared" si="561"/>
        <v/>
      </c>
      <c r="B5130" s="83" t="str">
        <f t="shared" si="560"/>
        <v/>
      </c>
      <c r="U5130" s="83" t="str">
        <f t="shared" si="562"/>
        <v/>
      </c>
      <c r="V5130" s="83" t="str">
        <f t="shared" si="563"/>
        <v/>
      </c>
      <c r="AA5130" s="60">
        <f t="shared" si="564"/>
        <v>0</v>
      </c>
      <c r="AB5130" s="49">
        <f t="shared" si="565"/>
        <v>0</v>
      </c>
      <c r="AC5130" s="60">
        <f t="shared" si="566"/>
        <v>0</v>
      </c>
    </row>
    <row r="5131" spans="1:29">
      <c r="A5131" s="83" t="str">
        <f t="shared" si="561"/>
        <v/>
      </c>
      <c r="B5131" s="83" t="str">
        <f t="shared" si="560"/>
        <v/>
      </c>
      <c r="U5131" s="83" t="str">
        <f t="shared" si="562"/>
        <v/>
      </c>
      <c r="V5131" s="83" t="str">
        <f t="shared" si="563"/>
        <v/>
      </c>
      <c r="AA5131" s="60">
        <f t="shared" si="564"/>
        <v>0</v>
      </c>
      <c r="AB5131" s="49">
        <f t="shared" si="565"/>
        <v>0</v>
      </c>
      <c r="AC5131" s="60">
        <f t="shared" si="566"/>
        <v>0</v>
      </c>
    </row>
    <row r="5132" spans="1:29">
      <c r="A5132" s="83" t="str">
        <f t="shared" si="561"/>
        <v/>
      </c>
      <c r="B5132" s="83" t="str">
        <f t="shared" si="560"/>
        <v/>
      </c>
      <c r="U5132" s="83" t="str">
        <f t="shared" si="562"/>
        <v/>
      </c>
      <c r="V5132" s="83" t="str">
        <f t="shared" si="563"/>
        <v/>
      </c>
      <c r="AA5132" s="60">
        <f t="shared" si="564"/>
        <v>0</v>
      </c>
      <c r="AB5132" s="49">
        <f t="shared" si="565"/>
        <v>0</v>
      </c>
      <c r="AC5132" s="60">
        <f t="shared" si="566"/>
        <v>0</v>
      </c>
    </row>
    <row r="5133" spans="1:29">
      <c r="A5133" s="83" t="str">
        <f t="shared" si="561"/>
        <v/>
      </c>
      <c r="B5133" s="83" t="str">
        <f t="shared" si="560"/>
        <v/>
      </c>
      <c r="U5133" s="83" t="str">
        <f t="shared" si="562"/>
        <v/>
      </c>
      <c r="V5133" s="83" t="str">
        <f t="shared" si="563"/>
        <v/>
      </c>
      <c r="AA5133" s="60">
        <f t="shared" si="564"/>
        <v>0</v>
      </c>
      <c r="AB5133" s="49">
        <f t="shared" si="565"/>
        <v>0</v>
      </c>
      <c r="AC5133" s="60">
        <f t="shared" si="566"/>
        <v>0</v>
      </c>
    </row>
    <row r="5134" spans="1:29">
      <c r="A5134" s="83" t="str">
        <f t="shared" si="561"/>
        <v/>
      </c>
      <c r="B5134" s="83" t="str">
        <f t="shared" si="560"/>
        <v/>
      </c>
      <c r="U5134" s="83" t="str">
        <f t="shared" si="562"/>
        <v/>
      </c>
      <c r="V5134" s="83" t="str">
        <f t="shared" si="563"/>
        <v/>
      </c>
      <c r="AA5134" s="60">
        <f t="shared" si="564"/>
        <v>0</v>
      </c>
      <c r="AB5134" s="49">
        <f t="shared" si="565"/>
        <v>0</v>
      </c>
      <c r="AC5134" s="60">
        <f t="shared" si="566"/>
        <v>0</v>
      </c>
    </row>
    <row r="5135" spans="1:29">
      <c r="A5135" s="83" t="str">
        <f t="shared" si="561"/>
        <v/>
      </c>
      <c r="B5135" s="83" t="str">
        <f t="shared" si="560"/>
        <v/>
      </c>
      <c r="U5135" s="83" t="str">
        <f t="shared" si="562"/>
        <v/>
      </c>
      <c r="V5135" s="83" t="str">
        <f t="shared" si="563"/>
        <v/>
      </c>
      <c r="AA5135" s="60">
        <f t="shared" si="564"/>
        <v>0</v>
      </c>
      <c r="AB5135" s="49">
        <f t="shared" si="565"/>
        <v>0</v>
      </c>
      <c r="AC5135" s="60">
        <f t="shared" si="566"/>
        <v>0</v>
      </c>
    </row>
    <row r="5136" spans="1:29">
      <c r="A5136" s="83" t="str">
        <f t="shared" si="561"/>
        <v/>
      </c>
      <c r="B5136" s="83" t="str">
        <f t="shared" si="560"/>
        <v/>
      </c>
      <c r="U5136" s="83" t="str">
        <f t="shared" si="562"/>
        <v/>
      </c>
      <c r="V5136" s="83" t="str">
        <f t="shared" si="563"/>
        <v/>
      </c>
      <c r="AA5136" s="60">
        <f t="shared" si="564"/>
        <v>0</v>
      </c>
      <c r="AB5136" s="49">
        <f t="shared" si="565"/>
        <v>0</v>
      </c>
      <c r="AC5136" s="60">
        <f t="shared" si="566"/>
        <v>0</v>
      </c>
    </row>
    <row r="5137" spans="1:29">
      <c r="A5137" s="83" t="str">
        <f t="shared" si="561"/>
        <v/>
      </c>
      <c r="B5137" s="83" t="str">
        <f t="shared" si="560"/>
        <v/>
      </c>
      <c r="U5137" s="83" t="str">
        <f t="shared" si="562"/>
        <v/>
      </c>
      <c r="V5137" s="83" t="str">
        <f t="shared" si="563"/>
        <v/>
      </c>
      <c r="AA5137" s="60">
        <f t="shared" si="564"/>
        <v>0</v>
      </c>
      <c r="AB5137" s="49">
        <f t="shared" si="565"/>
        <v>0</v>
      </c>
      <c r="AC5137" s="60">
        <f t="shared" si="566"/>
        <v>0</v>
      </c>
    </row>
    <row r="5138" spans="1:29">
      <c r="A5138" s="83" t="str">
        <f t="shared" si="561"/>
        <v/>
      </c>
      <c r="B5138" s="83" t="str">
        <f t="shared" si="560"/>
        <v/>
      </c>
      <c r="U5138" s="83" t="str">
        <f t="shared" si="562"/>
        <v/>
      </c>
      <c r="V5138" s="83" t="str">
        <f t="shared" si="563"/>
        <v/>
      </c>
      <c r="AA5138" s="60">
        <f t="shared" si="564"/>
        <v>0</v>
      </c>
      <c r="AB5138" s="49">
        <f t="shared" si="565"/>
        <v>0</v>
      </c>
      <c r="AC5138" s="60">
        <f t="shared" si="566"/>
        <v>0</v>
      </c>
    </row>
    <row r="5139" spans="1:29">
      <c r="A5139" s="83" t="str">
        <f t="shared" si="561"/>
        <v/>
      </c>
      <c r="B5139" s="83" t="str">
        <f t="shared" si="560"/>
        <v/>
      </c>
      <c r="U5139" s="83" t="str">
        <f t="shared" si="562"/>
        <v/>
      </c>
      <c r="V5139" s="83" t="str">
        <f t="shared" si="563"/>
        <v/>
      </c>
      <c r="AA5139" s="60">
        <f t="shared" si="564"/>
        <v>0</v>
      </c>
      <c r="AB5139" s="49">
        <f t="shared" si="565"/>
        <v>0</v>
      </c>
      <c r="AC5139" s="60">
        <f t="shared" si="566"/>
        <v>0</v>
      </c>
    </row>
    <row r="5140" spans="1:29">
      <c r="A5140" s="83" t="str">
        <f t="shared" si="561"/>
        <v/>
      </c>
      <c r="B5140" s="83" t="str">
        <f t="shared" si="560"/>
        <v/>
      </c>
      <c r="U5140" s="83" t="str">
        <f t="shared" si="562"/>
        <v/>
      </c>
      <c r="V5140" s="83" t="str">
        <f t="shared" si="563"/>
        <v/>
      </c>
      <c r="AA5140" s="60">
        <f t="shared" si="564"/>
        <v>0</v>
      </c>
      <c r="AB5140" s="49">
        <f t="shared" si="565"/>
        <v>0</v>
      </c>
      <c r="AC5140" s="60">
        <f t="shared" si="566"/>
        <v>0</v>
      </c>
    </row>
    <row r="5141" spans="1:29">
      <c r="A5141" s="83" t="str">
        <f t="shared" si="561"/>
        <v/>
      </c>
      <c r="B5141" s="83" t="str">
        <f t="shared" si="560"/>
        <v/>
      </c>
      <c r="U5141" s="83" t="str">
        <f t="shared" si="562"/>
        <v/>
      </c>
      <c r="V5141" s="83" t="str">
        <f t="shared" si="563"/>
        <v/>
      </c>
      <c r="AA5141" s="60">
        <f t="shared" si="564"/>
        <v>0</v>
      </c>
      <c r="AB5141" s="49">
        <f t="shared" si="565"/>
        <v>0</v>
      </c>
      <c r="AC5141" s="60">
        <f t="shared" si="566"/>
        <v>0</v>
      </c>
    </row>
    <row r="5142" spans="1:29">
      <c r="A5142" s="83" t="str">
        <f t="shared" si="561"/>
        <v/>
      </c>
      <c r="B5142" s="83" t="str">
        <f t="shared" si="560"/>
        <v/>
      </c>
      <c r="U5142" s="83" t="str">
        <f t="shared" si="562"/>
        <v/>
      </c>
      <c r="V5142" s="83" t="str">
        <f t="shared" si="563"/>
        <v/>
      </c>
      <c r="AA5142" s="60">
        <f t="shared" si="564"/>
        <v>0</v>
      </c>
      <c r="AB5142" s="49">
        <f t="shared" si="565"/>
        <v>0</v>
      </c>
      <c r="AC5142" s="60">
        <f t="shared" si="566"/>
        <v>0</v>
      </c>
    </row>
    <row r="5143" spans="1:29">
      <c r="A5143" s="83" t="str">
        <f t="shared" si="561"/>
        <v/>
      </c>
      <c r="B5143" s="83" t="str">
        <f t="shared" si="560"/>
        <v/>
      </c>
      <c r="U5143" s="83" t="str">
        <f t="shared" si="562"/>
        <v/>
      </c>
      <c r="V5143" s="83" t="str">
        <f t="shared" si="563"/>
        <v/>
      </c>
      <c r="AA5143" s="60">
        <f t="shared" si="564"/>
        <v>0</v>
      </c>
      <c r="AB5143" s="49">
        <f t="shared" si="565"/>
        <v>0</v>
      </c>
      <c r="AC5143" s="60">
        <f t="shared" si="566"/>
        <v>0</v>
      </c>
    </row>
    <row r="5144" spans="1:29">
      <c r="A5144" s="83" t="str">
        <f t="shared" si="561"/>
        <v/>
      </c>
      <c r="B5144" s="83" t="str">
        <f t="shared" si="560"/>
        <v/>
      </c>
      <c r="U5144" s="83" t="str">
        <f t="shared" si="562"/>
        <v/>
      </c>
      <c r="V5144" s="83" t="str">
        <f t="shared" si="563"/>
        <v/>
      </c>
      <c r="AA5144" s="60">
        <f t="shared" si="564"/>
        <v>0</v>
      </c>
      <c r="AB5144" s="49">
        <f t="shared" si="565"/>
        <v>0</v>
      </c>
      <c r="AC5144" s="60">
        <f t="shared" si="566"/>
        <v>0</v>
      </c>
    </row>
    <row r="5145" spans="1:29">
      <c r="A5145" s="83" t="str">
        <f t="shared" si="561"/>
        <v/>
      </c>
      <c r="B5145" s="83" t="str">
        <f t="shared" si="560"/>
        <v/>
      </c>
      <c r="U5145" s="83" t="str">
        <f t="shared" si="562"/>
        <v/>
      </c>
      <c r="V5145" s="83" t="str">
        <f t="shared" si="563"/>
        <v/>
      </c>
      <c r="AA5145" s="60">
        <f t="shared" si="564"/>
        <v>0</v>
      </c>
      <c r="AB5145" s="49">
        <f t="shared" si="565"/>
        <v>0</v>
      </c>
      <c r="AC5145" s="60">
        <f t="shared" si="566"/>
        <v>0</v>
      </c>
    </row>
    <row r="5146" spans="1:29">
      <c r="A5146" s="83" t="str">
        <f t="shared" si="561"/>
        <v/>
      </c>
      <c r="B5146" s="83" t="str">
        <f t="shared" si="560"/>
        <v/>
      </c>
      <c r="U5146" s="83" t="str">
        <f t="shared" si="562"/>
        <v/>
      </c>
      <c r="V5146" s="83" t="str">
        <f t="shared" si="563"/>
        <v/>
      </c>
      <c r="AA5146" s="60">
        <f t="shared" si="564"/>
        <v>0</v>
      </c>
      <c r="AB5146" s="49">
        <f t="shared" si="565"/>
        <v>0</v>
      </c>
      <c r="AC5146" s="60">
        <f t="shared" si="566"/>
        <v>0</v>
      </c>
    </row>
    <row r="5147" spans="1:29">
      <c r="A5147" s="83" t="str">
        <f t="shared" si="561"/>
        <v/>
      </c>
      <c r="B5147" s="83" t="str">
        <f t="shared" si="560"/>
        <v/>
      </c>
      <c r="U5147" s="83" t="str">
        <f t="shared" si="562"/>
        <v/>
      </c>
      <c r="V5147" s="83" t="str">
        <f t="shared" si="563"/>
        <v/>
      </c>
      <c r="AA5147" s="60">
        <f t="shared" si="564"/>
        <v>0</v>
      </c>
      <c r="AB5147" s="49">
        <f t="shared" si="565"/>
        <v>0</v>
      </c>
      <c r="AC5147" s="60">
        <f t="shared" si="566"/>
        <v>0</v>
      </c>
    </row>
    <row r="5148" spans="1:29">
      <c r="A5148" s="83" t="str">
        <f t="shared" si="561"/>
        <v/>
      </c>
      <c r="B5148" s="83" t="str">
        <f t="shared" si="560"/>
        <v/>
      </c>
      <c r="U5148" s="83" t="str">
        <f t="shared" si="562"/>
        <v/>
      </c>
      <c r="V5148" s="83" t="str">
        <f t="shared" si="563"/>
        <v/>
      </c>
      <c r="AA5148" s="60">
        <f t="shared" si="564"/>
        <v>0</v>
      </c>
      <c r="AB5148" s="49">
        <f t="shared" si="565"/>
        <v>0</v>
      </c>
      <c r="AC5148" s="60">
        <f t="shared" si="566"/>
        <v>0</v>
      </c>
    </row>
    <row r="5149" spans="1:29">
      <c r="A5149" s="83" t="str">
        <f t="shared" si="561"/>
        <v/>
      </c>
      <c r="B5149" s="83" t="str">
        <f t="shared" si="560"/>
        <v/>
      </c>
      <c r="U5149" s="83" t="str">
        <f t="shared" si="562"/>
        <v/>
      </c>
      <c r="V5149" s="83" t="str">
        <f t="shared" si="563"/>
        <v/>
      </c>
      <c r="AA5149" s="60">
        <f t="shared" si="564"/>
        <v>0</v>
      </c>
      <c r="AB5149" s="49">
        <f t="shared" si="565"/>
        <v>0</v>
      </c>
      <c r="AC5149" s="60">
        <f t="shared" si="566"/>
        <v>0</v>
      </c>
    </row>
    <row r="5150" spans="1:29">
      <c r="A5150" s="83" t="str">
        <f t="shared" si="561"/>
        <v/>
      </c>
      <c r="B5150" s="83" t="str">
        <f t="shared" si="560"/>
        <v/>
      </c>
      <c r="U5150" s="83" t="str">
        <f t="shared" si="562"/>
        <v/>
      </c>
      <c r="V5150" s="83" t="str">
        <f t="shared" si="563"/>
        <v/>
      </c>
      <c r="AA5150" s="60">
        <f t="shared" si="564"/>
        <v>0</v>
      </c>
      <c r="AB5150" s="49">
        <f t="shared" si="565"/>
        <v>0</v>
      </c>
      <c r="AC5150" s="60">
        <f t="shared" si="566"/>
        <v>0</v>
      </c>
    </row>
    <row r="5151" spans="1:29">
      <c r="A5151" s="83" t="str">
        <f t="shared" si="561"/>
        <v/>
      </c>
      <c r="B5151" s="83" t="str">
        <f t="shared" si="560"/>
        <v/>
      </c>
      <c r="U5151" s="83" t="str">
        <f t="shared" si="562"/>
        <v/>
      </c>
      <c r="V5151" s="83" t="str">
        <f t="shared" si="563"/>
        <v/>
      </c>
      <c r="AA5151" s="60">
        <f t="shared" si="564"/>
        <v>0</v>
      </c>
      <c r="AB5151" s="49">
        <f t="shared" si="565"/>
        <v>0</v>
      </c>
      <c r="AC5151" s="60">
        <f t="shared" si="566"/>
        <v>0</v>
      </c>
    </row>
    <row r="5152" spans="1:29">
      <c r="A5152" s="83" t="str">
        <f t="shared" si="561"/>
        <v/>
      </c>
      <c r="B5152" s="83" t="str">
        <f t="shared" si="560"/>
        <v/>
      </c>
      <c r="U5152" s="83" t="str">
        <f t="shared" si="562"/>
        <v/>
      </c>
      <c r="V5152" s="83" t="str">
        <f t="shared" si="563"/>
        <v/>
      </c>
      <c r="AA5152" s="60">
        <f t="shared" si="564"/>
        <v>0</v>
      </c>
      <c r="AB5152" s="49">
        <f t="shared" si="565"/>
        <v>0</v>
      </c>
      <c r="AC5152" s="60">
        <f t="shared" si="566"/>
        <v>0</v>
      </c>
    </row>
    <row r="5153" spans="1:29">
      <c r="A5153" s="83" t="str">
        <f t="shared" si="561"/>
        <v/>
      </c>
      <c r="B5153" s="83" t="str">
        <f t="shared" ref="B5153:B5216" si="567">IF(C5153&lt;&gt;"",LEFT(C5153,9),"")</f>
        <v/>
      </c>
      <c r="U5153" s="83" t="str">
        <f t="shared" si="562"/>
        <v/>
      </c>
      <c r="V5153" s="83" t="str">
        <f t="shared" si="563"/>
        <v/>
      </c>
      <c r="AA5153" s="60">
        <f t="shared" si="564"/>
        <v>0</v>
      </c>
      <c r="AB5153" s="49">
        <f t="shared" si="565"/>
        <v>0</v>
      </c>
      <c r="AC5153" s="60">
        <f t="shared" si="566"/>
        <v>0</v>
      </c>
    </row>
    <row r="5154" spans="1:29">
      <c r="A5154" s="83" t="str">
        <f t="shared" si="561"/>
        <v/>
      </c>
      <c r="B5154" s="83" t="str">
        <f t="shared" si="567"/>
        <v/>
      </c>
      <c r="U5154" s="83" t="str">
        <f t="shared" si="562"/>
        <v/>
      </c>
      <c r="V5154" s="83" t="str">
        <f t="shared" si="563"/>
        <v/>
      </c>
      <c r="AA5154" s="60">
        <f t="shared" si="564"/>
        <v>0</v>
      </c>
      <c r="AB5154" s="49">
        <f t="shared" si="565"/>
        <v>0</v>
      </c>
      <c r="AC5154" s="60">
        <f t="shared" si="566"/>
        <v>0</v>
      </c>
    </row>
    <row r="5155" spans="1:29">
      <c r="A5155" s="83" t="str">
        <f t="shared" si="561"/>
        <v/>
      </c>
      <c r="B5155" s="83" t="str">
        <f t="shared" si="567"/>
        <v/>
      </c>
      <c r="U5155" s="83" t="str">
        <f t="shared" si="562"/>
        <v/>
      </c>
      <c r="V5155" s="83" t="str">
        <f t="shared" si="563"/>
        <v/>
      </c>
      <c r="AA5155" s="60">
        <f t="shared" si="564"/>
        <v>0</v>
      </c>
      <c r="AB5155" s="49">
        <f t="shared" si="565"/>
        <v>0</v>
      </c>
      <c r="AC5155" s="60">
        <f t="shared" si="566"/>
        <v>0</v>
      </c>
    </row>
    <row r="5156" spans="1:29">
      <c r="A5156" s="83" t="str">
        <f t="shared" si="561"/>
        <v/>
      </c>
      <c r="B5156" s="83" t="str">
        <f t="shared" si="567"/>
        <v/>
      </c>
      <c r="U5156" s="83" t="str">
        <f t="shared" si="562"/>
        <v/>
      </c>
      <c r="V5156" s="83" t="str">
        <f t="shared" si="563"/>
        <v/>
      </c>
      <c r="AA5156" s="60">
        <f t="shared" si="564"/>
        <v>0</v>
      </c>
      <c r="AB5156" s="49">
        <f t="shared" si="565"/>
        <v>0</v>
      </c>
      <c r="AC5156" s="60">
        <f t="shared" si="566"/>
        <v>0</v>
      </c>
    </row>
    <row r="5157" spans="1:29">
      <c r="A5157" s="83" t="str">
        <f t="shared" si="561"/>
        <v/>
      </c>
      <c r="B5157" s="83" t="str">
        <f t="shared" si="567"/>
        <v/>
      </c>
      <c r="U5157" s="83" t="str">
        <f t="shared" si="562"/>
        <v/>
      </c>
      <c r="V5157" s="83" t="str">
        <f t="shared" si="563"/>
        <v/>
      </c>
      <c r="AA5157" s="60">
        <f t="shared" si="564"/>
        <v>0</v>
      </c>
      <c r="AB5157" s="49">
        <f t="shared" si="565"/>
        <v>0</v>
      </c>
      <c r="AC5157" s="60">
        <f t="shared" si="566"/>
        <v>0</v>
      </c>
    </row>
    <row r="5158" spans="1:29">
      <c r="A5158" s="83" t="str">
        <f t="shared" si="561"/>
        <v/>
      </c>
      <c r="B5158" s="83" t="str">
        <f t="shared" si="567"/>
        <v/>
      </c>
      <c r="U5158" s="83" t="str">
        <f t="shared" si="562"/>
        <v/>
      </c>
      <c r="V5158" s="83" t="str">
        <f t="shared" si="563"/>
        <v/>
      </c>
      <c r="AA5158" s="60">
        <f t="shared" si="564"/>
        <v>0</v>
      </c>
      <c r="AB5158" s="49">
        <f t="shared" si="565"/>
        <v>0</v>
      </c>
      <c r="AC5158" s="60">
        <f t="shared" si="566"/>
        <v>0</v>
      </c>
    </row>
    <row r="5159" spans="1:29">
      <c r="A5159" s="83" t="str">
        <f t="shared" si="561"/>
        <v/>
      </c>
      <c r="B5159" s="83" t="str">
        <f t="shared" si="567"/>
        <v/>
      </c>
      <c r="U5159" s="83" t="str">
        <f t="shared" si="562"/>
        <v/>
      </c>
      <c r="V5159" s="83" t="str">
        <f t="shared" si="563"/>
        <v/>
      </c>
      <c r="AA5159" s="60">
        <f t="shared" si="564"/>
        <v>0</v>
      </c>
      <c r="AB5159" s="49">
        <f t="shared" si="565"/>
        <v>0</v>
      </c>
      <c r="AC5159" s="60">
        <f t="shared" si="566"/>
        <v>0</v>
      </c>
    </row>
    <row r="5160" spans="1:29">
      <c r="A5160" s="83" t="str">
        <f t="shared" si="561"/>
        <v/>
      </c>
      <c r="B5160" s="83" t="str">
        <f t="shared" si="567"/>
        <v/>
      </c>
      <c r="U5160" s="83" t="str">
        <f t="shared" si="562"/>
        <v/>
      </c>
      <c r="V5160" s="83" t="str">
        <f t="shared" si="563"/>
        <v/>
      </c>
      <c r="AA5160" s="60">
        <f t="shared" si="564"/>
        <v>0</v>
      </c>
      <c r="AB5160" s="49">
        <f t="shared" si="565"/>
        <v>0</v>
      </c>
      <c r="AC5160" s="60">
        <f t="shared" si="566"/>
        <v>0</v>
      </c>
    </row>
    <row r="5161" spans="1:29">
      <c r="A5161" s="83" t="str">
        <f t="shared" si="561"/>
        <v/>
      </c>
      <c r="B5161" s="83" t="str">
        <f t="shared" si="567"/>
        <v/>
      </c>
      <c r="U5161" s="83" t="str">
        <f t="shared" si="562"/>
        <v/>
      </c>
      <c r="V5161" s="83" t="str">
        <f t="shared" si="563"/>
        <v/>
      </c>
      <c r="AA5161" s="60">
        <f t="shared" si="564"/>
        <v>0</v>
      </c>
      <c r="AB5161" s="49">
        <f t="shared" si="565"/>
        <v>0</v>
      </c>
      <c r="AC5161" s="60">
        <f t="shared" si="566"/>
        <v>0</v>
      </c>
    </row>
    <row r="5162" spans="1:29">
      <c r="A5162" s="83" t="str">
        <f t="shared" si="561"/>
        <v/>
      </c>
      <c r="B5162" s="83" t="str">
        <f t="shared" si="567"/>
        <v/>
      </c>
      <c r="U5162" s="83" t="str">
        <f t="shared" si="562"/>
        <v/>
      </c>
      <c r="V5162" s="83" t="str">
        <f t="shared" si="563"/>
        <v/>
      </c>
      <c r="AA5162" s="60">
        <f t="shared" si="564"/>
        <v>0</v>
      </c>
      <c r="AB5162" s="49">
        <f t="shared" si="565"/>
        <v>0</v>
      </c>
      <c r="AC5162" s="60">
        <f t="shared" si="566"/>
        <v>0</v>
      </c>
    </row>
    <row r="5163" spans="1:29">
      <c r="A5163" s="83" t="str">
        <f t="shared" si="561"/>
        <v/>
      </c>
      <c r="B5163" s="83" t="str">
        <f t="shared" si="567"/>
        <v/>
      </c>
      <c r="U5163" s="83" t="str">
        <f t="shared" si="562"/>
        <v/>
      </c>
      <c r="V5163" s="83" t="str">
        <f t="shared" si="563"/>
        <v/>
      </c>
      <c r="AA5163" s="60">
        <f t="shared" si="564"/>
        <v>0</v>
      </c>
      <c r="AB5163" s="49">
        <f t="shared" si="565"/>
        <v>0</v>
      </c>
      <c r="AC5163" s="60">
        <f t="shared" si="566"/>
        <v>0</v>
      </c>
    </row>
    <row r="5164" spans="1:29">
      <c r="A5164" s="83" t="str">
        <f t="shared" si="561"/>
        <v/>
      </c>
      <c r="B5164" s="83" t="str">
        <f t="shared" si="567"/>
        <v/>
      </c>
      <c r="U5164" s="83" t="str">
        <f t="shared" si="562"/>
        <v/>
      </c>
      <c r="V5164" s="83" t="str">
        <f t="shared" si="563"/>
        <v/>
      </c>
      <c r="AA5164" s="60">
        <f t="shared" si="564"/>
        <v>0</v>
      </c>
      <c r="AB5164" s="49">
        <f t="shared" si="565"/>
        <v>0</v>
      </c>
      <c r="AC5164" s="60">
        <f t="shared" si="566"/>
        <v>0</v>
      </c>
    </row>
    <row r="5165" spans="1:29">
      <c r="A5165" s="83" t="str">
        <f t="shared" si="561"/>
        <v/>
      </c>
      <c r="B5165" s="83" t="str">
        <f t="shared" si="567"/>
        <v/>
      </c>
      <c r="U5165" s="83" t="str">
        <f t="shared" si="562"/>
        <v/>
      </c>
      <c r="V5165" s="83" t="str">
        <f t="shared" si="563"/>
        <v/>
      </c>
      <c r="AA5165" s="60">
        <f t="shared" si="564"/>
        <v>0</v>
      </c>
      <c r="AB5165" s="49">
        <f t="shared" si="565"/>
        <v>0</v>
      </c>
      <c r="AC5165" s="60">
        <f t="shared" si="566"/>
        <v>0</v>
      </c>
    </row>
    <row r="5166" spans="1:29">
      <c r="A5166" s="83" t="str">
        <f t="shared" si="561"/>
        <v/>
      </c>
      <c r="B5166" s="83" t="str">
        <f t="shared" si="567"/>
        <v/>
      </c>
      <c r="U5166" s="83" t="str">
        <f t="shared" si="562"/>
        <v/>
      </c>
      <c r="V5166" s="83" t="str">
        <f t="shared" si="563"/>
        <v/>
      </c>
      <c r="AA5166" s="60">
        <f t="shared" si="564"/>
        <v>0</v>
      </c>
      <c r="AB5166" s="49">
        <f t="shared" si="565"/>
        <v>0</v>
      </c>
      <c r="AC5166" s="60">
        <f t="shared" si="566"/>
        <v>0</v>
      </c>
    </row>
    <row r="5167" spans="1:29">
      <c r="A5167" s="83" t="str">
        <f t="shared" si="561"/>
        <v/>
      </c>
      <c r="B5167" s="83" t="str">
        <f t="shared" si="567"/>
        <v/>
      </c>
      <c r="U5167" s="83" t="str">
        <f t="shared" si="562"/>
        <v/>
      </c>
      <c r="V5167" s="83" t="str">
        <f t="shared" si="563"/>
        <v/>
      </c>
      <c r="AA5167" s="60">
        <f t="shared" si="564"/>
        <v>0</v>
      </c>
      <c r="AB5167" s="49">
        <f t="shared" si="565"/>
        <v>0</v>
      </c>
      <c r="AC5167" s="60">
        <f t="shared" si="566"/>
        <v>0</v>
      </c>
    </row>
    <row r="5168" spans="1:29">
      <c r="A5168" s="83" t="str">
        <f t="shared" si="561"/>
        <v/>
      </c>
      <c r="B5168" s="83" t="str">
        <f t="shared" si="567"/>
        <v/>
      </c>
      <c r="U5168" s="83" t="str">
        <f t="shared" si="562"/>
        <v/>
      </c>
      <c r="V5168" s="83" t="str">
        <f t="shared" si="563"/>
        <v/>
      </c>
      <c r="AA5168" s="60">
        <f t="shared" si="564"/>
        <v>0</v>
      </c>
      <c r="AB5168" s="49">
        <f t="shared" si="565"/>
        <v>0</v>
      </c>
      <c r="AC5168" s="60">
        <f t="shared" si="566"/>
        <v>0</v>
      </c>
    </row>
    <row r="5169" spans="1:29">
      <c r="A5169" s="83" t="str">
        <f t="shared" si="561"/>
        <v/>
      </c>
      <c r="B5169" s="83" t="str">
        <f t="shared" si="567"/>
        <v/>
      </c>
      <c r="U5169" s="83" t="str">
        <f t="shared" si="562"/>
        <v/>
      </c>
      <c r="V5169" s="83" t="str">
        <f t="shared" si="563"/>
        <v/>
      </c>
      <c r="AA5169" s="60">
        <f t="shared" si="564"/>
        <v>0</v>
      </c>
      <c r="AB5169" s="49">
        <f t="shared" si="565"/>
        <v>0</v>
      </c>
      <c r="AC5169" s="60">
        <f t="shared" si="566"/>
        <v>0</v>
      </c>
    </row>
    <row r="5170" spans="1:29">
      <c r="A5170" s="83" t="str">
        <f t="shared" si="561"/>
        <v/>
      </c>
      <c r="B5170" s="83" t="str">
        <f t="shared" si="567"/>
        <v/>
      </c>
      <c r="U5170" s="83" t="str">
        <f t="shared" si="562"/>
        <v/>
      </c>
      <c r="V5170" s="83" t="str">
        <f t="shared" si="563"/>
        <v/>
      </c>
      <c r="AA5170" s="60">
        <f t="shared" si="564"/>
        <v>0</v>
      </c>
      <c r="AB5170" s="49">
        <f t="shared" si="565"/>
        <v>0</v>
      </c>
      <c r="AC5170" s="60">
        <f t="shared" si="566"/>
        <v>0</v>
      </c>
    </row>
    <row r="5171" spans="1:29">
      <c r="A5171" s="83" t="str">
        <f t="shared" si="561"/>
        <v/>
      </c>
      <c r="B5171" s="83" t="str">
        <f t="shared" si="567"/>
        <v/>
      </c>
      <c r="U5171" s="83" t="str">
        <f t="shared" si="562"/>
        <v/>
      </c>
      <c r="V5171" s="83" t="str">
        <f t="shared" si="563"/>
        <v/>
      </c>
      <c r="AA5171" s="60">
        <f t="shared" si="564"/>
        <v>0</v>
      </c>
      <c r="AB5171" s="49">
        <f t="shared" si="565"/>
        <v>0</v>
      </c>
      <c r="AC5171" s="60">
        <f t="shared" si="566"/>
        <v>0</v>
      </c>
    </row>
    <row r="5172" spans="1:29">
      <c r="A5172" s="83" t="str">
        <f t="shared" si="561"/>
        <v/>
      </c>
      <c r="B5172" s="83" t="str">
        <f t="shared" si="567"/>
        <v/>
      </c>
      <c r="U5172" s="83" t="str">
        <f t="shared" si="562"/>
        <v/>
      </c>
      <c r="V5172" s="83" t="str">
        <f t="shared" si="563"/>
        <v/>
      </c>
      <c r="AA5172" s="60">
        <f t="shared" si="564"/>
        <v>0</v>
      </c>
      <c r="AB5172" s="49">
        <f t="shared" si="565"/>
        <v>0</v>
      </c>
      <c r="AC5172" s="60">
        <f t="shared" si="566"/>
        <v>0</v>
      </c>
    </row>
    <row r="5173" spans="1:29">
      <c r="A5173" s="83" t="str">
        <f t="shared" si="561"/>
        <v/>
      </c>
      <c r="B5173" s="83" t="str">
        <f t="shared" si="567"/>
        <v/>
      </c>
      <c r="U5173" s="83" t="str">
        <f t="shared" si="562"/>
        <v/>
      </c>
      <c r="V5173" s="83" t="str">
        <f t="shared" si="563"/>
        <v/>
      </c>
      <c r="AA5173" s="60">
        <f t="shared" si="564"/>
        <v>0</v>
      </c>
      <c r="AB5173" s="49">
        <f t="shared" si="565"/>
        <v>0</v>
      </c>
      <c r="AC5173" s="60">
        <f t="shared" si="566"/>
        <v>0</v>
      </c>
    </row>
    <row r="5174" spans="1:29">
      <c r="A5174" s="83" t="str">
        <f t="shared" si="561"/>
        <v/>
      </c>
      <c r="B5174" s="83" t="str">
        <f t="shared" si="567"/>
        <v/>
      </c>
      <c r="U5174" s="83" t="str">
        <f t="shared" si="562"/>
        <v/>
      </c>
      <c r="V5174" s="83" t="str">
        <f t="shared" si="563"/>
        <v/>
      </c>
      <c r="AA5174" s="60">
        <f t="shared" si="564"/>
        <v>0</v>
      </c>
      <c r="AB5174" s="49">
        <f t="shared" si="565"/>
        <v>0</v>
      </c>
      <c r="AC5174" s="60">
        <f t="shared" si="566"/>
        <v>0</v>
      </c>
    </row>
    <row r="5175" spans="1:29">
      <c r="A5175" s="83" t="str">
        <f t="shared" si="561"/>
        <v/>
      </c>
      <c r="B5175" s="83" t="str">
        <f t="shared" si="567"/>
        <v/>
      </c>
      <c r="U5175" s="83" t="str">
        <f t="shared" si="562"/>
        <v/>
      </c>
      <c r="V5175" s="83" t="str">
        <f t="shared" si="563"/>
        <v/>
      </c>
      <c r="AA5175" s="60">
        <f t="shared" si="564"/>
        <v>0</v>
      </c>
      <c r="AB5175" s="49">
        <f t="shared" si="565"/>
        <v>0</v>
      </c>
      <c r="AC5175" s="60">
        <f t="shared" si="566"/>
        <v>0</v>
      </c>
    </row>
    <row r="5176" spans="1:29">
      <c r="A5176" s="83" t="str">
        <f t="shared" si="561"/>
        <v/>
      </c>
      <c r="B5176" s="83" t="str">
        <f t="shared" si="567"/>
        <v/>
      </c>
      <c r="U5176" s="83" t="str">
        <f t="shared" si="562"/>
        <v/>
      </c>
      <c r="V5176" s="83" t="str">
        <f t="shared" si="563"/>
        <v/>
      </c>
      <c r="AA5176" s="60">
        <f t="shared" si="564"/>
        <v>0</v>
      </c>
      <c r="AB5176" s="49">
        <f t="shared" si="565"/>
        <v>0</v>
      </c>
      <c r="AC5176" s="60">
        <f t="shared" si="566"/>
        <v>0</v>
      </c>
    </row>
    <row r="5177" spans="1:29">
      <c r="A5177" s="83" t="str">
        <f t="shared" si="561"/>
        <v/>
      </c>
      <c r="B5177" s="83" t="str">
        <f t="shared" si="567"/>
        <v/>
      </c>
      <c r="U5177" s="83" t="str">
        <f t="shared" si="562"/>
        <v/>
      </c>
      <c r="V5177" s="83" t="str">
        <f t="shared" si="563"/>
        <v/>
      </c>
      <c r="AA5177" s="60">
        <f t="shared" si="564"/>
        <v>0</v>
      </c>
      <c r="AB5177" s="49">
        <f t="shared" si="565"/>
        <v>0</v>
      </c>
      <c r="AC5177" s="60">
        <f t="shared" si="566"/>
        <v>0</v>
      </c>
    </row>
    <row r="5178" spans="1:29">
      <c r="A5178" s="83" t="str">
        <f t="shared" si="561"/>
        <v/>
      </c>
      <c r="B5178" s="83" t="str">
        <f t="shared" si="567"/>
        <v/>
      </c>
      <c r="U5178" s="83" t="str">
        <f t="shared" si="562"/>
        <v/>
      </c>
      <c r="V5178" s="83" t="str">
        <f t="shared" si="563"/>
        <v/>
      </c>
      <c r="AA5178" s="60">
        <f t="shared" si="564"/>
        <v>0</v>
      </c>
      <c r="AB5178" s="49">
        <f t="shared" si="565"/>
        <v>0</v>
      </c>
      <c r="AC5178" s="60">
        <f t="shared" si="566"/>
        <v>0</v>
      </c>
    </row>
    <row r="5179" spans="1:29">
      <c r="A5179" s="83" t="str">
        <f t="shared" si="561"/>
        <v/>
      </c>
      <c r="B5179" s="83" t="str">
        <f t="shared" si="567"/>
        <v/>
      </c>
      <c r="U5179" s="83" t="str">
        <f t="shared" si="562"/>
        <v/>
      </c>
      <c r="V5179" s="83" t="str">
        <f t="shared" si="563"/>
        <v/>
      </c>
      <c r="AA5179" s="60">
        <f t="shared" si="564"/>
        <v>0</v>
      </c>
      <c r="AB5179" s="49">
        <f t="shared" si="565"/>
        <v>0</v>
      </c>
      <c r="AC5179" s="60">
        <f t="shared" si="566"/>
        <v>0</v>
      </c>
    </row>
    <row r="5180" spans="1:29">
      <c r="A5180" s="83" t="str">
        <f t="shared" si="561"/>
        <v/>
      </c>
      <c r="B5180" s="83" t="str">
        <f t="shared" si="567"/>
        <v/>
      </c>
      <c r="U5180" s="83" t="str">
        <f t="shared" si="562"/>
        <v/>
      </c>
      <c r="V5180" s="83" t="str">
        <f t="shared" si="563"/>
        <v/>
      </c>
      <c r="AA5180" s="60">
        <f t="shared" si="564"/>
        <v>0</v>
      </c>
      <c r="AB5180" s="49">
        <f t="shared" si="565"/>
        <v>0</v>
      </c>
      <c r="AC5180" s="60">
        <f t="shared" si="566"/>
        <v>0</v>
      </c>
    </row>
    <row r="5181" spans="1:29">
      <c r="A5181" s="83" t="str">
        <f t="shared" si="561"/>
        <v/>
      </c>
      <c r="B5181" s="83" t="str">
        <f t="shared" si="567"/>
        <v/>
      </c>
      <c r="U5181" s="83" t="str">
        <f t="shared" si="562"/>
        <v/>
      </c>
      <c r="V5181" s="83" t="str">
        <f t="shared" si="563"/>
        <v/>
      </c>
      <c r="AA5181" s="60">
        <f t="shared" si="564"/>
        <v>0</v>
      </c>
      <c r="AB5181" s="49">
        <f t="shared" si="565"/>
        <v>0</v>
      </c>
      <c r="AC5181" s="60">
        <f t="shared" si="566"/>
        <v>0</v>
      </c>
    </row>
    <row r="5182" spans="1:29">
      <c r="A5182" s="83" t="str">
        <f t="shared" si="561"/>
        <v/>
      </c>
      <c r="B5182" s="83" t="str">
        <f t="shared" si="567"/>
        <v/>
      </c>
      <c r="U5182" s="83" t="str">
        <f t="shared" si="562"/>
        <v/>
      </c>
      <c r="V5182" s="83" t="str">
        <f t="shared" si="563"/>
        <v/>
      </c>
      <c r="AA5182" s="60">
        <f t="shared" si="564"/>
        <v>0</v>
      </c>
      <c r="AB5182" s="49">
        <f t="shared" si="565"/>
        <v>0</v>
      </c>
      <c r="AC5182" s="60">
        <f t="shared" si="566"/>
        <v>0</v>
      </c>
    </row>
    <row r="5183" spans="1:29">
      <c r="A5183" s="83" t="str">
        <f t="shared" si="561"/>
        <v/>
      </c>
      <c r="B5183" s="83" t="str">
        <f t="shared" si="567"/>
        <v/>
      </c>
      <c r="U5183" s="83" t="str">
        <f t="shared" si="562"/>
        <v/>
      </c>
      <c r="V5183" s="83" t="str">
        <f t="shared" si="563"/>
        <v/>
      </c>
      <c r="AA5183" s="60">
        <f t="shared" si="564"/>
        <v>0</v>
      </c>
      <c r="AB5183" s="49">
        <f t="shared" si="565"/>
        <v>0</v>
      </c>
      <c r="AC5183" s="60">
        <f t="shared" si="566"/>
        <v>0</v>
      </c>
    </row>
    <row r="5184" spans="1:29">
      <c r="A5184" s="83" t="str">
        <f t="shared" si="561"/>
        <v/>
      </c>
      <c r="B5184" s="83" t="str">
        <f t="shared" si="567"/>
        <v/>
      </c>
      <c r="U5184" s="83" t="str">
        <f t="shared" si="562"/>
        <v/>
      </c>
      <c r="V5184" s="83" t="str">
        <f t="shared" si="563"/>
        <v/>
      </c>
      <c r="AA5184" s="60">
        <f t="shared" si="564"/>
        <v>0</v>
      </c>
      <c r="AB5184" s="49">
        <f t="shared" si="565"/>
        <v>0</v>
      </c>
      <c r="AC5184" s="60">
        <f t="shared" si="566"/>
        <v>0</v>
      </c>
    </row>
    <row r="5185" spans="1:29">
      <c r="A5185" s="83" t="str">
        <f t="shared" si="561"/>
        <v/>
      </c>
      <c r="B5185" s="83" t="str">
        <f t="shared" si="567"/>
        <v/>
      </c>
      <c r="U5185" s="83" t="str">
        <f t="shared" si="562"/>
        <v/>
      </c>
      <c r="V5185" s="83" t="str">
        <f t="shared" si="563"/>
        <v/>
      </c>
      <c r="AA5185" s="60">
        <f t="shared" si="564"/>
        <v>0</v>
      </c>
      <c r="AB5185" s="49">
        <f t="shared" si="565"/>
        <v>0</v>
      </c>
      <c r="AC5185" s="60">
        <f t="shared" si="566"/>
        <v>0</v>
      </c>
    </row>
    <row r="5186" spans="1:29">
      <c r="A5186" s="83" t="str">
        <f t="shared" si="561"/>
        <v/>
      </c>
      <c r="B5186" s="83" t="str">
        <f t="shared" si="567"/>
        <v/>
      </c>
      <c r="U5186" s="83" t="str">
        <f t="shared" si="562"/>
        <v/>
      </c>
      <c r="V5186" s="83" t="str">
        <f t="shared" si="563"/>
        <v/>
      </c>
      <c r="AA5186" s="60">
        <f t="shared" si="564"/>
        <v>0</v>
      </c>
      <c r="AB5186" s="49">
        <f t="shared" si="565"/>
        <v>0</v>
      </c>
      <c r="AC5186" s="60">
        <f t="shared" si="566"/>
        <v>0</v>
      </c>
    </row>
    <row r="5187" spans="1:29">
      <c r="A5187" s="83" t="str">
        <f t="shared" ref="A5187:A5250" si="568">IF(G5187&amp;Q5187&lt;&gt;"",U5187&amp;Q5187,"")</f>
        <v/>
      </c>
      <c r="B5187" s="83" t="str">
        <f t="shared" si="567"/>
        <v/>
      </c>
      <c r="U5187" s="83" t="str">
        <f t="shared" ref="U5187:U5250" si="569">IF(G5187&lt;&gt;"",IF(StyleSpaceSplit,IFERROR(IF(FIND(" ",G5187)&gt;=1,MID(G5187,1,FIND(" ",G5187)-1),G5187),G5187),G5187),"")</f>
        <v/>
      </c>
      <c r="V5187" s="83" t="str">
        <f t="shared" ref="V5187:V5250" si="570">IF(A5187&lt;&gt;"",IFERROR(IF(FIND(" ",G5187)&gt;=1,MID(G5187,FIND(" ",G5187)+1,LEN(G5187)),""),G5187),"")</f>
        <v/>
      </c>
      <c r="AA5187" s="60">
        <f t="shared" ref="AA5187:AA5250" si="571">IFERROR(VALUE(MID($C5187,1,2)),0)</f>
        <v>0</v>
      </c>
      <c r="AB5187" s="49">
        <f t="shared" ref="AB5187:AB5250" si="572">IFERROR(VALUE(MID($C5187,4,3)),0)</f>
        <v>0</v>
      </c>
      <c r="AC5187" s="60">
        <f t="shared" ref="AC5187:AC5250" si="573">VALUE(RIGHT("00"&amp;AA5187,2)&amp;RIGHT("000"&amp;AB5187,3))</f>
        <v>0</v>
      </c>
    </row>
    <row r="5188" spans="1:29">
      <c r="A5188" s="83" t="str">
        <f t="shared" si="568"/>
        <v/>
      </c>
      <c r="B5188" s="83" t="str">
        <f t="shared" si="567"/>
        <v/>
      </c>
      <c r="U5188" s="83" t="str">
        <f t="shared" si="569"/>
        <v/>
      </c>
      <c r="V5188" s="83" t="str">
        <f t="shared" si="570"/>
        <v/>
      </c>
      <c r="AA5188" s="60">
        <f t="shared" si="571"/>
        <v>0</v>
      </c>
      <c r="AB5188" s="49">
        <f t="shared" si="572"/>
        <v>0</v>
      </c>
      <c r="AC5188" s="60">
        <f t="shared" si="573"/>
        <v>0</v>
      </c>
    </row>
    <row r="5189" spans="1:29">
      <c r="A5189" s="83" t="str">
        <f t="shared" si="568"/>
        <v/>
      </c>
      <c r="B5189" s="83" t="str">
        <f t="shared" si="567"/>
        <v/>
      </c>
      <c r="U5189" s="83" t="str">
        <f t="shared" si="569"/>
        <v/>
      </c>
      <c r="V5189" s="83" t="str">
        <f t="shared" si="570"/>
        <v/>
      </c>
      <c r="AA5189" s="60">
        <f t="shared" si="571"/>
        <v>0</v>
      </c>
      <c r="AB5189" s="49">
        <f t="shared" si="572"/>
        <v>0</v>
      </c>
      <c r="AC5189" s="60">
        <f t="shared" si="573"/>
        <v>0</v>
      </c>
    </row>
    <row r="5190" spans="1:29">
      <c r="A5190" s="83" t="str">
        <f t="shared" si="568"/>
        <v/>
      </c>
      <c r="B5190" s="83" t="str">
        <f t="shared" si="567"/>
        <v/>
      </c>
      <c r="U5190" s="83" t="str">
        <f t="shared" si="569"/>
        <v/>
      </c>
      <c r="V5190" s="83" t="str">
        <f t="shared" si="570"/>
        <v/>
      </c>
      <c r="AA5190" s="60">
        <f t="shared" si="571"/>
        <v>0</v>
      </c>
      <c r="AB5190" s="49">
        <f t="shared" si="572"/>
        <v>0</v>
      </c>
      <c r="AC5190" s="60">
        <f t="shared" si="573"/>
        <v>0</v>
      </c>
    </row>
    <row r="5191" spans="1:29">
      <c r="A5191" s="83" t="str">
        <f t="shared" si="568"/>
        <v/>
      </c>
      <c r="B5191" s="83" t="str">
        <f t="shared" si="567"/>
        <v/>
      </c>
      <c r="U5191" s="83" t="str">
        <f t="shared" si="569"/>
        <v/>
      </c>
      <c r="V5191" s="83" t="str">
        <f t="shared" si="570"/>
        <v/>
      </c>
      <c r="AA5191" s="60">
        <f t="shared" si="571"/>
        <v>0</v>
      </c>
      <c r="AB5191" s="49">
        <f t="shared" si="572"/>
        <v>0</v>
      </c>
      <c r="AC5191" s="60">
        <f t="shared" si="573"/>
        <v>0</v>
      </c>
    </row>
    <row r="5192" spans="1:29">
      <c r="A5192" s="83" t="str">
        <f t="shared" si="568"/>
        <v/>
      </c>
      <c r="B5192" s="83" t="str">
        <f t="shared" si="567"/>
        <v/>
      </c>
      <c r="U5192" s="83" t="str">
        <f t="shared" si="569"/>
        <v/>
      </c>
      <c r="V5192" s="83" t="str">
        <f t="shared" si="570"/>
        <v/>
      </c>
      <c r="AA5192" s="60">
        <f t="shared" si="571"/>
        <v>0</v>
      </c>
      <c r="AB5192" s="49">
        <f t="shared" si="572"/>
        <v>0</v>
      </c>
      <c r="AC5192" s="60">
        <f t="shared" si="573"/>
        <v>0</v>
      </c>
    </row>
    <row r="5193" spans="1:29">
      <c r="A5193" s="83" t="str">
        <f t="shared" si="568"/>
        <v/>
      </c>
      <c r="B5193" s="83" t="str">
        <f t="shared" si="567"/>
        <v/>
      </c>
      <c r="U5193" s="83" t="str">
        <f t="shared" si="569"/>
        <v/>
      </c>
      <c r="V5193" s="83" t="str">
        <f t="shared" si="570"/>
        <v/>
      </c>
      <c r="AA5193" s="60">
        <f t="shared" si="571"/>
        <v>0</v>
      </c>
      <c r="AB5193" s="49">
        <f t="shared" si="572"/>
        <v>0</v>
      </c>
      <c r="AC5193" s="60">
        <f t="shared" si="573"/>
        <v>0</v>
      </c>
    </row>
    <row r="5194" spans="1:29">
      <c r="A5194" s="83" t="str">
        <f t="shared" si="568"/>
        <v/>
      </c>
      <c r="B5194" s="83" t="str">
        <f t="shared" si="567"/>
        <v/>
      </c>
      <c r="U5194" s="83" t="str">
        <f t="shared" si="569"/>
        <v/>
      </c>
      <c r="V5194" s="83" t="str">
        <f t="shared" si="570"/>
        <v/>
      </c>
      <c r="AA5194" s="60">
        <f t="shared" si="571"/>
        <v>0</v>
      </c>
      <c r="AB5194" s="49">
        <f t="shared" si="572"/>
        <v>0</v>
      </c>
      <c r="AC5194" s="60">
        <f t="shared" si="573"/>
        <v>0</v>
      </c>
    </row>
    <row r="5195" spans="1:29">
      <c r="A5195" s="83" t="str">
        <f t="shared" si="568"/>
        <v/>
      </c>
      <c r="B5195" s="83" t="str">
        <f t="shared" si="567"/>
        <v/>
      </c>
      <c r="U5195" s="83" t="str">
        <f t="shared" si="569"/>
        <v/>
      </c>
      <c r="V5195" s="83" t="str">
        <f t="shared" si="570"/>
        <v/>
      </c>
      <c r="AA5195" s="60">
        <f t="shared" si="571"/>
        <v>0</v>
      </c>
      <c r="AB5195" s="49">
        <f t="shared" si="572"/>
        <v>0</v>
      </c>
      <c r="AC5195" s="60">
        <f t="shared" si="573"/>
        <v>0</v>
      </c>
    </row>
    <row r="5196" spans="1:29">
      <c r="A5196" s="83" t="str">
        <f t="shared" si="568"/>
        <v/>
      </c>
      <c r="B5196" s="83" t="str">
        <f t="shared" si="567"/>
        <v/>
      </c>
      <c r="U5196" s="83" t="str">
        <f t="shared" si="569"/>
        <v/>
      </c>
      <c r="V5196" s="83" t="str">
        <f t="shared" si="570"/>
        <v/>
      </c>
      <c r="AA5196" s="60">
        <f t="shared" si="571"/>
        <v>0</v>
      </c>
      <c r="AB5196" s="49">
        <f t="shared" si="572"/>
        <v>0</v>
      </c>
      <c r="AC5196" s="60">
        <f t="shared" si="573"/>
        <v>0</v>
      </c>
    </row>
    <row r="5197" spans="1:29">
      <c r="A5197" s="83" t="str">
        <f t="shared" si="568"/>
        <v/>
      </c>
      <c r="B5197" s="83" t="str">
        <f t="shared" si="567"/>
        <v/>
      </c>
      <c r="U5197" s="83" t="str">
        <f t="shared" si="569"/>
        <v/>
      </c>
      <c r="V5197" s="83" t="str">
        <f t="shared" si="570"/>
        <v/>
      </c>
      <c r="AA5197" s="60">
        <f t="shared" si="571"/>
        <v>0</v>
      </c>
      <c r="AB5197" s="49">
        <f t="shared" si="572"/>
        <v>0</v>
      </c>
      <c r="AC5197" s="60">
        <f t="shared" si="573"/>
        <v>0</v>
      </c>
    </row>
    <row r="5198" spans="1:29">
      <c r="A5198" s="83" t="str">
        <f t="shared" si="568"/>
        <v/>
      </c>
      <c r="B5198" s="83" t="str">
        <f t="shared" si="567"/>
        <v/>
      </c>
      <c r="U5198" s="83" t="str">
        <f t="shared" si="569"/>
        <v/>
      </c>
      <c r="V5198" s="83" t="str">
        <f t="shared" si="570"/>
        <v/>
      </c>
      <c r="AA5198" s="60">
        <f t="shared" si="571"/>
        <v>0</v>
      </c>
      <c r="AB5198" s="49">
        <f t="shared" si="572"/>
        <v>0</v>
      </c>
      <c r="AC5198" s="60">
        <f t="shared" si="573"/>
        <v>0</v>
      </c>
    </row>
    <row r="5199" spans="1:29">
      <c r="A5199" s="83" t="str">
        <f t="shared" si="568"/>
        <v/>
      </c>
      <c r="B5199" s="83" t="str">
        <f t="shared" si="567"/>
        <v/>
      </c>
      <c r="U5199" s="83" t="str">
        <f t="shared" si="569"/>
        <v/>
      </c>
      <c r="V5199" s="83" t="str">
        <f t="shared" si="570"/>
        <v/>
      </c>
      <c r="AA5199" s="60">
        <f t="shared" si="571"/>
        <v>0</v>
      </c>
      <c r="AB5199" s="49">
        <f t="shared" si="572"/>
        <v>0</v>
      </c>
      <c r="AC5199" s="60">
        <f t="shared" si="573"/>
        <v>0</v>
      </c>
    </row>
    <row r="5200" spans="1:29">
      <c r="A5200" s="83" t="str">
        <f t="shared" si="568"/>
        <v/>
      </c>
      <c r="B5200" s="83" t="str">
        <f t="shared" si="567"/>
        <v/>
      </c>
      <c r="U5200" s="83" t="str">
        <f t="shared" si="569"/>
        <v/>
      </c>
      <c r="V5200" s="83" t="str">
        <f t="shared" si="570"/>
        <v/>
      </c>
      <c r="AA5200" s="60">
        <f t="shared" si="571"/>
        <v>0</v>
      </c>
      <c r="AB5200" s="49">
        <f t="shared" si="572"/>
        <v>0</v>
      </c>
      <c r="AC5200" s="60">
        <f t="shared" si="573"/>
        <v>0</v>
      </c>
    </row>
    <row r="5201" spans="1:29">
      <c r="A5201" s="83" t="str">
        <f t="shared" si="568"/>
        <v/>
      </c>
      <c r="B5201" s="83" t="str">
        <f t="shared" si="567"/>
        <v/>
      </c>
      <c r="U5201" s="83" t="str">
        <f t="shared" si="569"/>
        <v/>
      </c>
      <c r="V5201" s="83" t="str">
        <f t="shared" si="570"/>
        <v/>
      </c>
      <c r="AA5201" s="60">
        <f t="shared" si="571"/>
        <v>0</v>
      </c>
      <c r="AB5201" s="49">
        <f t="shared" si="572"/>
        <v>0</v>
      </c>
      <c r="AC5201" s="60">
        <f t="shared" si="573"/>
        <v>0</v>
      </c>
    </row>
    <row r="5202" spans="1:29">
      <c r="A5202" s="83" t="str">
        <f t="shared" si="568"/>
        <v/>
      </c>
      <c r="B5202" s="83" t="str">
        <f t="shared" si="567"/>
        <v/>
      </c>
      <c r="U5202" s="83" t="str">
        <f t="shared" si="569"/>
        <v/>
      </c>
      <c r="V5202" s="83" t="str">
        <f t="shared" si="570"/>
        <v/>
      </c>
      <c r="AA5202" s="60">
        <f t="shared" si="571"/>
        <v>0</v>
      </c>
      <c r="AB5202" s="49">
        <f t="shared" si="572"/>
        <v>0</v>
      </c>
      <c r="AC5202" s="60">
        <f t="shared" si="573"/>
        <v>0</v>
      </c>
    </row>
    <row r="5203" spans="1:29">
      <c r="A5203" s="83" t="str">
        <f t="shared" si="568"/>
        <v/>
      </c>
      <c r="B5203" s="83" t="str">
        <f t="shared" si="567"/>
        <v/>
      </c>
      <c r="U5203" s="83" t="str">
        <f t="shared" si="569"/>
        <v/>
      </c>
      <c r="V5203" s="83" t="str">
        <f t="shared" si="570"/>
        <v/>
      </c>
      <c r="AA5203" s="60">
        <f t="shared" si="571"/>
        <v>0</v>
      </c>
      <c r="AB5203" s="49">
        <f t="shared" si="572"/>
        <v>0</v>
      </c>
      <c r="AC5203" s="60">
        <f t="shared" si="573"/>
        <v>0</v>
      </c>
    </row>
    <row r="5204" spans="1:29">
      <c r="A5204" s="83" t="str">
        <f t="shared" si="568"/>
        <v/>
      </c>
      <c r="B5204" s="83" t="str">
        <f t="shared" si="567"/>
        <v/>
      </c>
      <c r="U5204" s="83" t="str">
        <f t="shared" si="569"/>
        <v/>
      </c>
      <c r="V5204" s="83" t="str">
        <f t="shared" si="570"/>
        <v/>
      </c>
      <c r="AA5204" s="60">
        <f t="shared" si="571"/>
        <v>0</v>
      </c>
      <c r="AB5204" s="49">
        <f t="shared" si="572"/>
        <v>0</v>
      </c>
      <c r="AC5204" s="60">
        <f t="shared" si="573"/>
        <v>0</v>
      </c>
    </row>
    <row r="5205" spans="1:29">
      <c r="A5205" s="83" t="str">
        <f t="shared" si="568"/>
        <v/>
      </c>
      <c r="B5205" s="83" t="str">
        <f t="shared" si="567"/>
        <v/>
      </c>
      <c r="U5205" s="83" t="str">
        <f t="shared" si="569"/>
        <v/>
      </c>
      <c r="V5205" s="83" t="str">
        <f t="shared" si="570"/>
        <v/>
      </c>
      <c r="AA5205" s="60">
        <f t="shared" si="571"/>
        <v>0</v>
      </c>
      <c r="AB5205" s="49">
        <f t="shared" si="572"/>
        <v>0</v>
      </c>
      <c r="AC5205" s="60">
        <f t="shared" si="573"/>
        <v>0</v>
      </c>
    </row>
    <row r="5206" spans="1:29">
      <c r="A5206" s="83" t="str">
        <f t="shared" si="568"/>
        <v/>
      </c>
      <c r="B5206" s="83" t="str">
        <f t="shared" si="567"/>
        <v/>
      </c>
      <c r="U5206" s="83" t="str">
        <f t="shared" si="569"/>
        <v/>
      </c>
      <c r="V5206" s="83" t="str">
        <f t="shared" si="570"/>
        <v/>
      </c>
      <c r="AA5206" s="60">
        <f t="shared" si="571"/>
        <v>0</v>
      </c>
      <c r="AB5206" s="49">
        <f t="shared" si="572"/>
        <v>0</v>
      </c>
      <c r="AC5206" s="60">
        <f t="shared" si="573"/>
        <v>0</v>
      </c>
    </row>
    <row r="5207" spans="1:29">
      <c r="A5207" s="83" t="str">
        <f t="shared" si="568"/>
        <v/>
      </c>
      <c r="B5207" s="83" t="str">
        <f t="shared" si="567"/>
        <v/>
      </c>
      <c r="U5207" s="83" t="str">
        <f t="shared" si="569"/>
        <v/>
      </c>
      <c r="V5207" s="83" t="str">
        <f t="shared" si="570"/>
        <v/>
      </c>
      <c r="AA5207" s="60">
        <f t="shared" si="571"/>
        <v>0</v>
      </c>
      <c r="AB5207" s="49">
        <f t="shared" si="572"/>
        <v>0</v>
      </c>
      <c r="AC5207" s="60">
        <f t="shared" si="573"/>
        <v>0</v>
      </c>
    </row>
    <row r="5208" spans="1:29">
      <c r="A5208" s="83" t="str">
        <f t="shared" si="568"/>
        <v/>
      </c>
      <c r="B5208" s="83" t="str">
        <f t="shared" si="567"/>
        <v/>
      </c>
      <c r="U5208" s="83" t="str">
        <f t="shared" si="569"/>
        <v/>
      </c>
      <c r="V5208" s="83" t="str">
        <f t="shared" si="570"/>
        <v/>
      </c>
      <c r="AA5208" s="60">
        <f t="shared" si="571"/>
        <v>0</v>
      </c>
      <c r="AB5208" s="49">
        <f t="shared" si="572"/>
        <v>0</v>
      </c>
      <c r="AC5208" s="60">
        <f t="shared" si="573"/>
        <v>0</v>
      </c>
    </row>
    <row r="5209" spans="1:29">
      <c r="A5209" s="83" t="str">
        <f t="shared" si="568"/>
        <v/>
      </c>
      <c r="B5209" s="83" t="str">
        <f t="shared" si="567"/>
        <v/>
      </c>
      <c r="U5209" s="83" t="str">
        <f t="shared" si="569"/>
        <v/>
      </c>
      <c r="V5209" s="83" t="str">
        <f t="shared" si="570"/>
        <v/>
      </c>
      <c r="AA5209" s="60">
        <f t="shared" si="571"/>
        <v>0</v>
      </c>
      <c r="AB5209" s="49">
        <f t="shared" si="572"/>
        <v>0</v>
      </c>
      <c r="AC5209" s="60">
        <f t="shared" si="573"/>
        <v>0</v>
      </c>
    </row>
    <row r="5210" spans="1:29">
      <c r="A5210" s="83" t="str">
        <f t="shared" si="568"/>
        <v/>
      </c>
      <c r="B5210" s="83" t="str">
        <f t="shared" si="567"/>
        <v/>
      </c>
      <c r="U5210" s="83" t="str">
        <f t="shared" si="569"/>
        <v/>
      </c>
      <c r="V5210" s="83" t="str">
        <f t="shared" si="570"/>
        <v/>
      </c>
      <c r="AA5210" s="60">
        <f t="shared" si="571"/>
        <v>0</v>
      </c>
      <c r="AB5210" s="49">
        <f t="shared" si="572"/>
        <v>0</v>
      </c>
      <c r="AC5210" s="60">
        <f t="shared" si="573"/>
        <v>0</v>
      </c>
    </row>
    <row r="5211" spans="1:29">
      <c r="A5211" s="83" t="str">
        <f t="shared" si="568"/>
        <v/>
      </c>
      <c r="B5211" s="83" t="str">
        <f t="shared" si="567"/>
        <v/>
      </c>
      <c r="U5211" s="83" t="str">
        <f t="shared" si="569"/>
        <v/>
      </c>
      <c r="V5211" s="83" t="str">
        <f t="shared" si="570"/>
        <v/>
      </c>
      <c r="AA5211" s="60">
        <f t="shared" si="571"/>
        <v>0</v>
      </c>
      <c r="AB5211" s="49">
        <f t="shared" si="572"/>
        <v>0</v>
      </c>
      <c r="AC5211" s="60">
        <f t="shared" si="573"/>
        <v>0</v>
      </c>
    </row>
    <row r="5212" spans="1:29">
      <c r="A5212" s="83" t="str">
        <f t="shared" si="568"/>
        <v/>
      </c>
      <c r="B5212" s="83" t="str">
        <f t="shared" si="567"/>
        <v/>
      </c>
      <c r="U5212" s="83" t="str">
        <f t="shared" si="569"/>
        <v/>
      </c>
      <c r="V5212" s="83" t="str">
        <f t="shared" si="570"/>
        <v/>
      </c>
      <c r="AA5212" s="60">
        <f t="shared" si="571"/>
        <v>0</v>
      </c>
      <c r="AB5212" s="49">
        <f t="shared" si="572"/>
        <v>0</v>
      </c>
      <c r="AC5212" s="60">
        <f t="shared" si="573"/>
        <v>0</v>
      </c>
    </row>
    <row r="5213" spans="1:29">
      <c r="A5213" s="83" t="str">
        <f t="shared" si="568"/>
        <v/>
      </c>
      <c r="B5213" s="83" t="str">
        <f t="shared" si="567"/>
        <v/>
      </c>
      <c r="U5213" s="83" t="str">
        <f t="shared" si="569"/>
        <v/>
      </c>
      <c r="V5213" s="83" t="str">
        <f t="shared" si="570"/>
        <v/>
      </c>
      <c r="AA5213" s="60">
        <f t="shared" si="571"/>
        <v>0</v>
      </c>
      <c r="AB5213" s="49">
        <f t="shared" si="572"/>
        <v>0</v>
      </c>
      <c r="AC5213" s="60">
        <f t="shared" si="573"/>
        <v>0</v>
      </c>
    </row>
    <row r="5214" spans="1:29">
      <c r="A5214" s="83" t="str">
        <f t="shared" si="568"/>
        <v/>
      </c>
      <c r="B5214" s="83" t="str">
        <f t="shared" si="567"/>
        <v/>
      </c>
      <c r="U5214" s="83" t="str">
        <f t="shared" si="569"/>
        <v/>
      </c>
      <c r="V5214" s="83" t="str">
        <f t="shared" si="570"/>
        <v/>
      </c>
      <c r="AA5214" s="60">
        <f t="shared" si="571"/>
        <v>0</v>
      </c>
      <c r="AB5214" s="49">
        <f t="shared" si="572"/>
        <v>0</v>
      </c>
      <c r="AC5214" s="60">
        <f t="shared" si="573"/>
        <v>0</v>
      </c>
    </row>
    <row r="5215" spans="1:29">
      <c r="A5215" s="83" t="str">
        <f t="shared" si="568"/>
        <v/>
      </c>
      <c r="B5215" s="83" t="str">
        <f t="shared" si="567"/>
        <v/>
      </c>
      <c r="U5215" s="83" t="str">
        <f t="shared" si="569"/>
        <v/>
      </c>
      <c r="V5215" s="83" t="str">
        <f t="shared" si="570"/>
        <v/>
      </c>
      <c r="AA5215" s="60">
        <f t="shared" si="571"/>
        <v>0</v>
      </c>
      <c r="AB5215" s="49">
        <f t="shared" si="572"/>
        <v>0</v>
      </c>
      <c r="AC5215" s="60">
        <f t="shared" si="573"/>
        <v>0</v>
      </c>
    </row>
    <row r="5216" spans="1:29">
      <c r="A5216" s="83" t="str">
        <f t="shared" si="568"/>
        <v/>
      </c>
      <c r="B5216" s="83" t="str">
        <f t="shared" si="567"/>
        <v/>
      </c>
      <c r="U5216" s="83" t="str">
        <f t="shared" si="569"/>
        <v/>
      </c>
      <c r="V5216" s="83" t="str">
        <f t="shared" si="570"/>
        <v/>
      </c>
      <c r="AA5216" s="60">
        <f t="shared" si="571"/>
        <v>0</v>
      </c>
      <c r="AB5216" s="49">
        <f t="shared" si="572"/>
        <v>0</v>
      </c>
      <c r="AC5216" s="60">
        <f t="shared" si="573"/>
        <v>0</v>
      </c>
    </row>
    <row r="5217" spans="1:29">
      <c r="A5217" s="83" t="str">
        <f t="shared" si="568"/>
        <v/>
      </c>
      <c r="B5217" s="83" t="str">
        <f t="shared" ref="B5217:B5280" si="574">IF(C5217&lt;&gt;"",LEFT(C5217,9),"")</f>
        <v/>
      </c>
      <c r="U5217" s="83" t="str">
        <f t="shared" si="569"/>
        <v/>
      </c>
      <c r="V5217" s="83" t="str">
        <f t="shared" si="570"/>
        <v/>
      </c>
      <c r="AA5217" s="60">
        <f t="shared" si="571"/>
        <v>0</v>
      </c>
      <c r="AB5217" s="49">
        <f t="shared" si="572"/>
        <v>0</v>
      </c>
      <c r="AC5217" s="60">
        <f t="shared" si="573"/>
        <v>0</v>
      </c>
    </row>
    <row r="5218" spans="1:29">
      <c r="A5218" s="83" t="str">
        <f t="shared" si="568"/>
        <v/>
      </c>
      <c r="B5218" s="83" t="str">
        <f t="shared" si="574"/>
        <v/>
      </c>
      <c r="U5218" s="83" t="str">
        <f t="shared" si="569"/>
        <v/>
      </c>
      <c r="V5218" s="83" t="str">
        <f t="shared" si="570"/>
        <v/>
      </c>
      <c r="AA5218" s="60">
        <f t="shared" si="571"/>
        <v>0</v>
      </c>
      <c r="AB5218" s="49">
        <f t="shared" si="572"/>
        <v>0</v>
      </c>
      <c r="AC5218" s="60">
        <f t="shared" si="573"/>
        <v>0</v>
      </c>
    </row>
    <row r="5219" spans="1:29">
      <c r="A5219" s="83" t="str">
        <f t="shared" si="568"/>
        <v/>
      </c>
      <c r="B5219" s="83" t="str">
        <f t="shared" si="574"/>
        <v/>
      </c>
      <c r="U5219" s="83" t="str">
        <f t="shared" si="569"/>
        <v/>
      </c>
      <c r="V5219" s="83" t="str">
        <f t="shared" si="570"/>
        <v/>
      </c>
      <c r="AA5219" s="60">
        <f t="shared" si="571"/>
        <v>0</v>
      </c>
      <c r="AB5219" s="49">
        <f t="shared" si="572"/>
        <v>0</v>
      </c>
      <c r="AC5219" s="60">
        <f t="shared" si="573"/>
        <v>0</v>
      </c>
    </row>
    <row r="5220" spans="1:29">
      <c r="A5220" s="83" t="str">
        <f t="shared" si="568"/>
        <v/>
      </c>
      <c r="B5220" s="83" t="str">
        <f t="shared" si="574"/>
        <v/>
      </c>
      <c r="U5220" s="83" t="str">
        <f t="shared" si="569"/>
        <v/>
      </c>
      <c r="V5220" s="83" t="str">
        <f t="shared" si="570"/>
        <v/>
      </c>
      <c r="AA5220" s="60">
        <f t="shared" si="571"/>
        <v>0</v>
      </c>
      <c r="AB5220" s="49">
        <f t="shared" si="572"/>
        <v>0</v>
      </c>
      <c r="AC5220" s="60">
        <f t="shared" si="573"/>
        <v>0</v>
      </c>
    </row>
    <row r="5221" spans="1:29">
      <c r="A5221" s="83" t="str">
        <f t="shared" si="568"/>
        <v/>
      </c>
      <c r="B5221" s="83" t="str">
        <f t="shared" si="574"/>
        <v/>
      </c>
      <c r="U5221" s="83" t="str">
        <f t="shared" si="569"/>
        <v/>
      </c>
      <c r="V5221" s="83" t="str">
        <f t="shared" si="570"/>
        <v/>
      </c>
      <c r="AA5221" s="60">
        <f t="shared" si="571"/>
        <v>0</v>
      </c>
      <c r="AB5221" s="49">
        <f t="shared" si="572"/>
        <v>0</v>
      </c>
      <c r="AC5221" s="60">
        <f t="shared" si="573"/>
        <v>0</v>
      </c>
    </row>
    <row r="5222" spans="1:29">
      <c r="A5222" s="83" t="str">
        <f t="shared" si="568"/>
        <v/>
      </c>
      <c r="B5222" s="83" t="str">
        <f t="shared" si="574"/>
        <v/>
      </c>
      <c r="U5222" s="83" t="str">
        <f t="shared" si="569"/>
        <v/>
      </c>
      <c r="V5222" s="83" t="str">
        <f t="shared" si="570"/>
        <v/>
      </c>
      <c r="AA5222" s="60">
        <f t="shared" si="571"/>
        <v>0</v>
      </c>
      <c r="AB5222" s="49">
        <f t="shared" si="572"/>
        <v>0</v>
      </c>
      <c r="AC5222" s="60">
        <f t="shared" si="573"/>
        <v>0</v>
      </c>
    </row>
    <row r="5223" spans="1:29">
      <c r="A5223" s="83" t="str">
        <f t="shared" si="568"/>
        <v/>
      </c>
      <c r="B5223" s="83" t="str">
        <f t="shared" si="574"/>
        <v/>
      </c>
      <c r="U5223" s="83" t="str">
        <f t="shared" si="569"/>
        <v/>
      </c>
      <c r="V5223" s="83" t="str">
        <f t="shared" si="570"/>
        <v/>
      </c>
      <c r="AA5223" s="60">
        <f t="shared" si="571"/>
        <v>0</v>
      </c>
      <c r="AB5223" s="49">
        <f t="shared" si="572"/>
        <v>0</v>
      </c>
      <c r="AC5223" s="60">
        <f t="shared" si="573"/>
        <v>0</v>
      </c>
    </row>
    <row r="5224" spans="1:29">
      <c r="A5224" s="83" t="str">
        <f t="shared" si="568"/>
        <v/>
      </c>
      <c r="B5224" s="83" t="str">
        <f t="shared" si="574"/>
        <v/>
      </c>
      <c r="U5224" s="83" t="str">
        <f t="shared" si="569"/>
        <v/>
      </c>
      <c r="V5224" s="83" t="str">
        <f t="shared" si="570"/>
        <v/>
      </c>
      <c r="AA5224" s="60">
        <f t="shared" si="571"/>
        <v>0</v>
      </c>
      <c r="AB5224" s="49">
        <f t="shared" si="572"/>
        <v>0</v>
      </c>
      <c r="AC5224" s="60">
        <f t="shared" si="573"/>
        <v>0</v>
      </c>
    </row>
    <row r="5225" spans="1:29">
      <c r="A5225" s="83" t="str">
        <f t="shared" si="568"/>
        <v/>
      </c>
      <c r="B5225" s="83" t="str">
        <f t="shared" si="574"/>
        <v/>
      </c>
      <c r="U5225" s="83" t="str">
        <f t="shared" si="569"/>
        <v/>
      </c>
      <c r="V5225" s="83" t="str">
        <f t="shared" si="570"/>
        <v/>
      </c>
      <c r="AA5225" s="60">
        <f t="shared" si="571"/>
        <v>0</v>
      </c>
      <c r="AB5225" s="49">
        <f t="shared" si="572"/>
        <v>0</v>
      </c>
      <c r="AC5225" s="60">
        <f t="shared" si="573"/>
        <v>0</v>
      </c>
    </row>
    <row r="5226" spans="1:29">
      <c r="A5226" s="83" t="str">
        <f t="shared" si="568"/>
        <v/>
      </c>
      <c r="B5226" s="83" t="str">
        <f t="shared" si="574"/>
        <v/>
      </c>
      <c r="U5226" s="83" t="str">
        <f t="shared" si="569"/>
        <v/>
      </c>
      <c r="V5226" s="83" t="str">
        <f t="shared" si="570"/>
        <v/>
      </c>
      <c r="AA5226" s="60">
        <f t="shared" si="571"/>
        <v>0</v>
      </c>
      <c r="AB5226" s="49">
        <f t="shared" si="572"/>
        <v>0</v>
      </c>
      <c r="AC5226" s="60">
        <f t="shared" si="573"/>
        <v>0</v>
      </c>
    </row>
    <row r="5227" spans="1:29">
      <c r="A5227" s="83" t="str">
        <f t="shared" si="568"/>
        <v/>
      </c>
      <c r="B5227" s="83" t="str">
        <f t="shared" si="574"/>
        <v/>
      </c>
      <c r="U5227" s="83" t="str">
        <f t="shared" si="569"/>
        <v/>
      </c>
      <c r="V5227" s="83" t="str">
        <f t="shared" si="570"/>
        <v/>
      </c>
      <c r="AA5227" s="60">
        <f t="shared" si="571"/>
        <v>0</v>
      </c>
      <c r="AB5227" s="49">
        <f t="shared" si="572"/>
        <v>0</v>
      </c>
      <c r="AC5227" s="60">
        <f t="shared" si="573"/>
        <v>0</v>
      </c>
    </row>
    <row r="5228" spans="1:29">
      <c r="A5228" s="83" t="str">
        <f t="shared" si="568"/>
        <v/>
      </c>
      <c r="B5228" s="83" t="str">
        <f t="shared" si="574"/>
        <v/>
      </c>
      <c r="U5228" s="83" t="str">
        <f t="shared" si="569"/>
        <v/>
      </c>
      <c r="V5228" s="83" t="str">
        <f t="shared" si="570"/>
        <v/>
      </c>
      <c r="AA5228" s="60">
        <f t="shared" si="571"/>
        <v>0</v>
      </c>
      <c r="AB5228" s="49">
        <f t="shared" si="572"/>
        <v>0</v>
      </c>
      <c r="AC5228" s="60">
        <f t="shared" si="573"/>
        <v>0</v>
      </c>
    </row>
    <row r="5229" spans="1:29">
      <c r="A5229" s="83" t="str">
        <f t="shared" si="568"/>
        <v/>
      </c>
      <c r="B5229" s="83" t="str">
        <f t="shared" si="574"/>
        <v/>
      </c>
      <c r="U5229" s="83" t="str">
        <f t="shared" si="569"/>
        <v/>
      </c>
      <c r="V5229" s="83" t="str">
        <f t="shared" si="570"/>
        <v/>
      </c>
      <c r="AA5229" s="60">
        <f t="shared" si="571"/>
        <v>0</v>
      </c>
      <c r="AB5229" s="49">
        <f t="shared" si="572"/>
        <v>0</v>
      </c>
      <c r="AC5229" s="60">
        <f t="shared" si="573"/>
        <v>0</v>
      </c>
    </row>
    <row r="5230" spans="1:29">
      <c r="A5230" s="83" t="str">
        <f t="shared" si="568"/>
        <v/>
      </c>
      <c r="B5230" s="83" t="str">
        <f t="shared" si="574"/>
        <v/>
      </c>
      <c r="U5230" s="83" t="str">
        <f t="shared" si="569"/>
        <v/>
      </c>
      <c r="V5230" s="83" t="str">
        <f t="shared" si="570"/>
        <v/>
      </c>
      <c r="AA5230" s="60">
        <f t="shared" si="571"/>
        <v>0</v>
      </c>
      <c r="AB5230" s="49">
        <f t="shared" si="572"/>
        <v>0</v>
      </c>
      <c r="AC5230" s="60">
        <f t="shared" si="573"/>
        <v>0</v>
      </c>
    </row>
    <row r="5231" spans="1:29">
      <c r="A5231" s="83" t="str">
        <f t="shared" si="568"/>
        <v/>
      </c>
      <c r="B5231" s="83" t="str">
        <f t="shared" si="574"/>
        <v/>
      </c>
      <c r="U5231" s="83" t="str">
        <f t="shared" si="569"/>
        <v/>
      </c>
      <c r="V5231" s="83" t="str">
        <f t="shared" si="570"/>
        <v/>
      </c>
      <c r="AA5231" s="60">
        <f t="shared" si="571"/>
        <v>0</v>
      </c>
      <c r="AB5231" s="49">
        <f t="shared" si="572"/>
        <v>0</v>
      </c>
      <c r="AC5231" s="60">
        <f t="shared" si="573"/>
        <v>0</v>
      </c>
    </row>
    <row r="5232" spans="1:29">
      <c r="A5232" s="83" t="str">
        <f t="shared" si="568"/>
        <v/>
      </c>
      <c r="B5232" s="83" t="str">
        <f t="shared" si="574"/>
        <v/>
      </c>
      <c r="U5232" s="83" t="str">
        <f t="shared" si="569"/>
        <v/>
      </c>
      <c r="V5232" s="83" t="str">
        <f t="shared" si="570"/>
        <v/>
      </c>
      <c r="AA5232" s="60">
        <f t="shared" si="571"/>
        <v>0</v>
      </c>
      <c r="AB5232" s="49">
        <f t="shared" si="572"/>
        <v>0</v>
      </c>
      <c r="AC5232" s="60">
        <f t="shared" si="573"/>
        <v>0</v>
      </c>
    </row>
    <row r="5233" spans="1:29">
      <c r="A5233" s="83" t="str">
        <f t="shared" si="568"/>
        <v/>
      </c>
      <c r="B5233" s="83" t="str">
        <f t="shared" si="574"/>
        <v/>
      </c>
      <c r="U5233" s="83" t="str">
        <f t="shared" si="569"/>
        <v/>
      </c>
      <c r="V5233" s="83" t="str">
        <f t="shared" si="570"/>
        <v/>
      </c>
      <c r="AA5233" s="60">
        <f t="shared" si="571"/>
        <v>0</v>
      </c>
      <c r="AB5233" s="49">
        <f t="shared" si="572"/>
        <v>0</v>
      </c>
      <c r="AC5233" s="60">
        <f t="shared" si="573"/>
        <v>0</v>
      </c>
    </row>
    <row r="5234" spans="1:29">
      <c r="A5234" s="83" t="str">
        <f t="shared" si="568"/>
        <v/>
      </c>
      <c r="B5234" s="83" t="str">
        <f t="shared" si="574"/>
        <v/>
      </c>
      <c r="U5234" s="83" t="str">
        <f t="shared" si="569"/>
        <v/>
      </c>
      <c r="V5234" s="83" t="str">
        <f t="shared" si="570"/>
        <v/>
      </c>
      <c r="AA5234" s="60">
        <f t="shared" si="571"/>
        <v>0</v>
      </c>
      <c r="AB5234" s="49">
        <f t="shared" si="572"/>
        <v>0</v>
      </c>
      <c r="AC5234" s="60">
        <f t="shared" si="573"/>
        <v>0</v>
      </c>
    </row>
    <row r="5235" spans="1:29">
      <c r="A5235" s="83" t="str">
        <f t="shared" si="568"/>
        <v/>
      </c>
      <c r="B5235" s="83" t="str">
        <f t="shared" si="574"/>
        <v/>
      </c>
      <c r="U5235" s="83" t="str">
        <f t="shared" si="569"/>
        <v/>
      </c>
      <c r="V5235" s="83" t="str">
        <f t="shared" si="570"/>
        <v/>
      </c>
      <c r="AA5235" s="60">
        <f t="shared" si="571"/>
        <v>0</v>
      </c>
      <c r="AB5235" s="49">
        <f t="shared" si="572"/>
        <v>0</v>
      </c>
      <c r="AC5235" s="60">
        <f t="shared" si="573"/>
        <v>0</v>
      </c>
    </row>
    <row r="5236" spans="1:29">
      <c r="A5236" s="83" t="str">
        <f t="shared" si="568"/>
        <v/>
      </c>
      <c r="B5236" s="83" t="str">
        <f t="shared" si="574"/>
        <v/>
      </c>
      <c r="U5236" s="83" t="str">
        <f t="shared" si="569"/>
        <v/>
      </c>
      <c r="V5236" s="83" t="str">
        <f t="shared" si="570"/>
        <v/>
      </c>
      <c r="AA5236" s="60">
        <f t="shared" si="571"/>
        <v>0</v>
      </c>
      <c r="AB5236" s="49">
        <f t="shared" si="572"/>
        <v>0</v>
      </c>
      <c r="AC5236" s="60">
        <f t="shared" si="573"/>
        <v>0</v>
      </c>
    </row>
    <row r="5237" spans="1:29">
      <c r="A5237" s="83" t="str">
        <f t="shared" si="568"/>
        <v/>
      </c>
      <c r="B5237" s="83" t="str">
        <f t="shared" si="574"/>
        <v/>
      </c>
      <c r="U5237" s="83" t="str">
        <f t="shared" si="569"/>
        <v/>
      </c>
      <c r="V5237" s="83" t="str">
        <f t="shared" si="570"/>
        <v/>
      </c>
      <c r="AA5237" s="60">
        <f t="shared" si="571"/>
        <v>0</v>
      </c>
      <c r="AB5237" s="49">
        <f t="shared" si="572"/>
        <v>0</v>
      </c>
      <c r="AC5237" s="60">
        <f t="shared" si="573"/>
        <v>0</v>
      </c>
    </row>
    <row r="5238" spans="1:29">
      <c r="A5238" s="83" t="str">
        <f t="shared" si="568"/>
        <v/>
      </c>
      <c r="B5238" s="83" t="str">
        <f t="shared" si="574"/>
        <v/>
      </c>
      <c r="U5238" s="83" t="str">
        <f t="shared" si="569"/>
        <v/>
      </c>
      <c r="V5238" s="83" t="str">
        <f t="shared" si="570"/>
        <v/>
      </c>
      <c r="AA5238" s="60">
        <f t="shared" si="571"/>
        <v>0</v>
      </c>
      <c r="AB5238" s="49">
        <f t="shared" si="572"/>
        <v>0</v>
      </c>
      <c r="AC5238" s="60">
        <f t="shared" si="573"/>
        <v>0</v>
      </c>
    </row>
    <row r="5239" spans="1:29">
      <c r="A5239" s="83" t="str">
        <f t="shared" si="568"/>
        <v/>
      </c>
      <c r="B5239" s="83" t="str">
        <f t="shared" si="574"/>
        <v/>
      </c>
      <c r="U5239" s="83" t="str">
        <f t="shared" si="569"/>
        <v/>
      </c>
      <c r="V5239" s="83" t="str">
        <f t="shared" si="570"/>
        <v/>
      </c>
      <c r="AA5239" s="60">
        <f t="shared" si="571"/>
        <v>0</v>
      </c>
      <c r="AB5239" s="49">
        <f t="shared" si="572"/>
        <v>0</v>
      </c>
      <c r="AC5239" s="60">
        <f t="shared" si="573"/>
        <v>0</v>
      </c>
    </row>
    <row r="5240" spans="1:29">
      <c r="A5240" s="83" t="str">
        <f t="shared" si="568"/>
        <v/>
      </c>
      <c r="B5240" s="83" t="str">
        <f t="shared" si="574"/>
        <v/>
      </c>
      <c r="U5240" s="83" t="str">
        <f t="shared" si="569"/>
        <v/>
      </c>
      <c r="V5240" s="83" t="str">
        <f t="shared" si="570"/>
        <v/>
      </c>
      <c r="AA5240" s="60">
        <f t="shared" si="571"/>
        <v>0</v>
      </c>
      <c r="AB5240" s="49">
        <f t="shared" si="572"/>
        <v>0</v>
      </c>
      <c r="AC5240" s="60">
        <f t="shared" si="573"/>
        <v>0</v>
      </c>
    </row>
    <row r="5241" spans="1:29">
      <c r="A5241" s="83" t="str">
        <f t="shared" si="568"/>
        <v/>
      </c>
      <c r="B5241" s="83" t="str">
        <f t="shared" si="574"/>
        <v/>
      </c>
      <c r="U5241" s="83" t="str">
        <f t="shared" si="569"/>
        <v/>
      </c>
      <c r="V5241" s="83" t="str">
        <f t="shared" si="570"/>
        <v/>
      </c>
      <c r="AA5241" s="60">
        <f t="shared" si="571"/>
        <v>0</v>
      </c>
      <c r="AB5241" s="49">
        <f t="shared" si="572"/>
        <v>0</v>
      </c>
      <c r="AC5241" s="60">
        <f t="shared" si="573"/>
        <v>0</v>
      </c>
    </row>
    <row r="5242" spans="1:29">
      <c r="A5242" s="83" t="str">
        <f t="shared" si="568"/>
        <v/>
      </c>
      <c r="B5242" s="83" t="str">
        <f t="shared" si="574"/>
        <v/>
      </c>
      <c r="U5242" s="83" t="str">
        <f t="shared" si="569"/>
        <v/>
      </c>
      <c r="V5242" s="83" t="str">
        <f t="shared" si="570"/>
        <v/>
      </c>
      <c r="AA5242" s="60">
        <f t="shared" si="571"/>
        <v>0</v>
      </c>
      <c r="AB5242" s="49">
        <f t="shared" si="572"/>
        <v>0</v>
      </c>
      <c r="AC5242" s="60">
        <f t="shared" si="573"/>
        <v>0</v>
      </c>
    </row>
    <row r="5243" spans="1:29">
      <c r="A5243" s="83" t="str">
        <f t="shared" si="568"/>
        <v/>
      </c>
      <c r="B5243" s="83" t="str">
        <f t="shared" si="574"/>
        <v/>
      </c>
      <c r="U5243" s="83" t="str">
        <f t="shared" si="569"/>
        <v/>
      </c>
      <c r="V5243" s="83" t="str">
        <f t="shared" si="570"/>
        <v/>
      </c>
      <c r="AA5243" s="60">
        <f t="shared" si="571"/>
        <v>0</v>
      </c>
      <c r="AB5243" s="49">
        <f t="shared" si="572"/>
        <v>0</v>
      </c>
      <c r="AC5243" s="60">
        <f t="shared" si="573"/>
        <v>0</v>
      </c>
    </row>
    <row r="5244" spans="1:29">
      <c r="A5244" s="83" t="str">
        <f t="shared" si="568"/>
        <v/>
      </c>
      <c r="B5244" s="83" t="str">
        <f t="shared" si="574"/>
        <v/>
      </c>
      <c r="U5244" s="83" t="str">
        <f t="shared" si="569"/>
        <v/>
      </c>
      <c r="V5244" s="83" t="str">
        <f t="shared" si="570"/>
        <v/>
      </c>
      <c r="AA5244" s="60">
        <f t="shared" si="571"/>
        <v>0</v>
      </c>
      <c r="AB5244" s="49">
        <f t="shared" si="572"/>
        <v>0</v>
      </c>
      <c r="AC5244" s="60">
        <f t="shared" si="573"/>
        <v>0</v>
      </c>
    </row>
    <row r="5245" spans="1:29">
      <c r="A5245" s="83" t="str">
        <f t="shared" si="568"/>
        <v/>
      </c>
      <c r="B5245" s="83" t="str">
        <f t="shared" si="574"/>
        <v/>
      </c>
      <c r="U5245" s="83" t="str">
        <f t="shared" si="569"/>
        <v/>
      </c>
      <c r="V5245" s="83" t="str">
        <f t="shared" si="570"/>
        <v/>
      </c>
      <c r="AA5245" s="60">
        <f t="shared" si="571"/>
        <v>0</v>
      </c>
      <c r="AB5245" s="49">
        <f t="shared" si="572"/>
        <v>0</v>
      </c>
      <c r="AC5245" s="60">
        <f t="shared" si="573"/>
        <v>0</v>
      </c>
    </row>
    <row r="5246" spans="1:29">
      <c r="A5246" s="83" t="str">
        <f t="shared" si="568"/>
        <v/>
      </c>
      <c r="B5246" s="83" t="str">
        <f t="shared" si="574"/>
        <v/>
      </c>
      <c r="U5246" s="83" t="str">
        <f t="shared" si="569"/>
        <v/>
      </c>
      <c r="V5246" s="83" t="str">
        <f t="shared" si="570"/>
        <v/>
      </c>
      <c r="AA5246" s="60">
        <f t="shared" si="571"/>
        <v>0</v>
      </c>
      <c r="AB5246" s="49">
        <f t="shared" si="572"/>
        <v>0</v>
      </c>
      <c r="AC5246" s="60">
        <f t="shared" si="573"/>
        <v>0</v>
      </c>
    </row>
    <row r="5247" spans="1:29">
      <c r="A5247" s="83" t="str">
        <f t="shared" si="568"/>
        <v/>
      </c>
      <c r="B5247" s="83" t="str">
        <f t="shared" si="574"/>
        <v/>
      </c>
      <c r="U5247" s="83" t="str">
        <f t="shared" si="569"/>
        <v/>
      </c>
      <c r="V5247" s="83" t="str">
        <f t="shared" si="570"/>
        <v/>
      </c>
      <c r="AA5247" s="60">
        <f t="shared" si="571"/>
        <v>0</v>
      </c>
      <c r="AB5247" s="49">
        <f t="shared" si="572"/>
        <v>0</v>
      </c>
      <c r="AC5247" s="60">
        <f t="shared" si="573"/>
        <v>0</v>
      </c>
    </row>
    <row r="5248" spans="1:29">
      <c r="A5248" s="83" t="str">
        <f t="shared" si="568"/>
        <v/>
      </c>
      <c r="B5248" s="83" t="str">
        <f t="shared" si="574"/>
        <v/>
      </c>
      <c r="U5248" s="83" t="str">
        <f t="shared" si="569"/>
        <v/>
      </c>
      <c r="V5248" s="83" t="str">
        <f t="shared" si="570"/>
        <v/>
      </c>
      <c r="AA5248" s="60">
        <f t="shared" si="571"/>
        <v>0</v>
      </c>
      <c r="AB5248" s="49">
        <f t="shared" si="572"/>
        <v>0</v>
      </c>
      <c r="AC5248" s="60">
        <f t="shared" si="573"/>
        <v>0</v>
      </c>
    </row>
    <row r="5249" spans="1:29">
      <c r="A5249" s="83" t="str">
        <f t="shared" si="568"/>
        <v/>
      </c>
      <c r="B5249" s="83" t="str">
        <f t="shared" si="574"/>
        <v/>
      </c>
      <c r="U5249" s="83" t="str">
        <f t="shared" si="569"/>
        <v/>
      </c>
      <c r="V5249" s="83" t="str">
        <f t="shared" si="570"/>
        <v/>
      </c>
      <c r="AA5249" s="60">
        <f t="shared" si="571"/>
        <v>0</v>
      </c>
      <c r="AB5249" s="49">
        <f t="shared" si="572"/>
        <v>0</v>
      </c>
      <c r="AC5249" s="60">
        <f t="shared" si="573"/>
        <v>0</v>
      </c>
    </row>
    <row r="5250" spans="1:29">
      <c r="A5250" s="83" t="str">
        <f t="shared" si="568"/>
        <v/>
      </c>
      <c r="B5250" s="83" t="str">
        <f t="shared" si="574"/>
        <v/>
      </c>
      <c r="U5250" s="83" t="str">
        <f t="shared" si="569"/>
        <v/>
      </c>
      <c r="V5250" s="83" t="str">
        <f t="shared" si="570"/>
        <v/>
      </c>
      <c r="AA5250" s="60">
        <f t="shared" si="571"/>
        <v>0</v>
      </c>
      <c r="AB5250" s="49">
        <f t="shared" si="572"/>
        <v>0</v>
      </c>
      <c r="AC5250" s="60">
        <f t="shared" si="573"/>
        <v>0</v>
      </c>
    </row>
    <row r="5251" spans="1:29">
      <c r="A5251" s="83" t="str">
        <f t="shared" ref="A5251:A5314" si="575">IF(G5251&amp;Q5251&lt;&gt;"",U5251&amp;Q5251,"")</f>
        <v/>
      </c>
      <c r="B5251" s="83" t="str">
        <f t="shared" si="574"/>
        <v/>
      </c>
      <c r="U5251" s="83" t="str">
        <f t="shared" ref="U5251:U5314" si="576">IF(G5251&lt;&gt;"",IF(StyleSpaceSplit,IFERROR(IF(FIND(" ",G5251)&gt;=1,MID(G5251,1,FIND(" ",G5251)-1),G5251),G5251),G5251),"")</f>
        <v/>
      </c>
      <c r="V5251" s="83" t="str">
        <f t="shared" ref="V5251:V5314" si="577">IF(A5251&lt;&gt;"",IFERROR(IF(FIND(" ",G5251)&gt;=1,MID(G5251,FIND(" ",G5251)+1,LEN(G5251)),""),G5251),"")</f>
        <v/>
      </c>
      <c r="AA5251" s="60">
        <f t="shared" ref="AA5251:AA5314" si="578">IFERROR(VALUE(MID($C5251,1,2)),0)</f>
        <v>0</v>
      </c>
      <c r="AB5251" s="49">
        <f t="shared" ref="AB5251:AB5314" si="579">IFERROR(VALUE(MID($C5251,4,3)),0)</f>
        <v>0</v>
      </c>
      <c r="AC5251" s="60">
        <f t="shared" ref="AC5251:AC5314" si="580">VALUE(RIGHT("00"&amp;AA5251,2)&amp;RIGHT("000"&amp;AB5251,3))</f>
        <v>0</v>
      </c>
    </row>
    <row r="5252" spans="1:29">
      <c r="A5252" s="83" t="str">
        <f t="shared" si="575"/>
        <v/>
      </c>
      <c r="B5252" s="83" t="str">
        <f t="shared" si="574"/>
        <v/>
      </c>
      <c r="U5252" s="83" t="str">
        <f t="shared" si="576"/>
        <v/>
      </c>
      <c r="V5252" s="83" t="str">
        <f t="shared" si="577"/>
        <v/>
      </c>
      <c r="AA5252" s="60">
        <f t="shared" si="578"/>
        <v>0</v>
      </c>
      <c r="AB5252" s="49">
        <f t="shared" si="579"/>
        <v>0</v>
      </c>
      <c r="AC5252" s="60">
        <f t="shared" si="580"/>
        <v>0</v>
      </c>
    </row>
    <row r="5253" spans="1:29">
      <c r="A5253" s="83" t="str">
        <f t="shared" si="575"/>
        <v/>
      </c>
      <c r="B5253" s="83" t="str">
        <f t="shared" si="574"/>
        <v/>
      </c>
      <c r="U5253" s="83" t="str">
        <f t="shared" si="576"/>
        <v/>
      </c>
      <c r="V5253" s="83" t="str">
        <f t="shared" si="577"/>
        <v/>
      </c>
      <c r="AA5253" s="60">
        <f t="shared" si="578"/>
        <v>0</v>
      </c>
      <c r="AB5253" s="49">
        <f t="shared" si="579"/>
        <v>0</v>
      </c>
      <c r="AC5253" s="60">
        <f t="shared" si="580"/>
        <v>0</v>
      </c>
    </row>
    <row r="5254" spans="1:29">
      <c r="A5254" s="83" t="str">
        <f t="shared" si="575"/>
        <v/>
      </c>
      <c r="B5254" s="83" t="str">
        <f t="shared" si="574"/>
        <v/>
      </c>
      <c r="U5254" s="83" t="str">
        <f t="shared" si="576"/>
        <v/>
      </c>
      <c r="V5254" s="83" t="str">
        <f t="shared" si="577"/>
        <v/>
      </c>
      <c r="AA5254" s="60">
        <f t="shared" si="578"/>
        <v>0</v>
      </c>
      <c r="AB5254" s="49">
        <f t="shared" si="579"/>
        <v>0</v>
      </c>
      <c r="AC5254" s="60">
        <f t="shared" si="580"/>
        <v>0</v>
      </c>
    </row>
    <row r="5255" spans="1:29">
      <c r="A5255" s="83" t="str">
        <f t="shared" si="575"/>
        <v/>
      </c>
      <c r="B5255" s="83" t="str">
        <f t="shared" si="574"/>
        <v/>
      </c>
      <c r="U5255" s="83" t="str">
        <f t="shared" si="576"/>
        <v/>
      </c>
      <c r="V5255" s="83" t="str">
        <f t="shared" si="577"/>
        <v/>
      </c>
      <c r="AA5255" s="60">
        <f t="shared" si="578"/>
        <v>0</v>
      </c>
      <c r="AB5255" s="49">
        <f t="shared" si="579"/>
        <v>0</v>
      </c>
      <c r="AC5255" s="60">
        <f t="shared" si="580"/>
        <v>0</v>
      </c>
    </row>
    <row r="5256" spans="1:29">
      <c r="A5256" s="83" t="str">
        <f t="shared" si="575"/>
        <v/>
      </c>
      <c r="B5256" s="83" t="str">
        <f t="shared" si="574"/>
        <v/>
      </c>
      <c r="U5256" s="83" t="str">
        <f t="shared" si="576"/>
        <v/>
      </c>
      <c r="V5256" s="83" t="str">
        <f t="shared" si="577"/>
        <v/>
      </c>
      <c r="AA5256" s="60">
        <f t="shared" si="578"/>
        <v>0</v>
      </c>
      <c r="AB5256" s="49">
        <f t="shared" si="579"/>
        <v>0</v>
      </c>
      <c r="AC5256" s="60">
        <f t="shared" si="580"/>
        <v>0</v>
      </c>
    </row>
    <row r="5257" spans="1:29">
      <c r="A5257" s="83" t="str">
        <f t="shared" si="575"/>
        <v/>
      </c>
      <c r="B5257" s="83" t="str">
        <f t="shared" si="574"/>
        <v/>
      </c>
      <c r="U5257" s="83" t="str">
        <f t="shared" si="576"/>
        <v/>
      </c>
      <c r="V5257" s="83" t="str">
        <f t="shared" si="577"/>
        <v/>
      </c>
      <c r="AA5257" s="60">
        <f t="shared" si="578"/>
        <v>0</v>
      </c>
      <c r="AB5257" s="49">
        <f t="shared" si="579"/>
        <v>0</v>
      </c>
      <c r="AC5257" s="60">
        <f t="shared" si="580"/>
        <v>0</v>
      </c>
    </row>
    <row r="5258" spans="1:29">
      <c r="A5258" s="83" t="str">
        <f t="shared" si="575"/>
        <v/>
      </c>
      <c r="B5258" s="83" t="str">
        <f t="shared" si="574"/>
        <v/>
      </c>
      <c r="U5258" s="83" t="str">
        <f t="shared" si="576"/>
        <v/>
      </c>
      <c r="V5258" s="83" t="str">
        <f t="shared" si="577"/>
        <v/>
      </c>
      <c r="AA5258" s="60">
        <f t="shared" si="578"/>
        <v>0</v>
      </c>
      <c r="AB5258" s="49">
        <f t="shared" si="579"/>
        <v>0</v>
      </c>
      <c r="AC5258" s="60">
        <f t="shared" si="580"/>
        <v>0</v>
      </c>
    </row>
    <row r="5259" spans="1:29">
      <c r="A5259" s="83" t="str">
        <f t="shared" si="575"/>
        <v/>
      </c>
      <c r="B5259" s="83" t="str">
        <f t="shared" si="574"/>
        <v/>
      </c>
      <c r="U5259" s="83" t="str">
        <f t="shared" si="576"/>
        <v/>
      </c>
      <c r="V5259" s="83" t="str">
        <f t="shared" si="577"/>
        <v/>
      </c>
      <c r="AA5259" s="60">
        <f t="shared" si="578"/>
        <v>0</v>
      </c>
      <c r="AB5259" s="49">
        <f t="shared" si="579"/>
        <v>0</v>
      </c>
      <c r="AC5259" s="60">
        <f t="shared" si="580"/>
        <v>0</v>
      </c>
    </row>
    <row r="5260" spans="1:29">
      <c r="A5260" s="83" t="str">
        <f t="shared" si="575"/>
        <v/>
      </c>
      <c r="B5260" s="83" t="str">
        <f t="shared" si="574"/>
        <v/>
      </c>
      <c r="U5260" s="83" t="str">
        <f t="shared" si="576"/>
        <v/>
      </c>
      <c r="V5260" s="83" t="str">
        <f t="shared" si="577"/>
        <v/>
      </c>
      <c r="AA5260" s="60">
        <f t="shared" si="578"/>
        <v>0</v>
      </c>
      <c r="AB5260" s="49">
        <f t="shared" si="579"/>
        <v>0</v>
      </c>
      <c r="AC5260" s="60">
        <f t="shared" si="580"/>
        <v>0</v>
      </c>
    </row>
    <row r="5261" spans="1:29">
      <c r="A5261" s="83" t="str">
        <f t="shared" si="575"/>
        <v/>
      </c>
      <c r="B5261" s="83" t="str">
        <f t="shared" si="574"/>
        <v/>
      </c>
      <c r="U5261" s="83" t="str">
        <f t="shared" si="576"/>
        <v/>
      </c>
      <c r="V5261" s="83" t="str">
        <f t="shared" si="577"/>
        <v/>
      </c>
      <c r="AA5261" s="60">
        <f t="shared" si="578"/>
        <v>0</v>
      </c>
      <c r="AB5261" s="49">
        <f t="shared" si="579"/>
        <v>0</v>
      </c>
      <c r="AC5261" s="60">
        <f t="shared" si="580"/>
        <v>0</v>
      </c>
    </row>
    <row r="5262" spans="1:29">
      <c r="A5262" s="83" t="str">
        <f t="shared" si="575"/>
        <v/>
      </c>
      <c r="B5262" s="83" t="str">
        <f t="shared" si="574"/>
        <v/>
      </c>
      <c r="U5262" s="83" t="str">
        <f t="shared" si="576"/>
        <v/>
      </c>
      <c r="V5262" s="83" t="str">
        <f t="shared" si="577"/>
        <v/>
      </c>
      <c r="AA5262" s="60">
        <f t="shared" si="578"/>
        <v>0</v>
      </c>
      <c r="AB5262" s="49">
        <f t="shared" si="579"/>
        <v>0</v>
      </c>
      <c r="AC5262" s="60">
        <f t="shared" si="580"/>
        <v>0</v>
      </c>
    </row>
    <row r="5263" spans="1:29">
      <c r="A5263" s="83" t="str">
        <f t="shared" si="575"/>
        <v/>
      </c>
      <c r="B5263" s="83" t="str">
        <f t="shared" si="574"/>
        <v/>
      </c>
      <c r="U5263" s="83" t="str">
        <f t="shared" si="576"/>
        <v/>
      </c>
      <c r="V5263" s="83" t="str">
        <f t="shared" si="577"/>
        <v/>
      </c>
      <c r="AA5263" s="60">
        <f t="shared" si="578"/>
        <v>0</v>
      </c>
      <c r="AB5263" s="49">
        <f t="shared" si="579"/>
        <v>0</v>
      </c>
      <c r="AC5263" s="60">
        <f t="shared" si="580"/>
        <v>0</v>
      </c>
    </row>
    <row r="5264" spans="1:29">
      <c r="A5264" s="83" t="str">
        <f t="shared" si="575"/>
        <v/>
      </c>
      <c r="B5264" s="83" t="str">
        <f t="shared" si="574"/>
        <v/>
      </c>
      <c r="U5264" s="83" t="str">
        <f t="shared" si="576"/>
        <v/>
      </c>
      <c r="V5264" s="83" t="str">
        <f t="shared" si="577"/>
        <v/>
      </c>
      <c r="AA5264" s="60">
        <f t="shared" si="578"/>
        <v>0</v>
      </c>
      <c r="AB5264" s="49">
        <f t="shared" si="579"/>
        <v>0</v>
      </c>
      <c r="AC5264" s="60">
        <f t="shared" si="580"/>
        <v>0</v>
      </c>
    </row>
    <row r="5265" spans="1:29">
      <c r="A5265" s="83" t="str">
        <f t="shared" si="575"/>
        <v/>
      </c>
      <c r="B5265" s="83" t="str">
        <f t="shared" si="574"/>
        <v/>
      </c>
      <c r="U5265" s="83" t="str">
        <f t="shared" si="576"/>
        <v/>
      </c>
      <c r="V5265" s="83" t="str">
        <f t="shared" si="577"/>
        <v/>
      </c>
      <c r="AA5265" s="60">
        <f t="shared" si="578"/>
        <v>0</v>
      </c>
      <c r="AB5265" s="49">
        <f t="shared" si="579"/>
        <v>0</v>
      </c>
      <c r="AC5265" s="60">
        <f t="shared" si="580"/>
        <v>0</v>
      </c>
    </row>
    <row r="5266" spans="1:29">
      <c r="A5266" s="83" t="str">
        <f t="shared" si="575"/>
        <v/>
      </c>
      <c r="B5266" s="83" t="str">
        <f t="shared" si="574"/>
        <v/>
      </c>
      <c r="U5266" s="83" t="str">
        <f t="shared" si="576"/>
        <v/>
      </c>
      <c r="V5266" s="83" t="str">
        <f t="shared" si="577"/>
        <v/>
      </c>
      <c r="AA5266" s="60">
        <f t="shared" si="578"/>
        <v>0</v>
      </c>
      <c r="AB5266" s="49">
        <f t="shared" si="579"/>
        <v>0</v>
      </c>
      <c r="AC5266" s="60">
        <f t="shared" si="580"/>
        <v>0</v>
      </c>
    </row>
    <row r="5267" spans="1:29">
      <c r="A5267" s="83" t="str">
        <f t="shared" si="575"/>
        <v/>
      </c>
      <c r="B5267" s="83" t="str">
        <f t="shared" si="574"/>
        <v/>
      </c>
      <c r="U5267" s="83" t="str">
        <f t="shared" si="576"/>
        <v/>
      </c>
      <c r="V5267" s="83" t="str">
        <f t="shared" si="577"/>
        <v/>
      </c>
      <c r="AA5267" s="60">
        <f t="shared" si="578"/>
        <v>0</v>
      </c>
      <c r="AB5267" s="49">
        <f t="shared" si="579"/>
        <v>0</v>
      </c>
      <c r="AC5267" s="60">
        <f t="shared" si="580"/>
        <v>0</v>
      </c>
    </row>
    <row r="5268" spans="1:29">
      <c r="A5268" s="83" t="str">
        <f t="shared" si="575"/>
        <v/>
      </c>
      <c r="B5268" s="83" t="str">
        <f t="shared" si="574"/>
        <v/>
      </c>
      <c r="U5268" s="83" t="str">
        <f t="shared" si="576"/>
        <v/>
      </c>
      <c r="V5268" s="83" t="str">
        <f t="shared" si="577"/>
        <v/>
      </c>
      <c r="AA5268" s="60">
        <f t="shared" si="578"/>
        <v>0</v>
      </c>
      <c r="AB5268" s="49">
        <f t="shared" si="579"/>
        <v>0</v>
      </c>
      <c r="AC5268" s="60">
        <f t="shared" si="580"/>
        <v>0</v>
      </c>
    </row>
    <row r="5269" spans="1:29">
      <c r="A5269" s="83" t="str">
        <f t="shared" si="575"/>
        <v/>
      </c>
      <c r="B5269" s="83" t="str">
        <f t="shared" si="574"/>
        <v/>
      </c>
      <c r="U5269" s="83" t="str">
        <f t="shared" si="576"/>
        <v/>
      </c>
      <c r="V5269" s="83" t="str">
        <f t="shared" si="577"/>
        <v/>
      </c>
      <c r="AA5269" s="60">
        <f t="shared" si="578"/>
        <v>0</v>
      </c>
      <c r="AB5269" s="49">
        <f t="shared" si="579"/>
        <v>0</v>
      </c>
      <c r="AC5269" s="60">
        <f t="shared" si="580"/>
        <v>0</v>
      </c>
    </row>
    <row r="5270" spans="1:29">
      <c r="A5270" s="83" t="str">
        <f t="shared" si="575"/>
        <v/>
      </c>
      <c r="B5270" s="83" t="str">
        <f t="shared" si="574"/>
        <v/>
      </c>
      <c r="U5270" s="83" t="str">
        <f t="shared" si="576"/>
        <v/>
      </c>
      <c r="V5270" s="83" t="str">
        <f t="shared" si="577"/>
        <v/>
      </c>
      <c r="AA5270" s="60">
        <f t="shared" si="578"/>
        <v>0</v>
      </c>
      <c r="AB5270" s="49">
        <f t="shared" si="579"/>
        <v>0</v>
      </c>
      <c r="AC5270" s="60">
        <f t="shared" si="580"/>
        <v>0</v>
      </c>
    </row>
    <row r="5271" spans="1:29">
      <c r="A5271" s="83" t="str">
        <f t="shared" si="575"/>
        <v/>
      </c>
      <c r="B5271" s="83" t="str">
        <f t="shared" si="574"/>
        <v/>
      </c>
      <c r="U5271" s="83" t="str">
        <f t="shared" si="576"/>
        <v/>
      </c>
      <c r="V5271" s="83" t="str">
        <f t="shared" si="577"/>
        <v/>
      </c>
      <c r="AA5271" s="60">
        <f t="shared" si="578"/>
        <v>0</v>
      </c>
      <c r="AB5271" s="49">
        <f t="shared" si="579"/>
        <v>0</v>
      </c>
      <c r="AC5271" s="60">
        <f t="shared" si="580"/>
        <v>0</v>
      </c>
    </row>
    <row r="5272" spans="1:29">
      <c r="A5272" s="83" t="str">
        <f t="shared" si="575"/>
        <v/>
      </c>
      <c r="B5272" s="83" t="str">
        <f t="shared" si="574"/>
        <v/>
      </c>
      <c r="U5272" s="83" t="str">
        <f t="shared" si="576"/>
        <v/>
      </c>
      <c r="V5272" s="83" t="str">
        <f t="shared" si="577"/>
        <v/>
      </c>
      <c r="AA5272" s="60">
        <f t="shared" si="578"/>
        <v>0</v>
      </c>
      <c r="AB5272" s="49">
        <f t="shared" si="579"/>
        <v>0</v>
      </c>
      <c r="AC5272" s="60">
        <f t="shared" si="580"/>
        <v>0</v>
      </c>
    </row>
    <row r="5273" spans="1:29">
      <c r="A5273" s="83" t="str">
        <f t="shared" si="575"/>
        <v/>
      </c>
      <c r="B5273" s="83" t="str">
        <f t="shared" si="574"/>
        <v/>
      </c>
      <c r="U5273" s="83" t="str">
        <f t="shared" si="576"/>
        <v/>
      </c>
      <c r="V5273" s="83" t="str">
        <f t="shared" si="577"/>
        <v/>
      </c>
      <c r="AA5273" s="60">
        <f t="shared" si="578"/>
        <v>0</v>
      </c>
      <c r="AB5273" s="49">
        <f t="shared" si="579"/>
        <v>0</v>
      </c>
      <c r="AC5273" s="60">
        <f t="shared" si="580"/>
        <v>0</v>
      </c>
    </row>
    <row r="5274" spans="1:29">
      <c r="A5274" s="83" t="str">
        <f t="shared" si="575"/>
        <v/>
      </c>
      <c r="B5274" s="83" t="str">
        <f t="shared" si="574"/>
        <v/>
      </c>
      <c r="U5274" s="83" t="str">
        <f t="shared" si="576"/>
        <v/>
      </c>
      <c r="V5274" s="83" t="str">
        <f t="shared" si="577"/>
        <v/>
      </c>
      <c r="AA5274" s="60">
        <f t="shared" si="578"/>
        <v>0</v>
      </c>
      <c r="AB5274" s="49">
        <f t="shared" si="579"/>
        <v>0</v>
      </c>
      <c r="AC5274" s="60">
        <f t="shared" si="580"/>
        <v>0</v>
      </c>
    </row>
    <row r="5275" spans="1:29">
      <c r="A5275" s="83" t="str">
        <f t="shared" si="575"/>
        <v/>
      </c>
      <c r="B5275" s="83" t="str">
        <f t="shared" si="574"/>
        <v/>
      </c>
      <c r="U5275" s="83" t="str">
        <f t="shared" si="576"/>
        <v/>
      </c>
      <c r="V5275" s="83" t="str">
        <f t="shared" si="577"/>
        <v/>
      </c>
      <c r="AA5275" s="60">
        <f t="shared" si="578"/>
        <v>0</v>
      </c>
      <c r="AB5275" s="49">
        <f t="shared" si="579"/>
        <v>0</v>
      </c>
      <c r="AC5275" s="60">
        <f t="shared" si="580"/>
        <v>0</v>
      </c>
    </row>
    <row r="5276" spans="1:29">
      <c r="A5276" s="83" t="str">
        <f t="shared" si="575"/>
        <v/>
      </c>
      <c r="B5276" s="83" t="str">
        <f t="shared" si="574"/>
        <v/>
      </c>
      <c r="U5276" s="83" t="str">
        <f t="shared" si="576"/>
        <v/>
      </c>
      <c r="V5276" s="83" t="str">
        <f t="shared" si="577"/>
        <v/>
      </c>
      <c r="AA5276" s="60">
        <f t="shared" si="578"/>
        <v>0</v>
      </c>
      <c r="AB5276" s="49">
        <f t="shared" si="579"/>
        <v>0</v>
      </c>
      <c r="AC5276" s="60">
        <f t="shared" si="580"/>
        <v>0</v>
      </c>
    </row>
    <row r="5277" spans="1:29">
      <c r="A5277" s="83" t="str">
        <f t="shared" si="575"/>
        <v/>
      </c>
      <c r="B5277" s="83" t="str">
        <f t="shared" si="574"/>
        <v/>
      </c>
      <c r="U5277" s="83" t="str">
        <f t="shared" si="576"/>
        <v/>
      </c>
      <c r="V5277" s="83" t="str">
        <f t="shared" si="577"/>
        <v/>
      </c>
      <c r="AA5277" s="60">
        <f t="shared" si="578"/>
        <v>0</v>
      </c>
      <c r="AB5277" s="49">
        <f t="shared" si="579"/>
        <v>0</v>
      </c>
      <c r="AC5277" s="60">
        <f t="shared" si="580"/>
        <v>0</v>
      </c>
    </row>
    <row r="5278" spans="1:29">
      <c r="A5278" s="83" t="str">
        <f t="shared" si="575"/>
        <v/>
      </c>
      <c r="B5278" s="83" t="str">
        <f t="shared" si="574"/>
        <v/>
      </c>
      <c r="U5278" s="83" t="str">
        <f t="shared" si="576"/>
        <v/>
      </c>
      <c r="V5278" s="83" t="str">
        <f t="shared" si="577"/>
        <v/>
      </c>
      <c r="AA5278" s="60">
        <f t="shared" si="578"/>
        <v>0</v>
      </c>
      <c r="AB5278" s="49">
        <f t="shared" si="579"/>
        <v>0</v>
      </c>
      <c r="AC5278" s="60">
        <f t="shared" si="580"/>
        <v>0</v>
      </c>
    </row>
    <row r="5279" spans="1:29">
      <c r="A5279" s="83" t="str">
        <f t="shared" si="575"/>
        <v/>
      </c>
      <c r="B5279" s="83" t="str">
        <f t="shared" si="574"/>
        <v/>
      </c>
      <c r="U5279" s="83" t="str">
        <f t="shared" si="576"/>
        <v/>
      </c>
      <c r="V5279" s="83" t="str">
        <f t="shared" si="577"/>
        <v/>
      </c>
      <c r="AA5279" s="60">
        <f t="shared" si="578"/>
        <v>0</v>
      </c>
      <c r="AB5279" s="49">
        <f t="shared" si="579"/>
        <v>0</v>
      </c>
      <c r="AC5279" s="60">
        <f t="shared" si="580"/>
        <v>0</v>
      </c>
    </row>
    <row r="5280" spans="1:29">
      <c r="A5280" s="83" t="str">
        <f t="shared" si="575"/>
        <v/>
      </c>
      <c r="B5280" s="83" t="str">
        <f t="shared" si="574"/>
        <v/>
      </c>
      <c r="U5280" s="83" t="str">
        <f t="shared" si="576"/>
        <v/>
      </c>
      <c r="V5280" s="83" t="str">
        <f t="shared" si="577"/>
        <v/>
      </c>
      <c r="AA5280" s="60">
        <f t="shared" si="578"/>
        <v>0</v>
      </c>
      <c r="AB5280" s="49">
        <f t="shared" si="579"/>
        <v>0</v>
      </c>
      <c r="AC5280" s="60">
        <f t="shared" si="580"/>
        <v>0</v>
      </c>
    </row>
    <row r="5281" spans="1:29">
      <c r="A5281" s="83" t="str">
        <f t="shared" si="575"/>
        <v/>
      </c>
      <c r="B5281" s="83" t="str">
        <f t="shared" ref="B5281:B5344" si="581">IF(C5281&lt;&gt;"",LEFT(C5281,9),"")</f>
        <v/>
      </c>
      <c r="U5281" s="83" t="str">
        <f t="shared" si="576"/>
        <v/>
      </c>
      <c r="V5281" s="83" t="str">
        <f t="shared" si="577"/>
        <v/>
      </c>
      <c r="AA5281" s="60">
        <f t="shared" si="578"/>
        <v>0</v>
      </c>
      <c r="AB5281" s="49">
        <f t="shared" si="579"/>
        <v>0</v>
      </c>
      <c r="AC5281" s="60">
        <f t="shared" si="580"/>
        <v>0</v>
      </c>
    </row>
    <row r="5282" spans="1:29">
      <c r="A5282" s="83" t="str">
        <f t="shared" si="575"/>
        <v/>
      </c>
      <c r="B5282" s="83" t="str">
        <f t="shared" si="581"/>
        <v/>
      </c>
      <c r="U5282" s="83" t="str">
        <f t="shared" si="576"/>
        <v/>
      </c>
      <c r="V5282" s="83" t="str">
        <f t="shared" si="577"/>
        <v/>
      </c>
      <c r="AA5282" s="60">
        <f t="shared" si="578"/>
        <v>0</v>
      </c>
      <c r="AB5282" s="49">
        <f t="shared" si="579"/>
        <v>0</v>
      </c>
      <c r="AC5282" s="60">
        <f t="shared" si="580"/>
        <v>0</v>
      </c>
    </row>
    <row r="5283" spans="1:29">
      <c r="A5283" s="83" t="str">
        <f t="shared" si="575"/>
        <v/>
      </c>
      <c r="B5283" s="83" t="str">
        <f t="shared" si="581"/>
        <v/>
      </c>
      <c r="U5283" s="83" t="str">
        <f t="shared" si="576"/>
        <v/>
      </c>
      <c r="V5283" s="83" t="str">
        <f t="shared" si="577"/>
        <v/>
      </c>
      <c r="AA5283" s="60">
        <f t="shared" si="578"/>
        <v>0</v>
      </c>
      <c r="AB5283" s="49">
        <f t="shared" si="579"/>
        <v>0</v>
      </c>
      <c r="AC5283" s="60">
        <f t="shared" si="580"/>
        <v>0</v>
      </c>
    </row>
    <row r="5284" spans="1:29">
      <c r="A5284" s="83" t="str">
        <f t="shared" si="575"/>
        <v/>
      </c>
      <c r="B5284" s="83" t="str">
        <f t="shared" si="581"/>
        <v/>
      </c>
      <c r="U5284" s="83" t="str">
        <f t="shared" si="576"/>
        <v/>
      </c>
      <c r="V5284" s="83" t="str">
        <f t="shared" si="577"/>
        <v/>
      </c>
      <c r="AA5284" s="60">
        <f t="shared" si="578"/>
        <v>0</v>
      </c>
      <c r="AB5284" s="49">
        <f t="shared" si="579"/>
        <v>0</v>
      </c>
      <c r="AC5284" s="60">
        <f t="shared" si="580"/>
        <v>0</v>
      </c>
    </row>
    <row r="5285" spans="1:29">
      <c r="A5285" s="83" t="str">
        <f t="shared" si="575"/>
        <v/>
      </c>
      <c r="B5285" s="83" t="str">
        <f t="shared" si="581"/>
        <v/>
      </c>
      <c r="U5285" s="83" t="str">
        <f t="shared" si="576"/>
        <v/>
      </c>
      <c r="V5285" s="83" t="str">
        <f t="shared" si="577"/>
        <v/>
      </c>
      <c r="AA5285" s="60">
        <f t="shared" si="578"/>
        <v>0</v>
      </c>
      <c r="AB5285" s="49">
        <f t="shared" si="579"/>
        <v>0</v>
      </c>
      <c r="AC5285" s="60">
        <f t="shared" si="580"/>
        <v>0</v>
      </c>
    </row>
    <row r="5286" spans="1:29">
      <c r="A5286" s="83" t="str">
        <f t="shared" si="575"/>
        <v/>
      </c>
      <c r="B5286" s="83" t="str">
        <f t="shared" si="581"/>
        <v/>
      </c>
      <c r="U5286" s="83" t="str">
        <f t="shared" si="576"/>
        <v/>
      </c>
      <c r="V5286" s="83" t="str">
        <f t="shared" si="577"/>
        <v/>
      </c>
      <c r="AA5286" s="60">
        <f t="shared" si="578"/>
        <v>0</v>
      </c>
      <c r="AB5286" s="49">
        <f t="shared" si="579"/>
        <v>0</v>
      </c>
      <c r="AC5286" s="60">
        <f t="shared" si="580"/>
        <v>0</v>
      </c>
    </row>
    <row r="5287" spans="1:29">
      <c r="A5287" s="83" t="str">
        <f t="shared" si="575"/>
        <v/>
      </c>
      <c r="B5287" s="83" t="str">
        <f t="shared" si="581"/>
        <v/>
      </c>
      <c r="U5287" s="83" t="str">
        <f t="shared" si="576"/>
        <v/>
      </c>
      <c r="V5287" s="83" t="str">
        <f t="shared" si="577"/>
        <v/>
      </c>
      <c r="AA5287" s="60">
        <f t="shared" si="578"/>
        <v>0</v>
      </c>
      <c r="AB5287" s="49">
        <f t="shared" si="579"/>
        <v>0</v>
      </c>
      <c r="AC5287" s="60">
        <f t="shared" si="580"/>
        <v>0</v>
      </c>
    </row>
    <row r="5288" spans="1:29">
      <c r="A5288" s="83" t="str">
        <f t="shared" si="575"/>
        <v/>
      </c>
      <c r="B5288" s="83" t="str">
        <f t="shared" si="581"/>
        <v/>
      </c>
      <c r="U5288" s="83" t="str">
        <f t="shared" si="576"/>
        <v/>
      </c>
      <c r="V5288" s="83" t="str">
        <f t="shared" si="577"/>
        <v/>
      </c>
      <c r="AA5288" s="60">
        <f t="shared" si="578"/>
        <v>0</v>
      </c>
      <c r="AB5288" s="49">
        <f t="shared" si="579"/>
        <v>0</v>
      </c>
      <c r="AC5288" s="60">
        <f t="shared" si="580"/>
        <v>0</v>
      </c>
    </row>
    <row r="5289" spans="1:29">
      <c r="A5289" s="83" t="str">
        <f t="shared" si="575"/>
        <v/>
      </c>
      <c r="B5289" s="83" t="str">
        <f t="shared" si="581"/>
        <v/>
      </c>
      <c r="U5289" s="83" t="str">
        <f t="shared" si="576"/>
        <v/>
      </c>
      <c r="V5289" s="83" t="str">
        <f t="shared" si="577"/>
        <v/>
      </c>
      <c r="AA5289" s="60">
        <f t="shared" si="578"/>
        <v>0</v>
      </c>
      <c r="AB5289" s="49">
        <f t="shared" si="579"/>
        <v>0</v>
      </c>
      <c r="AC5289" s="60">
        <f t="shared" si="580"/>
        <v>0</v>
      </c>
    </row>
    <row r="5290" spans="1:29">
      <c r="A5290" s="83" t="str">
        <f t="shared" si="575"/>
        <v/>
      </c>
      <c r="B5290" s="83" t="str">
        <f t="shared" si="581"/>
        <v/>
      </c>
      <c r="U5290" s="83" t="str">
        <f t="shared" si="576"/>
        <v/>
      </c>
      <c r="V5290" s="83" t="str">
        <f t="shared" si="577"/>
        <v/>
      </c>
      <c r="AA5290" s="60">
        <f t="shared" si="578"/>
        <v>0</v>
      </c>
      <c r="AB5290" s="49">
        <f t="shared" si="579"/>
        <v>0</v>
      </c>
      <c r="AC5290" s="60">
        <f t="shared" si="580"/>
        <v>0</v>
      </c>
    </row>
    <row r="5291" spans="1:29">
      <c r="A5291" s="83" t="str">
        <f t="shared" si="575"/>
        <v/>
      </c>
      <c r="B5291" s="83" t="str">
        <f t="shared" si="581"/>
        <v/>
      </c>
      <c r="U5291" s="83" t="str">
        <f t="shared" si="576"/>
        <v/>
      </c>
      <c r="V5291" s="83" t="str">
        <f t="shared" si="577"/>
        <v/>
      </c>
      <c r="AA5291" s="60">
        <f t="shared" si="578"/>
        <v>0</v>
      </c>
      <c r="AB5291" s="49">
        <f t="shared" si="579"/>
        <v>0</v>
      </c>
      <c r="AC5291" s="60">
        <f t="shared" si="580"/>
        <v>0</v>
      </c>
    </row>
    <row r="5292" spans="1:29">
      <c r="A5292" s="83" t="str">
        <f t="shared" si="575"/>
        <v/>
      </c>
      <c r="B5292" s="83" t="str">
        <f t="shared" si="581"/>
        <v/>
      </c>
      <c r="U5292" s="83" t="str">
        <f t="shared" si="576"/>
        <v/>
      </c>
      <c r="V5292" s="83" t="str">
        <f t="shared" si="577"/>
        <v/>
      </c>
      <c r="AA5292" s="60">
        <f t="shared" si="578"/>
        <v>0</v>
      </c>
      <c r="AB5292" s="49">
        <f t="shared" si="579"/>
        <v>0</v>
      </c>
      <c r="AC5292" s="60">
        <f t="shared" si="580"/>
        <v>0</v>
      </c>
    </row>
    <row r="5293" spans="1:29">
      <c r="A5293" s="83" t="str">
        <f t="shared" si="575"/>
        <v/>
      </c>
      <c r="B5293" s="83" t="str">
        <f t="shared" si="581"/>
        <v/>
      </c>
      <c r="U5293" s="83" t="str">
        <f t="shared" si="576"/>
        <v/>
      </c>
      <c r="V5293" s="83" t="str">
        <f t="shared" si="577"/>
        <v/>
      </c>
      <c r="AA5293" s="60">
        <f t="shared" si="578"/>
        <v>0</v>
      </c>
      <c r="AB5293" s="49">
        <f t="shared" si="579"/>
        <v>0</v>
      </c>
      <c r="AC5293" s="60">
        <f t="shared" si="580"/>
        <v>0</v>
      </c>
    </row>
    <row r="5294" spans="1:29">
      <c r="A5294" s="83" t="str">
        <f t="shared" si="575"/>
        <v/>
      </c>
      <c r="B5294" s="83" t="str">
        <f t="shared" si="581"/>
        <v/>
      </c>
      <c r="U5294" s="83" t="str">
        <f t="shared" si="576"/>
        <v/>
      </c>
      <c r="V5294" s="83" t="str">
        <f t="shared" si="577"/>
        <v/>
      </c>
      <c r="AA5294" s="60">
        <f t="shared" si="578"/>
        <v>0</v>
      </c>
      <c r="AB5294" s="49">
        <f t="shared" si="579"/>
        <v>0</v>
      </c>
      <c r="AC5294" s="60">
        <f t="shared" si="580"/>
        <v>0</v>
      </c>
    </row>
    <row r="5295" spans="1:29">
      <c r="A5295" s="83" t="str">
        <f t="shared" si="575"/>
        <v/>
      </c>
      <c r="B5295" s="83" t="str">
        <f t="shared" si="581"/>
        <v/>
      </c>
      <c r="U5295" s="83" t="str">
        <f t="shared" si="576"/>
        <v/>
      </c>
      <c r="V5295" s="83" t="str">
        <f t="shared" si="577"/>
        <v/>
      </c>
      <c r="AA5295" s="60">
        <f t="shared" si="578"/>
        <v>0</v>
      </c>
      <c r="AB5295" s="49">
        <f t="shared" si="579"/>
        <v>0</v>
      </c>
      <c r="AC5295" s="60">
        <f t="shared" si="580"/>
        <v>0</v>
      </c>
    </row>
    <row r="5296" spans="1:29">
      <c r="A5296" s="83" t="str">
        <f t="shared" si="575"/>
        <v/>
      </c>
      <c r="B5296" s="83" t="str">
        <f t="shared" si="581"/>
        <v/>
      </c>
      <c r="U5296" s="83" t="str">
        <f t="shared" si="576"/>
        <v/>
      </c>
      <c r="V5296" s="83" t="str">
        <f t="shared" si="577"/>
        <v/>
      </c>
      <c r="AA5296" s="60">
        <f t="shared" si="578"/>
        <v>0</v>
      </c>
      <c r="AB5296" s="49">
        <f t="shared" si="579"/>
        <v>0</v>
      </c>
      <c r="AC5296" s="60">
        <f t="shared" si="580"/>
        <v>0</v>
      </c>
    </row>
    <row r="5297" spans="1:29">
      <c r="A5297" s="83" t="str">
        <f t="shared" si="575"/>
        <v/>
      </c>
      <c r="B5297" s="83" t="str">
        <f t="shared" si="581"/>
        <v/>
      </c>
      <c r="U5297" s="83" t="str">
        <f t="shared" si="576"/>
        <v/>
      </c>
      <c r="V5297" s="83" t="str">
        <f t="shared" si="577"/>
        <v/>
      </c>
      <c r="AA5297" s="60">
        <f t="shared" si="578"/>
        <v>0</v>
      </c>
      <c r="AB5297" s="49">
        <f t="shared" si="579"/>
        <v>0</v>
      </c>
      <c r="AC5297" s="60">
        <f t="shared" si="580"/>
        <v>0</v>
      </c>
    </row>
    <row r="5298" spans="1:29">
      <c r="A5298" s="83" t="str">
        <f t="shared" si="575"/>
        <v/>
      </c>
      <c r="B5298" s="83" t="str">
        <f t="shared" si="581"/>
        <v/>
      </c>
      <c r="U5298" s="83" t="str">
        <f t="shared" si="576"/>
        <v/>
      </c>
      <c r="V5298" s="83" t="str">
        <f t="shared" si="577"/>
        <v/>
      </c>
      <c r="AA5298" s="60">
        <f t="shared" si="578"/>
        <v>0</v>
      </c>
      <c r="AB5298" s="49">
        <f t="shared" si="579"/>
        <v>0</v>
      </c>
      <c r="AC5298" s="60">
        <f t="shared" si="580"/>
        <v>0</v>
      </c>
    </row>
    <row r="5299" spans="1:29">
      <c r="A5299" s="83" t="str">
        <f t="shared" si="575"/>
        <v/>
      </c>
      <c r="B5299" s="83" t="str">
        <f t="shared" si="581"/>
        <v/>
      </c>
      <c r="U5299" s="83" t="str">
        <f t="shared" si="576"/>
        <v/>
      </c>
      <c r="V5299" s="83" t="str">
        <f t="shared" si="577"/>
        <v/>
      </c>
      <c r="AA5299" s="60">
        <f t="shared" si="578"/>
        <v>0</v>
      </c>
      <c r="AB5299" s="49">
        <f t="shared" si="579"/>
        <v>0</v>
      </c>
      <c r="AC5299" s="60">
        <f t="shared" si="580"/>
        <v>0</v>
      </c>
    </row>
    <row r="5300" spans="1:29">
      <c r="A5300" s="83" t="str">
        <f t="shared" si="575"/>
        <v/>
      </c>
      <c r="B5300" s="83" t="str">
        <f t="shared" si="581"/>
        <v/>
      </c>
      <c r="U5300" s="83" t="str">
        <f t="shared" si="576"/>
        <v/>
      </c>
      <c r="V5300" s="83" t="str">
        <f t="shared" si="577"/>
        <v/>
      </c>
      <c r="AA5300" s="60">
        <f t="shared" si="578"/>
        <v>0</v>
      </c>
      <c r="AB5300" s="49">
        <f t="shared" si="579"/>
        <v>0</v>
      </c>
      <c r="AC5300" s="60">
        <f t="shared" si="580"/>
        <v>0</v>
      </c>
    </row>
    <row r="5301" spans="1:29">
      <c r="A5301" s="83" t="str">
        <f t="shared" si="575"/>
        <v/>
      </c>
      <c r="B5301" s="83" t="str">
        <f t="shared" si="581"/>
        <v/>
      </c>
      <c r="U5301" s="83" t="str">
        <f t="shared" si="576"/>
        <v/>
      </c>
      <c r="V5301" s="83" t="str">
        <f t="shared" si="577"/>
        <v/>
      </c>
      <c r="AA5301" s="60">
        <f t="shared" si="578"/>
        <v>0</v>
      </c>
      <c r="AB5301" s="49">
        <f t="shared" si="579"/>
        <v>0</v>
      </c>
      <c r="AC5301" s="60">
        <f t="shared" si="580"/>
        <v>0</v>
      </c>
    </row>
    <row r="5302" spans="1:29">
      <c r="A5302" s="83" t="str">
        <f t="shared" si="575"/>
        <v/>
      </c>
      <c r="B5302" s="83" t="str">
        <f t="shared" si="581"/>
        <v/>
      </c>
      <c r="U5302" s="83" t="str">
        <f t="shared" si="576"/>
        <v/>
      </c>
      <c r="V5302" s="83" t="str">
        <f t="shared" si="577"/>
        <v/>
      </c>
      <c r="AA5302" s="60">
        <f t="shared" si="578"/>
        <v>0</v>
      </c>
      <c r="AB5302" s="49">
        <f t="shared" si="579"/>
        <v>0</v>
      </c>
      <c r="AC5302" s="60">
        <f t="shared" si="580"/>
        <v>0</v>
      </c>
    </row>
    <row r="5303" spans="1:29">
      <c r="A5303" s="83" t="str">
        <f t="shared" si="575"/>
        <v/>
      </c>
      <c r="B5303" s="83" t="str">
        <f t="shared" si="581"/>
        <v/>
      </c>
      <c r="U5303" s="83" t="str">
        <f t="shared" si="576"/>
        <v/>
      </c>
      <c r="V5303" s="83" t="str">
        <f t="shared" si="577"/>
        <v/>
      </c>
      <c r="AA5303" s="60">
        <f t="shared" si="578"/>
        <v>0</v>
      </c>
      <c r="AB5303" s="49">
        <f t="shared" si="579"/>
        <v>0</v>
      </c>
      <c r="AC5303" s="60">
        <f t="shared" si="580"/>
        <v>0</v>
      </c>
    </row>
    <row r="5304" spans="1:29">
      <c r="A5304" s="83" t="str">
        <f t="shared" si="575"/>
        <v/>
      </c>
      <c r="B5304" s="83" t="str">
        <f t="shared" si="581"/>
        <v/>
      </c>
      <c r="U5304" s="83" t="str">
        <f t="shared" si="576"/>
        <v/>
      </c>
      <c r="V5304" s="83" t="str">
        <f t="shared" si="577"/>
        <v/>
      </c>
      <c r="AA5304" s="60">
        <f t="shared" si="578"/>
        <v>0</v>
      </c>
      <c r="AB5304" s="49">
        <f t="shared" si="579"/>
        <v>0</v>
      </c>
      <c r="AC5304" s="60">
        <f t="shared" si="580"/>
        <v>0</v>
      </c>
    </row>
    <row r="5305" spans="1:29">
      <c r="A5305" s="83" t="str">
        <f t="shared" si="575"/>
        <v/>
      </c>
      <c r="B5305" s="83" t="str">
        <f t="shared" si="581"/>
        <v/>
      </c>
      <c r="U5305" s="83" t="str">
        <f t="shared" si="576"/>
        <v/>
      </c>
      <c r="V5305" s="83" t="str">
        <f t="shared" si="577"/>
        <v/>
      </c>
      <c r="AA5305" s="60">
        <f t="shared" si="578"/>
        <v>0</v>
      </c>
      <c r="AB5305" s="49">
        <f t="shared" si="579"/>
        <v>0</v>
      </c>
      <c r="AC5305" s="60">
        <f t="shared" si="580"/>
        <v>0</v>
      </c>
    </row>
    <row r="5306" spans="1:29">
      <c r="A5306" s="83" t="str">
        <f t="shared" si="575"/>
        <v/>
      </c>
      <c r="B5306" s="83" t="str">
        <f t="shared" si="581"/>
        <v/>
      </c>
      <c r="U5306" s="83" t="str">
        <f t="shared" si="576"/>
        <v/>
      </c>
      <c r="V5306" s="83" t="str">
        <f t="shared" si="577"/>
        <v/>
      </c>
      <c r="AA5306" s="60">
        <f t="shared" si="578"/>
        <v>0</v>
      </c>
      <c r="AB5306" s="49">
        <f t="shared" si="579"/>
        <v>0</v>
      </c>
      <c r="AC5306" s="60">
        <f t="shared" si="580"/>
        <v>0</v>
      </c>
    </row>
    <row r="5307" spans="1:29">
      <c r="A5307" s="83" t="str">
        <f t="shared" si="575"/>
        <v/>
      </c>
      <c r="B5307" s="83" t="str">
        <f t="shared" si="581"/>
        <v/>
      </c>
      <c r="U5307" s="83" t="str">
        <f t="shared" si="576"/>
        <v/>
      </c>
      <c r="V5307" s="83" t="str">
        <f t="shared" si="577"/>
        <v/>
      </c>
      <c r="AA5307" s="60">
        <f t="shared" si="578"/>
        <v>0</v>
      </c>
      <c r="AB5307" s="49">
        <f t="shared" si="579"/>
        <v>0</v>
      </c>
      <c r="AC5307" s="60">
        <f t="shared" si="580"/>
        <v>0</v>
      </c>
    </row>
    <row r="5308" spans="1:29">
      <c r="A5308" s="83" t="str">
        <f t="shared" si="575"/>
        <v/>
      </c>
      <c r="B5308" s="83" t="str">
        <f t="shared" si="581"/>
        <v/>
      </c>
      <c r="U5308" s="83" t="str">
        <f t="shared" si="576"/>
        <v/>
      </c>
      <c r="V5308" s="83" t="str">
        <f t="shared" si="577"/>
        <v/>
      </c>
      <c r="AA5308" s="60">
        <f t="shared" si="578"/>
        <v>0</v>
      </c>
      <c r="AB5308" s="49">
        <f t="shared" si="579"/>
        <v>0</v>
      </c>
      <c r="AC5308" s="60">
        <f t="shared" si="580"/>
        <v>0</v>
      </c>
    </row>
    <row r="5309" spans="1:29">
      <c r="A5309" s="83" t="str">
        <f t="shared" si="575"/>
        <v/>
      </c>
      <c r="B5309" s="83" t="str">
        <f t="shared" si="581"/>
        <v/>
      </c>
      <c r="U5309" s="83" t="str">
        <f t="shared" si="576"/>
        <v/>
      </c>
      <c r="V5309" s="83" t="str">
        <f t="shared" si="577"/>
        <v/>
      </c>
      <c r="AA5309" s="60">
        <f t="shared" si="578"/>
        <v>0</v>
      </c>
      <c r="AB5309" s="49">
        <f t="shared" si="579"/>
        <v>0</v>
      </c>
      <c r="AC5309" s="60">
        <f t="shared" si="580"/>
        <v>0</v>
      </c>
    </row>
    <row r="5310" spans="1:29">
      <c r="A5310" s="83" t="str">
        <f t="shared" si="575"/>
        <v/>
      </c>
      <c r="B5310" s="83" t="str">
        <f t="shared" si="581"/>
        <v/>
      </c>
      <c r="U5310" s="83" t="str">
        <f t="shared" si="576"/>
        <v/>
      </c>
      <c r="V5310" s="83" t="str">
        <f t="shared" si="577"/>
        <v/>
      </c>
      <c r="AA5310" s="60">
        <f t="shared" si="578"/>
        <v>0</v>
      </c>
      <c r="AB5310" s="49">
        <f t="shared" si="579"/>
        <v>0</v>
      </c>
      <c r="AC5310" s="60">
        <f t="shared" si="580"/>
        <v>0</v>
      </c>
    </row>
    <row r="5311" spans="1:29">
      <c r="A5311" s="83" t="str">
        <f t="shared" si="575"/>
        <v/>
      </c>
      <c r="B5311" s="83" t="str">
        <f t="shared" si="581"/>
        <v/>
      </c>
      <c r="U5311" s="83" t="str">
        <f t="shared" si="576"/>
        <v/>
      </c>
      <c r="V5311" s="83" t="str">
        <f t="shared" si="577"/>
        <v/>
      </c>
      <c r="AA5311" s="60">
        <f t="shared" si="578"/>
        <v>0</v>
      </c>
      <c r="AB5311" s="49">
        <f t="shared" si="579"/>
        <v>0</v>
      </c>
      <c r="AC5311" s="60">
        <f t="shared" si="580"/>
        <v>0</v>
      </c>
    </row>
    <row r="5312" spans="1:29">
      <c r="A5312" s="83" t="str">
        <f t="shared" si="575"/>
        <v/>
      </c>
      <c r="B5312" s="83" t="str">
        <f t="shared" si="581"/>
        <v/>
      </c>
      <c r="U5312" s="83" t="str">
        <f t="shared" si="576"/>
        <v/>
      </c>
      <c r="V5312" s="83" t="str">
        <f t="shared" si="577"/>
        <v/>
      </c>
      <c r="AA5312" s="60">
        <f t="shared" si="578"/>
        <v>0</v>
      </c>
      <c r="AB5312" s="49">
        <f t="shared" si="579"/>
        <v>0</v>
      </c>
      <c r="AC5312" s="60">
        <f t="shared" si="580"/>
        <v>0</v>
      </c>
    </row>
    <row r="5313" spans="1:29">
      <c r="A5313" s="83" t="str">
        <f t="shared" si="575"/>
        <v/>
      </c>
      <c r="B5313" s="83" t="str">
        <f t="shared" si="581"/>
        <v/>
      </c>
      <c r="U5313" s="83" t="str">
        <f t="shared" si="576"/>
        <v/>
      </c>
      <c r="V5313" s="83" t="str">
        <f t="shared" si="577"/>
        <v/>
      </c>
      <c r="AA5313" s="60">
        <f t="shared" si="578"/>
        <v>0</v>
      </c>
      <c r="AB5313" s="49">
        <f t="shared" si="579"/>
        <v>0</v>
      </c>
      <c r="AC5313" s="60">
        <f t="shared" si="580"/>
        <v>0</v>
      </c>
    </row>
    <row r="5314" spans="1:29">
      <c r="A5314" s="83" t="str">
        <f t="shared" si="575"/>
        <v/>
      </c>
      <c r="B5314" s="83" t="str">
        <f t="shared" si="581"/>
        <v/>
      </c>
      <c r="U5314" s="83" t="str">
        <f t="shared" si="576"/>
        <v/>
      </c>
      <c r="V5314" s="83" t="str">
        <f t="shared" si="577"/>
        <v/>
      </c>
      <c r="AA5314" s="60">
        <f t="shared" si="578"/>
        <v>0</v>
      </c>
      <c r="AB5314" s="49">
        <f t="shared" si="579"/>
        <v>0</v>
      </c>
      <c r="AC5314" s="60">
        <f t="shared" si="580"/>
        <v>0</v>
      </c>
    </row>
    <row r="5315" spans="1:29">
      <c r="A5315" s="83" t="str">
        <f t="shared" ref="A5315:A5378" si="582">IF(G5315&amp;Q5315&lt;&gt;"",U5315&amp;Q5315,"")</f>
        <v/>
      </c>
      <c r="B5315" s="83" t="str">
        <f t="shared" si="581"/>
        <v/>
      </c>
      <c r="U5315" s="83" t="str">
        <f t="shared" ref="U5315:U5378" si="583">IF(G5315&lt;&gt;"",IF(StyleSpaceSplit,IFERROR(IF(FIND(" ",G5315)&gt;=1,MID(G5315,1,FIND(" ",G5315)-1),G5315),G5315),G5315),"")</f>
        <v/>
      </c>
      <c r="V5315" s="83" t="str">
        <f t="shared" ref="V5315:V5378" si="584">IF(A5315&lt;&gt;"",IFERROR(IF(FIND(" ",G5315)&gt;=1,MID(G5315,FIND(" ",G5315)+1,LEN(G5315)),""),G5315),"")</f>
        <v/>
      </c>
      <c r="AA5315" s="60">
        <f t="shared" ref="AA5315:AA5378" si="585">IFERROR(VALUE(MID($C5315,1,2)),0)</f>
        <v>0</v>
      </c>
      <c r="AB5315" s="49">
        <f t="shared" ref="AB5315:AB5378" si="586">IFERROR(VALUE(MID($C5315,4,3)),0)</f>
        <v>0</v>
      </c>
      <c r="AC5315" s="60">
        <f t="shared" ref="AC5315:AC5378" si="587">VALUE(RIGHT("00"&amp;AA5315,2)&amp;RIGHT("000"&amp;AB5315,3))</f>
        <v>0</v>
      </c>
    </row>
    <row r="5316" spans="1:29">
      <c r="A5316" s="83" t="str">
        <f t="shared" si="582"/>
        <v/>
      </c>
      <c r="B5316" s="83" t="str">
        <f t="shared" si="581"/>
        <v/>
      </c>
      <c r="U5316" s="83" t="str">
        <f t="shared" si="583"/>
        <v/>
      </c>
      <c r="V5316" s="83" t="str">
        <f t="shared" si="584"/>
        <v/>
      </c>
      <c r="AA5316" s="60">
        <f t="shared" si="585"/>
        <v>0</v>
      </c>
      <c r="AB5316" s="49">
        <f t="shared" si="586"/>
        <v>0</v>
      </c>
      <c r="AC5316" s="60">
        <f t="shared" si="587"/>
        <v>0</v>
      </c>
    </row>
    <row r="5317" spans="1:29">
      <c r="A5317" s="83" t="str">
        <f t="shared" si="582"/>
        <v/>
      </c>
      <c r="B5317" s="83" t="str">
        <f t="shared" si="581"/>
        <v/>
      </c>
      <c r="U5317" s="83" t="str">
        <f t="shared" si="583"/>
        <v/>
      </c>
      <c r="V5317" s="83" t="str">
        <f t="shared" si="584"/>
        <v/>
      </c>
      <c r="AA5317" s="60">
        <f t="shared" si="585"/>
        <v>0</v>
      </c>
      <c r="AB5317" s="49">
        <f t="shared" si="586"/>
        <v>0</v>
      </c>
      <c r="AC5317" s="60">
        <f t="shared" si="587"/>
        <v>0</v>
      </c>
    </row>
    <row r="5318" spans="1:29">
      <c r="A5318" s="83" t="str">
        <f t="shared" si="582"/>
        <v/>
      </c>
      <c r="B5318" s="83" t="str">
        <f t="shared" si="581"/>
        <v/>
      </c>
      <c r="U5318" s="83" t="str">
        <f t="shared" si="583"/>
        <v/>
      </c>
      <c r="V5318" s="83" t="str">
        <f t="shared" si="584"/>
        <v/>
      </c>
      <c r="AA5318" s="60">
        <f t="shared" si="585"/>
        <v>0</v>
      </c>
      <c r="AB5318" s="49">
        <f t="shared" si="586"/>
        <v>0</v>
      </c>
      <c r="AC5318" s="60">
        <f t="shared" si="587"/>
        <v>0</v>
      </c>
    </row>
    <row r="5319" spans="1:29">
      <c r="A5319" s="83" t="str">
        <f t="shared" si="582"/>
        <v/>
      </c>
      <c r="B5319" s="83" t="str">
        <f t="shared" si="581"/>
        <v/>
      </c>
      <c r="U5319" s="83" t="str">
        <f t="shared" si="583"/>
        <v/>
      </c>
      <c r="V5319" s="83" t="str">
        <f t="shared" si="584"/>
        <v/>
      </c>
      <c r="AA5319" s="60">
        <f t="shared" si="585"/>
        <v>0</v>
      </c>
      <c r="AB5319" s="49">
        <f t="shared" si="586"/>
        <v>0</v>
      </c>
      <c r="AC5319" s="60">
        <f t="shared" si="587"/>
        <v>0</v>
      </c>
    </row>
    <row r="5320" spans="1:29">
      <c r="A5320" s="83" t="str">
        <f t="shared" si="582"/>
        <v/>
      </c>
      <c r="B5320" s="83" t="str">
        <f t="shared" si="581"/>
        <v/>
      </c>
      <c r="U5320" s="83" t="str">
        <f t="shared" si="583"/>
        <v/>
      </c>
      <c r="V5320" s="83" t="str">
        <f t="shared" si="584"/>
        <v/>
      </c>
      <c r="AA5320" s="60">
        <f t="shared" si="585"/>
        <v>0</v>
      </c>
      <c r="AB5320" s="49">
        <f t="shared" si="586"/>
        <v>0</v>
      </c>
      <c r="AC5320" s="60">
        <f t="shared" si="587"/>
        <v>0</v>
      </c>
    </row>
    <row r="5321" spans="1:29">
      <c r="A5321" s="83" t="str">
        <f t="shared" si="582"/>
        <v/>
      </c>
      <c r="B5321" s="83" t="str">
        <f t="shared" si="581"/>
        <v/>
      </c>
      <c r="U5321" s="83" t="str">
        <f t="shared" si="583"/>
        <v/>
      </c>
      <c r="V5321" s="83" t="str">
        <f t="shared" si="584"/>
        <v/>
      </c>
      <c r="AA5321" s="60">
        <f t="shared" si="585"/>
        <v>0</v>
      </c>
      <c r="AB5321" s="49">
        <f t="shared" si="586"/>
        <v>0</v>
      </c>
      <c r="AC5321" s="60">
        <f t="shared" si="587"/>
        <v>0</v>
      </c>
    </row>
    <row r="5322" spans="1:29">
      <c r="A5322" s="83" t="str">
        <f t="shared" si="582"/>
        <v/>
      </c>
      <c r="B5322" s="83" t="str">
        <f t="shared" si="581"/>
        <v/>
      </c>
      <c r="U5322" s="83" t="str">
        <f t="shared" si="583"/>
        <v/>
      </c>
      <c r="V5322" s="83" t="str">
        <f t="shared" si="584"/>
        <v/>
      </c>
      <c r="AA5322" s="60">
        <f t="shared" si="585"/>
        <v>0</v>
      </c>
      <c r="AB5322" s="49">
        <f t="shared" si="586"/>
        <v>0</v>
      </c>
      <c r="AC5322" s="60">
        <f t="shared" si="587"/>
        <v>0</v>
      </c>
    </row>
    <row r="5323" spans="1:29">
      <c r="A5323" s="83" t="str">
        <f t="shared" si="582"/>
        <v/>
      </c>
      <c r="B5323" s="83" t="str">
        <f t="shared" si="581"/>
        <v/>
      </c>
      <c r="U5323" s="83" t="str">
        <f t="shared" si="583"/>
        <v/>
      </c>
      <c r="V5323" s="83" t="str">
        <f t="shared" si="584"/>
        <v/>
      </c>
      <c r="AA5323" s="60">
        <f t="shared" si="585"/>
        <v>0</v>
      </c>
      <c r="AB5323" s="49">
        <f t="shared" si="586"/>
        <v>0</v>
      </c>
      <c r="AC5323" s="60">
        <f t="shared" si="587"/>
        <v>0</v>
      </c>
    </row>
    <row r="5324" spans="1:29">
      <c r="A5324" s="83" t="str">
        <f t="shared" si="582"/>
        <v/>
      </c>
      <c r="B5324" s="83" t="str">
        <f t="shared" si="581"/>
        <v/>
      </c>
      <c r="U5324" s="83" t="str">
        <f t="shared" si="583"/>
        <v/>
      </c>
      <c r="V5324" s="83" t="str">
        <f t="shared" si="584"/>
        <v/>
      </c>
      <c r="AA5324" s="60">
        <f t="shared" si="585"/>
        <v>0</v>
      </c>
      <c r="AB5324" s="49">
        <f t="shared" si="586"/>
        <v>0</v>
      </c>
      <c r="AC5324" s="60">
        <f t="shared" si="587"/>
        <v>0</v>
      </c>
    </row>
    <row r="5325" spans="1:29">
      <c r="A5325" s="83" t="str">
        <f t="shared" si="582"/>
        <v/>
      </c>
      <c r="B5325" s="83" t="str">
        <f t="shared" si="581"/>
        <v/>
      </c>
      <c r="U5325" s="83" t="str">
        <f t="shared" si="583"/>
        <v/>
      </c>
      <c r="V5325" s="83" t="str">
        <f t="shared" si="584"/>
        <v/>
      </c>
      <c r="AA5325" s="60">
        <f t="shared" si="585"/>
        <v>0</v>
      </c>
      <c r="AB5325" s="49">
        <f t="shared" si="586"/>
        <v>0</v>
      </c>
      <c r="AC5325" s="60">
        <f t="shared" si="587"/>
        <v>0</v>
      </c>
    </row>
    <row r="5326" spans="1:29">
      <c r="A5326" s="83" t="str">
        <f t="shared" si="582"/>
        <v/>
      </c>
      <c r="B5326" s="83" t="str">
        <f t="shared" si="581"/>
        <v/>
      </c>
      <c r="U5326" s="83" t="str">
        <f t="shared" si="583"/>
        <v/>
      </c>
      <c r="V5326" s="83" t="str">
        <f t="shared" si="584"/>
        <v/>
      </c>
      <c r="AA5326" s="60">
        <f t="shared" si="585"/>
        <v>0</v>
      </c>
      <c r="AB5326" s="49">
        <f t="shared" si="586"/>
        <v>0</v>
      </c>
      <c r="AC5326" s="60">
        <f t="shared" si="587"/>
        <v>0</v>
      </c>
    </row>
    <row r="5327" spans="1:29">
      <c r="A5327" s="83" t="str">
        <f t="shared" si="582"/>
        <v/>
      </c>
      <c r="B5327" s="83" t="str">
        <f t="shared" si="581"/>
        <v/>
      </c>
      <c r="U5327" s="83" t="str">
        <f t="shared" si="583"/>
        <v/>
      </c>
      <c r="V5327" s="83" t="str">
        <f t="shared" si="584"/>
        <v/>
      </c>
      <c r="AA5327" s="60">
        <f t="shared" si="585"/>
        <v>0</v>
      </c>
      <c r="AB5327" s="49">
        <f t="shared" si="586"/>
        <v>0</v>
      </c>
      <c r="AC5327" s="60">
        <f t="shared" si="587"/>
        <v>0</v>
      </c>
    </row>
    <row r="5328" spans="1:29">
      <c r="A5328" s="83" t="str">
        <f t="shared" si="582"/>
        <v/>
      </c>
      <c r="B5328" s="83" t="str">
        <f t="shared" si="581"/>
        <v/>
      </c>
      <c r="U5328" s="83" t="str">
        <f t="shared" si="583"/>
        <v/>
      </c>
      <c r="V5328" s="83" t="str">
        <f t="shared" si="584"/>
        <v/>
      </c>
      <c r="AA5328" s="60">
        <f t="shared" si="585"/>
        <v>0</v>
      </c>
      <c r="AB5328" s="49">
        <f t="shared" si="586"/>
        <v>0</v>
      </c>
      <c r="AC5328" s="60">
        <f t="shared" si="587"/>
        <v>0</v>
      </c>
    </row>
    <row r="5329" spans="1:29">
      <c r="A5329" s="83" t="str">
        <f t="shared" si="582"/>
        <v/>
      </c>
      <c r="B5329" s="83" t="str">
        <f t="shared" si="581"/>
        <v/>
      </c>
      <c r="U5329" s="83" t="str">
        <f t="shared" si="583"/>
        <v/>
      </c>
      <c r="V5329" s="83" t="str">
        <f t="shared" si="584"/>
        <v/>
      </c>
      <c r="AA5329" s="60">
        <f t="shared" si="585"/>
        <v>0</v>
      </c>
      <c r="AB5329" s="49">
        <f t="shared" si="586"/>
        <v>0</v>
      </c>
      <c r="AC5329" s="60">
        <f t="shared" si="587"/>
        <v>0</v>
      </c>
    </row>
    <row r="5330" spans="1:29">
      <c r="A5330" s="83" t="str">
        <f t="shared" si="582"/>
        <v/>
      </c>
      <c r="B5330" s="83" t="str">
        <f t="shared" si="581"/>
        <v/>
      </c>
      <c r="U5330" s="83" t="str">
        <f t="shared" si="583"/>
        <v/>
      </c>
      <c r="V5330" s="83" t="str">
        <f t="shared" si="584"/>
        <v/>
      </c>
      <c r="AA5330" s="60">
        <f t="shared" si="585"/>
        <v>0</v>
      </c>
      <c r="AB5330" s="49">
        <f t="shared" si="586"/>
        <v>0</v>
      </c>
      <c r="AC5330" s="60">
        <f t="shared" si="587"/>
        <v>0</v>
      </c>
    </row>
    <row r="5331" spans="1:29">
      <c r="A5331" s="83" t="str">
        <f t="shared" si="582"/>
        <v/>
      </c>
      <c r="B5331" s="83" t="str">
        <f t="shared" si="581"/>
        <v/>
      </c>
      <c r="U5331" s="83" t="str">
        <f t="shared" si="583"/>
        <v/>
      </c>
      <c r="V5331" s="83" t="str">
        <f t="shared" si="584"/>
        <v/>
      </c>
      <c r="AA5331" s="60">
        <f t="shared" si="585"/>
        <v>0</v>
      </c>
      <c r="AB5331" s="49">
        <f t="shared" si="586"/>
        <v>0</v>
      </c>
      <c r="AC5331" s="60">
        <f t="shared" si="587"/>
        <v>0</v>
      </c>
    </row>
    <row r="5332" spans="1:29">
      <c r="A5332" s="83" t="str">
        <f t="shared" si="582"/>
        <v/>
      </c>
      <c r="B5332" s="83" t="str">
        <f t="shared" si="581"/>
        <v/>
      </c>
      <c r="U5332" s="83" t="str">
        <f t="shared" si="583"/>
        <v/>
      </c>
      <c r="V5332" s="83" t="str">
        <f t="shared" si="584"/>
        <v/>
      </c>
      <c r="AA5332" s="60">
        <f t="shared" si="585"/>
        <v>0</v>
      </c>
      <c r="AB5332" s="49">
        <f t="shared" si="586"/>
        <v>0</v>
      </c>
      <c r="AC5332" s="60">
        <f t="shared" si="587"/>
        <v>0</v>
      </c>
    </row>
    <row r="5333" spans="1:29">
      <c r="A5333" s="83" t="str">
        <f t="shared" si="582"/>
        <v/>
      </c>
      <c r="B5333" s="83" t="str">
        <f t="shared" si="581"/>
        <v/>
      </c>
      <c r="U5333" s="83" t="str">
        <f t="shared" si="583"/>
        <v/>
      </c>
      <c r="V5333" s="83" t="str">
        <f t="shared" si="584"/>
        <v/>
      </c>
      <c r="AA5333" s="60">
        <f t="shared" si="585"/>
        <v>0</v>
      </c>
      <c r="AB5333" s="49">
        <f t="shared" si="586"/>
        <v>0</v>
      </c>
      <c r="AC5333" s="60">
        <f t="shared" si="587"/>
        <v>0</v>
      </c>
    </row>
    <row r="5334" spans="1:29">
      <c r="A5334" s="83" t="str">
        <f t="shared" si="582"/>
        <v/>
      </c>
      <c r="B5334" s="83" t="str">
        <f t="shared" si="581"/>
        <v/>
      </c>
      <c r="U5334" s="83" t="str">
        <f t="shared" si="583"/>
        <v/>
      </c>
      <c r="V5334" s="83" t="str">
        <f t="shared" si="584"/>
        <v/>
      </c>
      <c r="AA5334" s="60">
        <f t="shared" si="585"/>
        <v>0</v>
      </c>
      <c r="AB5334" s="49">
        <f t="shared" si="586"/>
        <v>0</v>
      </c>
      <c r="AC5334" s="60">
        <f t="shared" si="587"/>
        <v>0</v>
      </c>
    </row>
    <row r="5335" spans="1:29">
      <c r="A5335" s="83" t="str">
        <f t="shared" si="582"/>
        <v/>
      </c>
      <c r="B5335" s="83" t="str">
        <f t="shared" si="581"/>
        <v/>
      </c>
      <c r="U5335" s="83" t="str">
        <f t="shared" si="583"/>
        <v/>
      </c>
      <c r="V5335" s="83" t="str">
        <f t="shared" si="584"/>
        <v/>
      </c>
      <c r="AA5335" s="60">
        <f t="shared" si="585"/>
        <v>0</v>
      </c>
      <c r="AB5335" s="49">
        <f t="shared" si="586"/>
        <v>0</v>
      </c>
      <c r="AC5335" s="60">
        <f t="shared" si="587"/>
        <v>0</v>
      </c>
    </row>
    <row r="5336" spans="1:29">
      <c r="A5336" s="83" t="str">
        <f t="shared" si="582"/>
        <v/>
      </c>
      <c r="B5336" s="83" t="str">
        <f t="shared" si="581"/>
        <v/>
      </c>
      <c r="U5336" s="83" t="str">
        <f t="shared" si="583"/>
        <v/>
      </c>
      <c r="V5336" s="83" t="str">
        <f t="shared" si="584"/>
        <v/>
      </c>
      <c r="AA5336" s="60">
        <f t="shared" si="585"/>
        <v>0</v>
      </c>
      <c r="AB5336" s="49">
        <f t="shared" si="586"/>
        <v>0</v>
      </c>
      <c r="AC5336" s="60">
        <f t="shared" si="587"/>
        <v>0</v>
      </c>
    </row>
    <row r="5337" spans="1:29">
      <c r="A5337" s="83" t="str">
        <f t="shared" si="582"/>
        <v/>
      </c>
      <c r="B5337" s="83" t="str">
        <f t="shared" si="581"/>
        <v/>
      </c>
      <c r="U5337" s="83" t="str">
        <f t="shared" si="583"/>
        <v/>
      </c>
      <c r="V5337" s="83" t="str">
        <f t="shared" si="584"/>
        <v/>
      </c>
      <c r="AA5337" s="60">
        <f t="shared" si="585"/>
        <v>0</v>
      </c>
      <c r="AB5337" s="49">
        <f t="shared" si="586"/>
        <v>0</v>
      </c>
      <c r="AC5337" s="60">
        <f t="shared" si="587"/>
        <v>0</v>
      </c>
    </row>
    <row r="5338" spans="1:29">
      <c r="A5338" s="83" t="str">
        <f t="shared" si="582"/>
        <v/>
      </c>
      <c r="B5338" s="83" t="str">
        <f t="shared" si="581"/>
        <v/>
      </c>
      <c r="U5338" s="83" t="str">
        <f t="shared" si="583"/>
        <v/>
      </c>
      <c r="V5338" s="83" t="str">
        <f t="shared" si="584"/>
        <v/>
      </c>
      <c r="AA5338" s="60">
        <f t="shared" si="585"/>
        <v>0</v>
      </c>
      <c r="AB5338" s="49">
        <f t="shared" si="586"/>
        <v>0</v>
      </c>
      <c r="AC5338" s="60">
        <f t="shared" si="587"/>
        <v>0</v>
      </c>
    </row>
    <row r="5339" spans="1:29">
      <c r="A5339" s="83" t="str">
        <f t="shared" si="582"/>
        <v/>
      </c>
      <c r="B5339" s="83" t="str">
        <f t="shared" si="581"/>
        <v/>
      </c>
      <c r="U5339" s="83" t="str">
        <f t="shared" si="583"/>
        <v/>
      </c>
      <c r="V5339" s="83" t="str">
        <f t="shared" si="584"/>
        <v/>
      </c>
      <c r="AA5339" s="60">
        <f t="shared" si="585"/>
        <v>0</v>
      </c>
      <c r="AB5339" s="49">
        <f t="shared" si="586"/>
        <v>0</v>
      </c>
      <c r="AC5339" s="60">
        <f t="shared" si="587"/>
        <v>0</v>
      </c>
    </row>
    <row r="5340" spans="1:29">
      <c r="A5340" s="83" t="str">
        <f t="shared" si="582"/>
        <v/>
      </c>
      <c r="B5340" s="83" t="str">
        <f t="shared" si="581"/>
        <v/>
      </c>
      <c r="U5340" s="83" t="str">
        <f t="shared" si="583"/>
        <v/>
      </c>
      <c r="V5340" s="83" t="str">
        <f t="shared" si="584"/>
        <v/>
      </c>
      <c r="AA5340" s="60">
        <f t="shared" si="585"/>
        <v>0</v>
      </c>
      <c r="AB5340" s="49">
        <f t="shared" si="586"/>
        <v>0</v>
      </c>
      <c r="AC5340" s="60">
        <f t="shared" si="587"/>
        <v>0</v>
      </c>
    </row>
    <row r="5341" spans="1:29">
      <c r="A5341" s="83" t="str">
        <f t="shared" si="582"/>
        <v/>
      </c>
      <c r="B5341" s="83" t="str">
        <f t="shared" si="581"/>
        <v/>
      </c>
      <c r="U5341" s="83" t="str">
        <f t="shared" si="583"/>
        <v/>
      </c>
      <c r="V5341" s="83" t="str">
        <f t="shared" si="584"/>
        <v/>
      </c>
      <c r="AA5341" s="60">
        <f t="shared" si="585"/>
        <v>0</v>
      </c>
      <c r="AB5341" s="49">
        <f t="shared" si="586"/>
        <v>0</v>
      </c>
      <c r="AC5341" s="60">
        <f t="shared" si="587"/>
        <v>0</v>
      </c>
    </row>
    <row r="5342" spans="1:29">
      <c r="A5342" s="83" t="str">
        <f t="shared" si="582"/>
        <v/>
      </c>
      <c r="B5342" s="83" t="str">
        <f t="shared" si="581"/>
        <v/>
      </c>
      <c r="U5342" s="83" t="str">
        <f t="shared" si="583"/>
        <v/>
      </c>
      <c r="V5342" s="83" t="str">
        <f t="shared" si="584"/>
        <v/>
      </c>
      <c r="AA5342" s="60">
        <f t="shared" si="585"/>
        <v>0</v>
      </c>
      <c r="AB5342" s="49">
        <f t="shared" si="586"/>
        <v>0</v>
      </c>
      <c r="AC5342" s="60">
        <f t="shared" si="587"/>
        <v>0</v>
      </c>
    </row>
    <row r="5343" spans="1:29">
      <c r="A5343" s="83" t="str">
        <f t="shared" si="582"/>
        <v/>
      </c>
      <c r="B5343" s="83" t="str">
        <f t="shared" si="581"/>
        <v/>
      </c>
      <c r="U5343" s="83" t="str">
        <f t="shared" si="583"/>
        <v/>
      </c>
      <c r="V5343" s="83" t="str">
        <f t="shared" si="584"/>
        <v/>
      </c>
      <c r="AA5343" s="60">
        <f t="shared" si="585"/>
        <v>0</v>
      </c>
      <c r="AB5343" s="49">
        <f t="shared" si="586"/>
        <v>0</v>
      </c>
      <c r="AC5343" s="60">
        <f t="shared" si="587"/>
        <v>0</v>
      </c>
    </row>
    <row r="5344" spans="1:29">
      <c r="A5344" s="83" t="str">
        <f t="shared" si="582"/>
        <v/>
      </c>
      <c r="B5344" s="83" t="str">
        <f t="shared" si="581"/>
        <v/>
      </c>
      <c r="U5344" s="83" t="str">
        <f t="shared" si="583"/>
        <v/>
      </c>
      <c r="V5344" s="83" t="str">
        <f t="shared" si="584"/>
        <v/>
      </c>
      <c r="AA5344" s="60">
        <f t="shared" si="585"/>
        <v>0</v>
      </c>
      <c r="AB5344" s="49">
        <f t="shared" si="586"/>
        <v>0</v>
      </c>
      <c r="AC5344" s="60">
        <f t="shared" si="587"/>
        <v>0</v>
      </c>
    </row>
    <row r="5345" spans="1:29">
      <c r="A5345" s="83" t="str">
        <f t="shared" si="582"/>
        <v/>
      </c>
      <c r="B5345" s="83" t="str">
        <f t="shared" ref="B5345:B5408" si="588">IF(C5345&lt;&gt;"",LEFT(C5345,9),"")</f>
        <v/>
      </c>
      <c r="U5345" s="83" t="str">
        <f t="shared" si="583"/>
        <v/>
      </c>
      <c r="V5345" s="83" t="str">
        <f t="shared" si="584"/>
        <v/>
      </c>
      <c r="AA5345" s="60">
        <f t="shared" si="585"/>
        <v>0</v>
      </c>
      <c r="AB5345" s="49">
        <f t="shared" si="586"/>
        <v>0</v>
      </c>
      <c r="AC5345" s="60">
        <f t="shared" si="587"/>
        <v>0</v>
      </c>
    </row>
    <row r="5346" spans="1:29">
      <c r="A5346" s="83" t="str">
        <f t="shared" si="582"/>
        <v/>
      </c>
      <c r="B5346" s="83" t="str">
        <f t="shared" si="588"/>
        <v/>
      </c>
      <c r="U5346" s="83" t="str">
        <f t="shared" si="583"/>
        <v/>
      </c>
      <c r="V5346" s="83" t="str">
        <f t="shared" si="584"/>
        <v/>
      </c>
      <c r="AA5346" s="60">
        <f t="shared" si="585"/>
        <v>0</v>
      </c>
      <c r="AB5346" s="49">
        <f t="shared" si="586"/>
        <v>0</v>
      </c>
      <c r="AC5346" s="60">
        <f t="shared" si="587"/>
        <v>0</v>
      </c>
    </row>
    <row r="5347" spans="1:29">
      <c r="A5347" s="83" t="str">
        <f t="shared" si="582"/>
        <v/>
      </c>
      <c r="B5347" s="83" t="str">
        <f t="shared" si="588"/>
        <v/>
      </c>
      <c r="U5347" s="83" t="str">
        <f t="shared" si="583"/>
        <v/>
      </c>
      <c r="V5347" s="83" t="str">
        <f t="shared" si="584"/>
        <v/>
      </c>
      <c r="AA5347" s="60">
        <f t="shared" si="585"/>
        <v>0</v>
      </c>
      <c r="AB5347" s="49">
        <f t="shared" si="586"/>
        <v>0</v>
      </c>
      <c r="AC5347" s="60">
        <f t="shared" si="587"/>
        <v>0</v>
      </c>
    </row>
    <row r="5348" spans="1:29">
      <c r="A5348" s="83" t="str">
        <f t="shared" si="582"/>
        <v/>
      </c>
      <c r="B5348" s="83" t="str">
        <f t="shared" si="588"/>
        <v/>
      </c>
      <c r="U5348" s="83" t="str">
        <f t="shared" si="583"/>
        <v/>
      </c>
      <c r="V5348" s="83" t="str">
        <f t="shared" si="584"/>
        <v/>
      </c>
      <c r="AA5348" s="60">
        <f t="shared" si="585"/>
        <v>0</v>
      </c>
      <c r="AB5348" s="49">
        <f t="shared" si="586"/>
        <v>0</v>
      </c>
      <c r="AC5348" s="60">
        <f t="shared" si="587"/>
        <v>0</v>
      </c>
    </row>
    <row r="5349" spans="1:29">
      <c r="A5349" s="83" t="str">
        <f t="shared" si="582"/>
        <v/>
      </c>
      <c r="B5349" s="83" t="str">
        <f t="shared" si="588"/>
        <v/>
      </c>
      <c r="U5349" s="83" t="str">
        <f t="shared" si="583"/>
        <v/>
      </c>
      <c r="V5349" s="83" t="str">
        <f t="shared" si="584"/>
        <v/>
      </c>
      <c r="AA5349" s="60">
        <f t="shared" si="585"/>
        <v>0</v>
      </c>
      <c r="AB5349" s="49">
        <f t="shared" si="586"/>
        <v>0</v>
      </c>
      <c r="AC5349" s="60">
        <f t="shared" si="587"/>
        <v>0</v>
      </c>
    </row>
    <row r="5350" spans="1:29">
      <c r="A5350" s="83" t="str">
        <f t="shared" si="582"/>
        <v/>
      </c>
      <c r="B5350" s="83" t="str">
        <f t="shared" si="588"/>
        <v/>
      </c>
      <c r="U5350" s="83" t="str">
        <f t="shared" si="583"/>
        <v/>
      </c>
      <c r="V5350" s="83" t="str">
        <f t="shared" si="584"/>
        <v/>
      </c>
      <c r="AA5350" s="60">
        <f t="shared" si="585"/>
        <v>0</v>
      </c>
      <c r="AB5350" s="49">
        <f t="shared" si="586"/>
        <v>0</v>
      </c>
      <c r="AC5350" s="60">
        <f t="shared" si="587"/>
        <v>0</v>
      </c>
    </row>
    <row r="5351" spans="1:29">
      <c r="A5351" s="83" t="str">
        <f t="shared" si="582"/>
        <v/>
      </c>
      <c r="B5351" s="83" t="str">
        <f t="shared" si="588"/>
        <v/>
      </c>
      <c r="U5351" s="83" t="str">
        <f t="shared" si="583"/>
        <v/>
      </c>
      <c r="V5351" s="83" t="str">
        <f t="shared" si="584"/>
        <v/>
      </c>
      <c r="AA5351" s="60">
        <f t="shared" si="585"/>
        <v>0</v>
      </c>
      <c r="AB5351" s="49">
        <f t="shared" si="586"/>
        <v>0</v>
      </c>
      <c r="AC5351" s="60">
        <f t="shared" si="587"/>
        <v>0</v>
      </c>
    </row>
    <row r="5352" spans="1:29">
      <c r="A5352" s="83" t="str">
        <f t="shared" si="582"/>
        <v/>
      </c>
      <c r="B5352" s="83" t="str">
        <f t="shared" si="588"/>
        <v/>
      </c>
      <c r="U5352" s="83" t="str">
        <f t="shared" si="583"/>
        <v/>
      </c>
      <c r="V5352" s="83" t="str">
        <f t="shared" si="584"/>
        <v/>
      </c>
      <c r="AA5352" s="60">
        <f t="shared" si="585"/>
        <v>0</v>
      </c>
      <c r="AB5352" s="49">
        <f t="shared" si="586"/>
        <v>0</v>
      </c>
      <c r="AC5352" s="60">
        <f t="shared" si="587"/>
        <v>0</v>
      </c>
    </row>
    <row r="5353" spans="1:29">
      <c r="A5353" s="83" t="str">
        <f t="shared" si="582"/>
        <v/>
      </c>
      <c r="B5353" s="83" t="str">
        <f t="shared" si="588"/>
        <v/>
      </c>
      <c r="U5353" s="83" t="str">
        <f t="shared" si="583"/>
        <v/>
      </c>
      <c r="V5353" s="83" t="str">
        <f t="shared" si="584"/>
        <v/>
      </c>
      <c r="AA5353" s="60">
        <f t="shared" si="585"/>
        <v>0</v>
      </c>
      <c r="AB5353" s="49">
        <f t="shared" si="586"/>
        <v>0</v>
      </c>
      <c r="AC5353" s="60">
        <f t="shared" si="587"/>
        <v>0</v>
      </c>
    </row>
    <row r="5354" spans="1:29">
      <c r="A5354" s="83" t="str">
        <f t="shared" si="582"/>
        <v/>
      </c>
      <c r="B5354" s="83" t="str">
        <f t="shared" si="588"/>
        <v/>
      </c>
      <c r="U5354" s="83" t="str">
        <f t="shared" si="583"/>
        <v/>
      </c>
      <c r="V5354" s="83" t="str">
        <f t="shared" si="584"/>
        <v/>
      </c>
      <c r="AA5354" s="60">
        <f t="shared" si="585"/>
        <v>0</v>
      </c>
      <c r="AB5354" s="49">
        <f t="shared" si="586"/>
        <v>0</v>
      </c>
      <c r="AC5354" s="60">
        <f t="shared" si="587"/>
        <v>0</v>
      </c>
    </row>
    <row r="5355" spans="1:29">
      <c r="A5355" s="83" t="str">
        <f t="shared" si="582"/>
        <v/>
      </c>
      <c r="B5355" s="83" t="str">
        <f t="shared" si="588"/>
        <v/>
      </c>
      <c r="U5355" s="83" t="str">
        <f t="shared" si="583"/>
        <v/>
      </c>
      <c r="V5355" s="83" t="str">
        <f t="shared" si="584"/>
        <v/>
      </c>
      <c r="AA5355" s="60">
        <f t="shared" si="585"/>
        <v>0</v>
      </c>
      <c r="AB5355" s="49">
        <f t="shared" si="586"/>
        <v>0</v>
      </c>
      <c r="AC5355" s="60">
        <f t="shared" si="587"/>
        <v>0</v>
      </c>
    </row>
    <row r="5356" spans="1:29">
      <c r="A5356" s="83" t="str">
        <f t="shared" si="582"/>
        <v/>
      </c>
      <c r="B5356" s="83" t="str">
        <f t="shared" si="588"/>
        <v/>
      </c>
      <c r="U5356" s="83" t="str">
        <f t="shared" si="583"/>
        <v/>
      </c>
      <c r="V5356" s="83" t="str">
        <f t="shared" si="584"/>
        <v/>
      </c>
      <c r="AA5356" s="60">
        <f t="shared" si="585"/>
        <v>0</v>
      </c>
      <c r="AB5356" s="49">
        <f t="shared" si="586"/>
        <v>0</v>
      </c>
      <c r="AC5356" s="60">
        <f t="shared" si="587"/>
        <v>0</v>
      </c>
    </row>
    <row r="5357" spans="1:29">
      <c r="A5357" s="83" t="str">
        <f t="shared" si="582"/>
        <v/>
      </c>
      <c r="B5357" s="83" t="str">
        <f t="shared" si="588"/>
        <v/>
      </c>
      <c r="U5357" s="83" t="str">
        <f t="shared" si="583"/>
        <v/>
      </c>
      <c r="V5357" s="83" t="str">
        <f t="shared" si="584"/>
        <v/>
      </c>
      <c r="AA5357" s="60">
        <f t="shared" si="585"/>
        <v>0</v>
      </c>
      <c r="AB5357" s="49">
        <f t="shared" si="586"/>
        <v>0</v>
      </c>
      <c r="AC5357" s="60">
        <f t="shared" si="587"/>
        <v>0</v>
      </c>
    </row>
    <row r="5358" spans="1:29">
      <c r="A5358" s="83" t="str">
        <f t="shared" si="582"/>
        <v/>
      </c>
      <c r="B5358" s="83" t="str">
        <f t="shared" si="588"/>
        <v/>
      </c>
      <c r="U5358" s="83" t="str">
        <f t="shared" si="583"/>
        <v/>
      </c>
      <c r="V5358" s="83" t="str">
        <f t="shared" si="584"/>
        <v/>
      </c>
      <c r="AA5358" s="60">
        <f t="shared" si="585"/>
        <v>0</v>
      </c>
      <c r="AB5358" s="49">
        <f t="shared" si="586"/>
        <v>0</v>
      </c>
      <c r="AC5358" s="60">
        <f t="shared" si="587"/>
        <v>0</v>
      </c>
    </row>
    <row r="5359" spans="1:29">
      <c r="A5359" s="83" t="str">
        <f t="shared" si="582"/>
        <v/>
      </c>
      <c r="B5359" s="83" t="str">
        <f t="shared" si="588"/>
        <v/>
      </c>
      <c r="U5359" s="83" t="str">
        <f t="shared" si="583"/>
        <v/>
      </c>
      <c r="V5359" s="83" t="str">
        <f t="shared" si="584"/>
        <v/>
      </c>
      <c r="AA5359" s="60">
        <f t="shared" si="585"/>
        <v>0</v>
      </c>
      <c r="AB5359" s="49">
        <f t="shared" si="586"/>
        <v>0</v>
      </c>
      <c r="AC5359" s="60">
        <f t="shared" si="587"/>
        <v>0</v>
      </c>
    </row>
    <row r="5360" spans="1:29">
      <c r="A5360" s="83" t="str">
        <f t="shared" si="582"/>
        <v/>
      </c>
      <c r="B5360" s="83" t="str">
        <f t="shared" si="588"/>
        <v/>
      </c>
      <c r="U5360" s="83" t="str">
        <f t="shared" si="583"/>
        <v/>
      </c>
      <c r="V5360" s="83" t="str">
        <f t="shared" si="584"/>
        <v/>
      </c>
      <c r="AA5360" s="60">
        <f t="shared" si="585"/>
        <v>0</v>
      </c>
      <c r="AB5360" s="49">
        <f t="shared" si="586"/>
        <v>0</v>
      </c>
      <c r="AC5360" s="60">
        <f t="shared" si="587"/>
        <v>0</v>
      </c>
    </row>
    <row r="5361" spans="1:29">
      <c r="A5361" s="83" t="str">
        <f t="shared" si="582"/>
        <v/>
      </c>
      <c r="B5361" s="83" t="str">
        <f t="shared" si="588"/>
        <v/>
      </c>
      <c r="U5361" s="83" t="str">
        <f t="shared" si="583"/>
        <v/>
      </c>
      <c r="V5361" s="83" t="str">
        <f t="shared" si="584"/>
        <v/>
      </c>
      <c r="AA5361" s="60">
        <f t="shared" si="585"/>
        <v>0</v>
      </c>
      <c r="AB5361" s="49">
        <f t="shared" si="586"/>
        <v>0</v>
      </c>
      <c r="AC5361" s="60">
        <f t="shared" si="587"/>
        <v>0</v>
      </c>
    </row>
    <row r="5362" spans="1:29">
      <c r="A5362" s="83" t="str">
        <f t="shared" si="582"/>
        <v/>
      </c>
      <c r="B5362" s="83" t="str">
        <f t="shared" si="588"/>
        <v/>
      </c>
      <c r="U5362" s="83" t="str">
        <f t="shared" si="583"/>
        <v/>
      </c>
      <c r="V5362" s="83" t="str">
        <f t="shared" si="584"/>
        <v/>
      </c>
      <c r="AA5362" s="60">
        <f t="shared" si="585"/>
        <v>0</v>
      </c>
      <c r="AB5362" s="49">
        <f t="shared" si="586"/>
        <v>0</v>
      </c>
      <c r="AC5362" s="60">
        <f t="shared" si="587"/>
        <v>0</v>
      </c>
    </row>
    <row r="5363" spans="1:29">
      <c r="A5363" s="83" t="str">
        <f t="shared" si="582"/>
        <v/>
      </c>
      <c r="B5363" s="83" t="str">
        <f t="shared" si="588"/>
        <v/>
      </c>
      <c r="U5363" s="83" t="str">
        <f t="shared" si="583"/>
        <v/>
      </c>
      <c r="V5363" s="83" t="str">
        <f t="shared" si="584"/>
        <v/>
      </c>
      <c r="AA5363" s="60">
        <f t="shared" si="585"/>
        <v>0</v>
      </c>
      <c r="AB5363" s="49">
        <f t="shared" si="586"/>
        <v>0</v>
      </c>
      <c r="AC5363" s="60">
        <f t="shared" si="587"/>
        <v>0</v>
      </c>
    </row>
    <row r="5364" spans="1:29">
      <c r="A5364" s="83" t="str">
        <f t="shared" si="582"/>
        <v/>
      </c>
      <c r="B5364" s="83" t="str">
        <f t="shared" si="588"/>
        <v/>
      </c>
      <c r="U5364" s="83" t="str">
        <f t="shared" si="583"/>
        <v/>
      </c>
      <c r="V5364" s="83" t="str">
        <f t="shared" si="584"/>
        <v/>
      </c>
      <c r="AA5364" s="60">
        <f t="shared" si="585"/>
        <v>0</v>
      </c>
      <c r="AB5364" s="49">
        <f t="shared" si="586"/>
        <v>0</v>
      </c>
      <c r="AC5364" s="60">
        <f t="shared" si="587"/>
        <v>0</v>
      </c>
    </row>
    <row r="5365" spans="1:29">
      <c r="A5365" s="83" t="str">
        <f t="shared" si="582"/>
        <v/>
      </c>
      <c r="B5365" s="83" t="str">
        <f t="shared" si="588"/>
        <v/>
      </c>
      <c r="U5365" s="83" t="str">
        <f t="shared" si="583"/>
        <v/>
      </c>
      <c r="V5365" s="83" t="str">
        <f t="shared" si="584"/>
        <v/>
      </c>
      <c r="AA5365" s="60">
        <f t="shared" si="585"/>
        <v>0</v>
      </c>
      <c r="AB5365" s="49">
        <f t="shared" si="586"/>
        <v>0</v>
      </c>
      <c r="AC5365" s="60">
        <f t="shared" si="587"/>
        <v>0</v>
      </c>
    </row>
    <row r="5366" spans="1:29">
      <c r="A5366" s="83" t="str">
        <f t="shared" si="582"/>
        <v/>
      </c>
      <c r="B5366" s="83" t="str">
        <f t="shared" si="588"/>
        <v/>
      </c>
      <c r="U5366" s="83" t="str">
        <f t="shared" si="583"/>
        <v/>
      </c>
      <c r="V5366" s="83" t="str">
        <f t="shared" si="584"/>
        <v/>
      </c>
      <c r="AA5366" s="60">
        <f t="shared" si="585"/>
        <v>0</v>
      </c>
      <c r="AB5366" s="49">
        <f t="shared" si="586"/>
        <v>0</v>
      </c>
      <c r="AC5366" s="60">
        <f t="shared" si="587"/>
        <v>0</v>
      </c>
    </row>
    <row r="5367" spans="1:29">
      <c r="A5367" s="83" t="str">
        <f t="shared" si="582"/>
        <v/>
      </c>
      <c r="B5367" s="83" t="str">
        <f t="shared" si="588"/>
        <v/>
      </c>
      <c r="U5367" s="83" t="str">
        <f t="shared" si="583"/>
        <v/>
      </c>
      <c r="V5367" s="83" t="str">
        <f t="shared" si="584"/>
        <v/>
      </c>
      <c r="AA5367" s="60">
        <f t="shared" si="585"/>
        <v>0</v>
      </c>
      <c r="AB5367" s="49">
        <f t="shared" si="586"/>
        <v>0</v>
      </c>
      <c r="AC5367" s="60">
        <f t="shared" si="587"/>
        <v>0</v>
      </c>
    </row>
    <row r="5368" spans="1:29">
      <c r="A5368" s="83" t="str">
        <f t="shared" si="582"/>
        <v/>
      </c>
      <c r="B5368" s="83" t="str">
        <f t="shared" si="588"/>
        <v/>
      </c>
      <c r="U5368" s="83" t="str">
        <f t="shared" si="583"/>
        <v/>
      </c>
      <c r="V5368" s="83" t="str">
        <f t="shared" si="584"/>
        <v/>
      </c>
      <c r="AA5368" s="60">
        <f t="shared" si="585"/>
        <v>0</v>
      </c>
      <c r="AB5368" s="49">
        <f t="shared" si="586"/>
        <v>0</v>
      </c>
      <c r="AC5368" s="60">
        <f t="shared" si="587"/>
        <v>0</v>
      </c>
    </row>
    <row r="5369" spans="1:29">
      <c r="A5369" s="83" t="str">
        <f t="shared" si="582"/>
        <v/>
      </c>
      <c r="B5369" s="83" t="str">
        <f t="shared" si="588"/>
        <v/>
      </c>
      <c r="U5369" s="83" t="str">
        <f t="shared" si="583"/>
        <v/>
      </c>
      <c r="V5369" s="83" t="str">
        <f t="shared" si="584"/>
        <v/>
      </c>
      <c r="AA5369" s="60">
        <f t="shared" si="585"/>
        <v>0</v>
      </c>
      <c r="AB5369" s="49">
        <f t="shared" si="586"/>
        <v>0</v>
      </c>
      <c r="AC5369" s="60">
        <f t="shared" si="587"/>
        <v>0</v>
      </c>
    </row>
    <row r="5370" spans="1:29">
      <c r="A5370" s="83" t="str">
        <f t="shared" si="582"/>
        <v/>
      </c>
      <c r="B5370" s="83" t="str">
        <f t="shared" si="588"/>
        <v/>
      </c>
      <c r="U5370" s="83" t="str">
        <f t="shared" si="583"/>
        <v/>
      </c>
      <c r="V5370" s="83" t="str">
        <f t="shared" si="584"/>
        <v/>
      </c>
      <c r="AA5370" s="60">
        <f t="shared" si="585"/>
        <v>0</v>
      </c>
      <c r="AB5370" s="49">
        <f t="shared" si="586"/>
        <v>0</v>
      </c>
      <c r="AC5370" s="60">
        <f t="shared" si="587"/>
        <v>0</v>
      </c>
    </row>
    <row r="5371" spans="1:29">
      <c r="A5371" s="83" t="str">
        <f t="shared" si="582"/>
        <v/>
      </c>
      <c r="B5371" s="83" t="str">
        <f t="shared" si="588"/>
        <v/>
      </c>
      <c r="U5371" s="83" t="str">
        <f t="shared" si="583"/>
        <v/>
      </c>
      <c r="V5371" s="83" t="str">
        <f t="shared" si="584"/>
        <v/>
      </c>
      <c r="AA5371" s="60">
        <f t="shared" si="585"/>
        <v>0</v>
      </c>
      <c r="AB5371" s="49">
        <f t="shared" si="586"/>
        <v>0</v>
      </c>
      <c r="AC5371" s="60">
        <f t="shared" si="587"/>
        <v>0</v>
      </c>
    </row>
    <row r="5372" spans="1:29">
      <c r="A5372" s="83" t="str">
        <f t="shared" si="582"/>
        <v/>
      </c>
      <c r="B5372" s="83" t="str">
        <f t="shared" si="588"/>
        <v/>
      </c>
      <c r="U5372" s="83" t="str">
        <f t="shared" si="583"/>
        <v/>
      </c>
      <c r="V5372" s="83" t="str">
        <f t="shared" si="584"/>
        <v/>
      </c>
      <c r="AA5372" s="60">
        <f t="shared" si="585"/>
        <v>0</v>
      </c>
      <c r="AB5372" s="49">
        <f t="shared" si="586"/>
        <v>0</v>
      </c>
      <c r="AC5372" s="60">
        <f t="shared" si="587"/>
        <v>0</v>
      </c>
    </row>
    <row r="5373" spans="1:29">
      <c r="A5373" s="83" t="str">
        <f t="shared" si="582"/>
        <v/>
      </c>
      <c r="B5373" s="83" t="str">
        <f t="shared" si="588"/>
        <v/>
      </c>
      <c r="U5373" s="83" t="str">
        <f t="shared" si="583"/>
        <v/>
      </c>
      <c r="V5373" s="83" t="str">
        <f t="shared" si="584"/>
        <v/>
      </c>
      <c r="AA5373" s="60">
        <f t="shared" si="585"/>
        <v>0</v>
      </c>
      <c r="AB5373" s="49">
        <f t="shared" si="586"/>
        <v>0</v>
      </c>
      <c r="AC5373" s="60">
        <f t="shared" si="587"/>
        <v>0</v>
      </c>
    </row>
    <row r="5374" spans="1:29">
      <c r="A5374" s="83" t="str">
        <f t="shared" si="582"/>
        <v/>
      </c>
      <c r="B5374" s="83" t="str">
        <f t="shared" si="588"/>
        <v/>
      </c>
      <c r="U5374" s="83" t="str">
        <f t="shared" si="583"/>
        <v/>
      </c>
      <c r="V5374" s="83" t="str">
        <f t="shared" si="584"/>
        <v/>
      </c>
      <c r="AA5374" s="60">
        <f t="shared" si="585"/>
        <v>0</v>
      </c>
      <c r="AB5374" s="49">
        <f t="shared" si="586"/>
        <v>0</v>
      </c>
      <c r="AC5374" s="60">
        <f t="shared" si="587"/>
        <v>0</v>
      </c>
    </row>
    <row r="5375" spans="1:29">
      <c r="A5375" s="83" t="str">
        <f t="shared" si="582"/>
        <v/>
      </c>
      <c r="B5375" s="83" t="str">
        <f t="shared" si="588"/>
        <v/>
      </c>
      <c r="U5375" s="83" t="str">
        <f t="shared" si="583"/>
        <v/>
      </c>
      <c r="V5375" s="83" t="str">
        <f t="shared" si="584"/>
        <v/>
      </c>
      <c r="AA5375" s="60">
        <f t="shared" si="585"/>
        <v>0</v>
      </c>
      <c r="AB5375" s="49">
        <f t="shared" si="586"/>
        <v>0</v>
      </c>
      <c r="AC5375" s="60">
        <f t="shared" si="587"/>
        <v>0</v>
      </c>
    </row>
    <row r="5376" spans="1:29">
      <c r="A5376" s="83" t="str">
        <f t="shared" si="582"/>
        <v/>
      </c>
      <c r="B5376" s="83" t="str">
        <f t="shared" si="588"/>
        <v/>
      </c>
      <c r="U5376" s="83" t="str">
        <f t="shared" si="583"/>
        <v/>
      </c>
      <c r="V5376" s="83" t="str">
        <f t="shared" si="584"/>
        <v/>
      </c>
      <c r="AA5376" s="60">
        <f t="shared" si="585"/>
        <v>0</v>
      </c>
      <c r="AB5376" s="49">
        <f t="shared" si="586"/>
        <v>0</v>
      </c>
      <c r="AC5376" s="60">
        <f t="shared" si="587"/>
        <v>0</v>
      </c>
    </row>
    <row r="5377" spans="1:29">
      <c r="A5377" s="83" t="str">
        <f t="shared" si="582"/>
        <v/>
      </c>
      <c r="B5377" s="83" t="str">
        <f t="shared" si="588"/>
        <v/>
      </c>
      <c r="U5377" s="83" t="str">
        <f t="shared" si="583"/>
        <v/>
      </c>
      <c r="V5377" s="83" t="str">
        <f t="shared" si="584"/>
        <v/>
      </c>
      <c r="AA5377" s="60">
        <f t="shared" si="585"/>
        <v>0</v>
      </c>
      <c r="AB5377" s="49">
        <f t="shared" si="586"/>
        <v>0</v>
      </c>
      <c r="AC5377" s="60">
        <f t="shared" si="587"/>
        <v>0</v>
      </c>
    </row>
    <row r="5378" spans="1:29">
      <c r="A5378" s="83" t="str">
        <f t="shared" si="582"/>
        <v/>
      </c>
      <c r="B5378" s="83" t="str">
        <f t="shared" si="588"/>
        <v/>
      </c>
      <c r="U5378" s="83" t="str">
        <f t="shared" si="583"/>
        <v/>
      </c>
      <c r="V5378" s="83" t="str">
        <f t="shared" si="584"/>
        <v/>
      </c>
      <c r="AA5378" s="60">
        <f t="shared" si="585"/>
        <v>0</v>
      </c>
      <c r="AB5378" s="49">
        <f t="shared" si="586"/>
        <v>0</v>
      </c>
      <c r="AC5378" s="60">
        <f t="shared" si="587"/>
        <v>0</v>
      </c>
    </row>
    <row r="5379" spans="1:29">
      <c r="A5379" s="83" t="str">
        <f t="shared" ref="A5379:A5442" si="589">IF(G5379&amp;Q5379&lt;&gt;"",U5379&amp;Q5379,"")</f>
        <v/>
      </c>
      <c r="B5379" s="83" t="str">
        <f t="shared" si="588"/>
        <v/>
      </c>
      <c r="U5379" s="83" t="str">
        <f t="shared" ref="U5379:U5442" si="590">IF(G5379&lt;&gt;"",IF(StyleSpaceSplit,IFERROR(IF(FIND(" ",G5379)&gt;=1,MID(G5379,1,FIND(" ",G5379)-1),G5379),G5379),G5379),"")</f>
        <v/>
      </c>
      <c r="V5379" s="83" t="str">
        <f t="shared" ref="V5379:V5442" si="591">IF(A5379&lt;&gt;"",IFERROR(IF(FIND(" ",G5379)&gt;=1,MID(G5379,FIND(" ",G5379)+1,LEN(G5379)),""),G5379),"")</f>
        <v/>
      </c>
      <c r="AA5379" s="60">
        <f t="shared" ref="AA5379:AA5442" si="592">IFERROR(VALUE(MID($C5379,1,2)),0)</f>
        <v>0</v>
      </c>
      <c r="AB5379" s="49">
        <f t="shared" ref="AB5379:AB5442" si="593">IFERROR(VALUE(MID($C5379,4,3)),0)</f>
        <v>0</v>
      </c>
      <c r="AC5379" s="60">
        <f t="shared" ref="AC5379:AC5442" si="594">VALUE(RIGHT("00"&amp;AA5379,2)&amp;RIGHT("000"&amp;AB5379,3))</f>
        <v>0</v>
      </c>
    </row>
    <row r="5380" spans="1:29">
      <c r="A5380" s="83" t="str">
        <f t="shared" si="589"/>
        <v/>
      </c>
      <c r="B5380" s="83" t="str">
        <f t="shared" si="588"/>
        <v/>
      </c>
      <c r="U5380" s="83" t="str">
        <f t="shared" si="590"/>
        <v/>
      </c>
      <c r="V5380" s="83" t="str">
        <f t="shared" si="591"/>
        <v/>
      </c>
      <c r="AA5380" s="60">
        <f t="shared" si="592"/>
        <v>0</v>
      </c>
      <c r="AB5380" s="49">
        <f t="shared" si="593"/>
        <v>0</v>
      </c>
      <c r="AC5380" s="60">
        <f t="shared" si="594"/>
        <v>0</v>
      </c>
    </row>
    <row r="5381" spans="1:29">
      <c r="A5381" s="83" t="str">
        <f t="shared" si="589"/>
        <v/>
      </c>
      <c r="B5381" s="83" t="str">
        <f t="shared" si="588"/>
        <v/>
      </c>
      <c r="U5381" s="83" t="str">
        <f t="shared" si="590"/>
        <v/>
      </c>
      <c r="V5381" s="83" t="str">
        <f t="shared" si="591"/>
        <v/>
      </c>
      <c r="AA5381" s="60">
        <f t="shared" si="592"/>
        <v>0</v>
      </c>
      <c r="AB5381" s="49">
        <f t="shared" si="593"/>
        <v>0</v>
      </c>
      <c r="AC5381" s="60">
        <f t="shared" si="594"/>
        <v>0</v>
      </c>
    </row>
    <row r="5382" spans="1:29">
      <c r="A5382" s="83" t="str">
        <f t="shared" si="589"/>
        <v/>
      </c>
      <c r="B5382" s="83" t="str">
        <f t="shared" si="588"/>
        <v/>
      </c>
      <c r="U5382" s="83" t="str">
        <f t="shared" si="590"/>
        <v/>
      </c>
      <c r="V5382" s="83" t="str">
        <f t="shared" si="591"/>
        <v/>
      </c>
      <c r="AA5382" s="60">
        <f t="shared" si="592"/>
        <v>0</v>
      </c>
      <c r="AB5382" s="49">
        <f t="shared" si="593"/>
        <v>0</v>
      </c>
      <c r="AC5382" s="60">
        <f t="shared" si="594"/>
        <v>0</v>
      </c>
    </row>
    <row r="5383" spans="1:29">
      <c r="A5383" s="83" t="str">
        <f t="shared" si="589"/>
        <v/>
      </c>
      <c r="B5383" s="83" t="str">
        <f t="shared" si="588"/>
        <v/>
      </c>
      <c r="U5383" s="83" t="str">
        <f t="shared" si="590"/>
        <v/>
      </c>
      <c r="V5383" s="83" t="str">
        <f t="shared" si="591"/>
        <v/>
      </c>
      <c r="AA5383" s="60">
        <f t="shared" si="592"/>
        <v>0</v>
      </c>
      <c r="AB5383" s="49">
        <f t="shared" si="593"/>
        <v>0</v>
      </c>
      <c r="AC5383" s="60">
        <f t="shared" si="594"/>
        <v>0</v>
      </c>
    </row>
    <row r="5384" spans="1:29">
      <c r="A5384" s="83" t="str">
        <f t="shared" si="589"/>
        <v/>
      </c>
      <c r="B5384" s="83" t="str">
        <f t="shared" si="588"/>
        <v/>
      </c>
      <c r="U5384" s="83" t="str">
        <f t="shared" si="590"/>
        <v/>
      </c>
      <c r="V5384" s="83" t="str">
        <f t="shared" si="591"/>
        <v/>
      </c>
      <c r="AA5384" s="60">
        <f t="shared" si="592"/>
        <v>0</v>
      </c>
      <c r="AB5384" s="49">
        <f t="shared" si="593"/>
        <v>0</v>
      </c>
      <c r="AC5384" s="60">
        <f t="shared" si="594"/>
        <v>0</v>
      </c>
    </row>
    <row r="5385" spans="1:29">
      <c r="A5385" s="83" t="str">
        <f t="shared" si="589"/>
        <v/>
      </c>
      <c r="B5385" s="83" t="str">
        <f t="shared" si="588"/>
        <v/>
      </c>
      <c r="U5385" s="83" t="str">
        <f t="shared" si="590"/>
        <v/>
      </c>
      <c r="V5385" s="83" t="str">
        <f t="shared" si="591"/>
        <v/>
      </c>
      <c r="AA5385" s="60">
        <f t="shared" si="592"/>
        <v>0</v>
      </c>
      <c r="AB5385" s="49">
        <f t="shared" si="593"/>
        <v>0</v>
      </c>
      <c r="AC5385" s="60">
        <f t="shared" si="594"/>
        <v>0</v>
      </c>
    </row>
    <row r="5386" spans="1:29">
      <c r="A5386" s="83" t="str">
        <f t="shared" si="589"/>
        <v/>
      </c>
      <c r="B5386" s="83" t="str">
        <f t="shared" si="588"/>
        <v/>
      </c>
      <c r="U5386" s="83" t="str">
        <f t="shared" si="590"/>
        <v/>
      </c>
      <c r="V5386" s="83" t="str">
        <f t="shared" si="591"/>
        <v/>
      </c>
      <c r="AA5386" s="60">
        <f t="shared" si="592"/>
        <v>0</v>
      </c>
      <c r="AB5386" s="49">
        <f t="shared" si="593"/>
        <v>0</v>
      </c>
      <c r="AC5386" s="60">
        <f t="shared" si="594"/>
        <v>0</v>
      </c>
    </row>
    <row r="5387" spans="1:29">
      <c r="A5387" s="83" t="str">
        <f t="shared" si="589"/>
        <v/>
      </c>
      <c r="B5387" s="83" t="str">
        <f t="shared" si="588"/>
        <v/>
      </c>
      <c r="U5387" s="83" t="str">
        <f t="shared" si="590"/>
        <v/>
      </c>
      <c r="V5387" s="83" t="str">
        <f t="shared" si="591"/>
        <v/>
      </c>
      <c r="AA5387" s="60">
        <f t="shared" si="592"/>
        <v>0</v>
      </c>
      <c r="AB5387" s="49">
        <f t="shared" si="593"/>
        <v>0</v>
      </c>
      <c r="AC5387" s="60">
        <f t="shared" si="594"/>
        <v>0</v>
      </c>
    </row>
    <row r="5388" spans="1:29">
      <c r="A5388" s="83" t="str">
        <f t="shared" si="589"/>
        <v/>
      </c>
      <c r="B5388" s="83" t="str">
        <f t="shared" si="588"/>
        <v/>
      </c>
      <c r="U5388" s="83" t="str">
        <f t="shared" si="590"/>
        <v/>
      </c>
      <c r="V5388" s="83" t="str">
        <f t="shared" si="591"/>
        <v/>
      </c>
      <c r="AA5388" s="60">
        <f t="shared" si="592"/>
        <v>0</v>
      </c>
      <c r="AB5388" s="49">
        <f t="shared" si="593"/>
        <v>0</v>
      </c>
      <c r="AC5388" s="60">
        <f t="shared" si="594"/>
        <v>0</v>
      </c>
    </row>
    <row r="5389" spans="1:29">
      <c r="A5389" s="83" t="str">
        <f t="shared" si="589"/>
        <v/>
      </c>
      <c r="B5389" s="83" t="str">
        <f t="shared" si="588"/>
        <v/>
      </c>
      <c r="U5389" s="83" t="str">
        <f t="shared" si="590"/>
        <v/>
      </c>
      <c r="V5389" s="83" t="str">
        <f t="shared" si="591"/>
        <v/>
      </c>
      <c r="AA5389" s="60">
        <f t="shared" si="592"/>
        <v>0</v>
      </c>
      <c r="AB5389" s="49">
        <f t="shared" si="593"/>
        <v>0</v>
      </c>
      <c r="AC5389" s="60">
        <f t="shared" si="594"/>
        <v>0</v>
      </c>
    </row>
    <row r="5390" spans="1:29">
      <c r="A5390" s="83" t="str">
        <f t="shared" si="589"/>
        <v/>
      </c>
      <c r="B5390" s="83" t="str">
        <f t="shared" si="588"/>
        <v/>
      </c>
      <c r="U5390" s="83" t="str">
        <f t="shared" si="590"/>
        <v/>
      </c>
      <c r="V5390" s="83" t="str">
        <f t="shared" si="591"/>
        <v/>
      </c>
      <c r="AA5390" s="60">
        <f t="shared" si="592"/>
        <v>0</v>
      </c>
      <c r="AB5390" s="49">
        <f t="shared" si="593"/>
        <v>0</v>
      </c>
      <c r="AC5390" s="60">
        <f t="shared" si="594"/>
        <v>0</v>
      </c>
    </row>
    <row r="5391" spans="1:29">
      <c r="A5391" s="83" t="str">
        <f t="shared" si="589"/>
        <v/>
      </c>
      <c r="B5391" s="83" t="str">
        <f t="shared" si="588"/>
        <v/>
      </c>
      <c r="U5391" s="83" t="str">
        <f t="shared" si="590"/>
        <v/>
      </c>
      <c r="V5391" s="83" t="str">
        <f t="shared" si="591"/>
        <v/>
      </c>
      <c r="AA5391" s="60">
        <f t="shared" si="592"/>
        <v>0</v>
      </c>
      <c r="AB5391" s="49">
        <f t="shared" si="593"/>
        <v>0</v>
      </c>
      <c r="AC5391" s="60">
        <f t="shared" si="594"/>
        <v>0</v>
      </c>
    </row>
    <row r="5392" spans="1:29">
      <c r="A5392" s="83" t="str">
        <f t="shared" si="589"/>
        <v/>
      </c>
      <c r="B5392" s="83" t="str">
        <f t="shared" si="588"/>
        <v/>
      </c>
      <c r="U5392" s="83" t="str">
        <f t="shared" si="590"/>
        <v/>
      </c>
      <c r="V5392" s="83" t="str">
        <f t="shared" si="591"/>
        <v/>
      </c>
      <c r="AA5392" s="60">
        <f t="shared" si="592"/>
        <v>0</v>
      </c>
      <c r="AB5392" s="49">
        <f t="shared" si="593"/>
        <v>0</v>
      </c>
      <c r="AC5392" s="60">
        <f t="shared" si="594"/>
        <v>0</v>
      </c>
    </row>
    <row r="5393" spans="1:29">
      <c r="A5393" s="83" t="str">
        <f t="shared" si="589"/>
        <v/>
      </c>
      <c r="B5393" s="83" t="str">
        <f t="shared" si="588"/>
        <v/>
      </c>
      <c r="U5393" s="83" t="str">
        <f t="shared" si="590"/>
        <v/>
      </c>
      <c r="V5393" s="83" t="str">
        <f t="shared" si="591"/>
        <v/>
      </c>
      <c r="AA5393" s="60">
        <f t="shared" si="592"/>
        <v>0</v>
      </c>
      <c r="AB5393" s="49">
        <f t="shared" si="593"/>
        <v>0</v>
      </c>
      <c r="AC5393" s="60">
        <f t="shared" si="594"/>
        <v>0</v>
      </c>
    </row>
    <row r="5394" spans="1:29">
      <c r="A5394" s="83" t="str">
        <f t="shared" si="589"/>
        <v/>
      </c>
      <c r="B5394" s="83" t="str">
        <f t="shared" si="588"/>
        <v/>
      </c>
      <c r="U5394" s="83" t="str">
        <f t="shared" si="590"/>
        <v/>
      </c>
      <c r="V5394" s="83" t="str">
        <f t="shared" si="591"/>
        <v/>
      </c>
      <c r="AA5394" s="60">
        <f t="shared" si="592"/>
        <v>0</v>
      </c>
      <c r="AB5394" s="49">
        <f t="shared" si="593"/>
        <v>0</v>
      </c>
      <c r="AC5394" s="60">
        <f t="shared" si="594"/>
        <v>0</v>
      </c>
    </row>
    <row r="5395" spans="1:29">
      <c r="A5395" s="83" t="str">
        <f t="shared" si="589"/>
        <v/>
      </c>
      <c r="B5395" s="83" t="str">
        <f t="shared" si="588"/>
        <v/>
      </c>
      <c r="U5395" s="83" t="str">
        <f t="shared" si="590"/>
        <v/>
      </c>
      <c r="V5395" s="83" t="str">
        <f t="shared" si="591"/>
        <v/>
      </c>
      <c r="AA5395" s="60">
        <f t="shared" si="592"/>
        <v>0</v>
      </c>
      <c r="AB5395" s="49">
        <f t="shared" si="593"/>
        <v>0</v>
      </c>
      <c r="AC5395" s="60">
        <f t="shared" si="594"/>
        <v>0</v>
      </c>
    </row>
    <row r="5396" spans="1:29">
      <c r="A5396" s="83" t="str">
        <f t="shared" si="589"/>
        <v/>
      </c>
      <c r="B5396" s="83" t="str">
        <f t="shared" si="588"/>
        <v/>
      </c>
      <c r="U5396" s="83" t="str">
        <f t="shared" si="590"/>
        <v/>
      </c>
      <c r="V5396" s="83" t="str">
        <f t="shared" si="591"/>
        <v/>
      </c>
      <c r="AA5396" s="60">
        <f t="shared" si="592"/>
        <v>0</v>
      </c>
      <c r="AB5396" s="49">
        <f t="shared" si="593"/>
        <v>0</v>
      </c>
      <c r="AC5396" s="60">
        <f t="shared" si="594"/>
        <v>0</v>
      </c>
    </row>
    <row r="5397" spans="1:29">
      <c r="A5397" s="83" t="str">
        <f t="shared" si="589"/>
        <v/>
      </c>
      <c r="B5397" s="83" t="str">
        <f t="shared" si="588"/>
        <v/>
      </c>
      <c r="U5397" s="83" t="str">
        <f t="shared" si="590"/>
        <v/>
      </c>
      <c r="V5397" s="83" t="str">
        <f t="shared" si="591"/>
        <v/>
      </c>
      <c r="AA5397" s="60">
        <f t="shared" si="592"/>
        <v>0</v>
      </c>
      <c r="AB5397" s="49">
        <f t="shared" si="593"/>
        <v>0</v>
      </c>
      <c r="AC5397" s="60">
        <f t="shared" si="594"/>
        <v>0</v>
      </c>
    </row>
    <row r="5398" spans="1:29">
      <c r="A5398" s="83" t="str">
        <f t="shared" si="589"/>
        <v/>
      </c>
      <c r="B5398" s="83" t="str">
        <f t="shared" si="588"/>
        <v/>
      </c>
      <c r="U5398" s="83" t="str">
        <f t="shared" si="590"/>
        <v/>
      </c>
      <c r="V5398" s="83" t="str">
        <f t="shared" si="591"/>
        <v/>
      </c>
      <c r="AA5398" s="60">
        <f t="shared" si="592"/>
        <v>0</v>
      </c>
      <c r="AB5398" s="49">
        <f t="shared" si="593"/>
        <v>0</v>
      </c>
      <c r="AC5398" s="60">
        <f t="shared" si="594"/>
        <v>0</v>
      </c>
    </row>
    <row r="5399" spans="1:29">
      <c r="A5399" s="83" t="str">
        <f t="shared" si="589"/>
        <v/>
      </c>
      <c r="B5399" s="83" t="str">
        <f t="shared" si="588"/>
        <v/>
      </c>
      <c r="U5399" s="83" t="str">
        <f t="shared" si="590"/>
        <v/>
      </c>
      <c r="V5399" s="83" t="str">
        <f t="shared" si="591"/>
        <v/>
      </c>
      <c r="AA5399" s="60">
        <f t="shared" si="592"/>
        <v>0</v>
      </c>
      <c r="AB5399" s="49">
        <f t="shared" si="593"/>
        <v>0</v>
      </c>
      <c r="AC5399" s="60">
        <f t="shared" si="594"/>
        <v>0</v>
      </c>
    </row>
    <row r="5400" spans="1:29">
      <c r="A5400" s="83" t="str">
        <f t="shared" si="589"/>
        <v/>
      </c>
      <c r="B5400" s="83" t="str">
        <f t="shared" si="588"/>
        <v/>
      </c>
      <c r="U5400" s="83" t="str">
        <f t="shared" si="590"/>
        <v/>
      </c>
      <c r="V5400" s="83" t="str">
        <f t="shared" si="591"/>
        <v/>
      </c>
      <c r="AA5400" s="60">
        <f t="shared" si="592"/>
        <v>0</v>
      </c>
      <c r="AB5400" s="49">
        <f t="shared" si="593"/>
        <v>0</v>
      </c>
      <c r="AC5400" s="60">
        <f t="shared" si="594"/>
        <v>0</v>
      </c>
    </row>
    <row r="5401" spans="1:29">
      <c r="A5401" s="83" t="str">
        <f t="shared" si="589"/>
        <v/>
      </c>
      <c r="B5401" s="83" t="str">
        <f t="shared" si="588"/>
        <v/>
      </c>
      <c r="U5401" s="83" t="str">
        <f t="shared" si="590"/>
        <v/>
      </c>
      <c r="V5401" s="83" t="str">
        <f t="shared" si="591"/>
        <v/>
      </c>
      <c r="AA5401" s="60">
        <f t="shared" si="592"/>
        <v>0</v>
      </c>
      <c r="AB5401" s="49">
        <f t="shared" si="593"/>
        <v>0</v>
      </c>
      <c r="AC5401" s="60">
        <f t="shared" si="594"/>
        <v>0</v>
      </c>
    </row>
    <row r="5402" spans="1:29">
      <c r="A5402" s="83" t="str">
        <f t="shared" si="589"/>
        <v/>
      </c>
      <c r="B5402" s="83" t="str">
        <f t="shared" si="588"/>
        <v/>
      </c>
      <c r="U5402" s="83" t="str">
        <f t="shared" si="590"/>
        <v/>
      </c>
      <c r="V5402" s="83" t="str">
        <f t="shared" si="591"/>
        <v/>
      </c>
      <c r="AA5402" s="60">
        <f t="shared" si="592"/>
        <v>0</v>
      </c>
      <c r="AB5402" s="49">
        <f t="shared" si="593"/>
        <v>0</v>
      </c>
      <c r="AC5402" s="60">
        <f t="shared" si="594"/>
        <v>0</v>
      </c>
    </row>
    <row r="5403" spans="1:29">
      <c r="A5403" s="83" t="str">
        <f t="shared" si="589"/>
        <v/>
      </c>
      <c r="B5403" s="83" t="str">
        <f t="shared" si="588"/>
        <v/>
      </c>
      <c r="U5403" s="83" t="str">
        <f t="shared" si="590"/>
        <v/>
      </c>
      <c r="V5403" s="83" t="str">
        <f t="shared" si="591"/>
        <v/>
      </c>
      <c r="AA5403" s="60">
        <f t="shared" si="592"/>
        <v>0</v>
      </c>
      <c r="AB5403" s="49">
        <f t="shared" si="593"/>
        <v>0</v>
      </c>
      <c r="AC5403" s="60">
        <f t="shared" si="594"/>
        <v>0</v>
      </c>
    </row>
    <row r="5404" spans="1:29">
      <c r="A5404" s="83" t="str">
        <f t="shared" si="589"/>
        <v/>
      </c>
      <c r="B5404" s="83" t="str">
        <f t="shared" si="588"/>
        <v/>
      </c>
      <c r="U5404" s="83" t="str">
        <f t="shared" si="590"/>
        <v/>
      </c>
      <c r="V5404" s="83" t="str">
        <f t="shared" si="591"/>
        <v/>
      </c>
      <c r="AA5404" s="60">
        <f t="shared" si="592"/>
        <v>0</v>
      </c>
      <c r="AB5404" s="49">
        <f t="shared" si="593"/>
        <v>0</v>
      </c>
      <c r="AC5404" s="60">
        <f t="shared" si="594"/>
        <v>0</v>
      </c>
    </row>
    <row r="5405" spans="1:29">
      <c r="A5405" s="83" t="str">
        <f t="shared" si="589"/>
        <v/>
      </c>
      <c r="B5405" s="83" t="str">
        <f t="shared" si="588"/>
        <v/>
      </c>
      <c r="U5405" s="83" t="str">
        <f t="shared" si="590"/>
        <v/>
      </c>
      <c r="V5405" s="83" t="str">
        <f t="shared" si="591"/>
        <v/>
      </c>
      <c r="AA5405" s="60">
        <f t="shared" si="592"/>
        <v>0</v>
      </c>
      <c r="AB5405" s="49">
        <f t="shared" si="593"/>
        <v>0</v>
      </c>
      <c r="AC5405" s="60">
        <f t="shared" si="594"/>
        <v>0</v>
      </c>
    </row>
    <row r="5406" spans="1:29">
      <c r="A5406" s="83" t="str">
        <f t="shared" si="589"/>
        <v/>
      </c>
      <c r="B5406" s="83" t="str">
        <f t="shared" si="588"/>
        <v/>
      </c>
      <c r="U5406" s="83" t="str">
        <f t="shared" si="590"/>
        <v/>
      </c>
      <c r="V5406" s="83" t="str">
        <f t="shared" si="591"/>
        <v/>
      </c>
      <c r="AA5406" s="60">
        <f t="shared" si="592"/>
        <v>0</v>
      </c>
      <c r="AB5406" s="49">
        <f t="shared" si="593"/>
        <v>0</v>
      </c>
      <c r="AC5406" s="60">
        <f t="shared" si="594"/>
        <v>0</v>
      </c>
    </row>
    <row r="5407" spans="1:29">
      <c r="A5407" s="83" t="str">
        <f t="shared" si="589"/>
        <v/>
      </c>
      <c r="B5407" s="83" t="str">
        <f t="shared" si="588"/>
        <v/>
      </c>
      <c r="U5407" s="83" t="str">
        <f t="shared" si="590"/>
        <v/>
      </c>
      <c r="V5407" s="83" t="str">
        <f t="shared" si="591"/>
        <v/>
      </c>
      <c r="AA5407" s="60">
        <f t="shared" si="592"/>
        <v>0</v>
      </c>
      <c r="AB5407" s="49">
        <f t="shared" si="593"/>
        <v>0</v>
      </c>
      <c r="AC5407" s="60">
        <f t="shared" si="594"/>
        <v>0</v>
      </c>
    </row>
    <row r="5408" spans="1:29">
      <c r="A5408" s="83" t="str">
        <f t="shared" si="589"/>
        <v/>
      </c>
      <c r="B5408" s="83" t="str">
        <f t="shared" si="588"/>
        <v/>
      </c>
      <c r="U5408" s="83" t="str">
        <f t="shared" si="590"/>
        <v/>
      </c>
      <c r="V5408" s="83" t="str">
        <f t="shared" si="591"/>
        <v/>
      </c>
      <c r="AA5408" s="60">
        <f t="shared" si="592"/>
        <v>0</v>
      </c>
      <c r="AB5408" s="49">
        <f t="shared" si="593"/>
        <v>0</v>
      </c>
      <c r="AC5408" s="60">
        <f t="shared" si="594"/>
        <v>0</v>
      </c>
    </row>
    <row r="5409" spans="1:29">
      <c r="A5409" s="83" t="str">
        <f t="shared" si="589"/>
        <v/>
      </c>
      <c r="B5409" s="83" t="str">
        <f t="shared" ref="B5409:B5472" si="595">IF(C5409&lt;&gt;"",LEFT(C5409,9),"")</f>
        <v/>
      </c>
      <c r="U5409" s="83" t="str">
        <f t="shared" si="590"/>
        <v/>
      </c>
      <c r="V5409" s="83" t="str">
        <f t="shared" si="591"/>
        <v/>
      </c>
      <c r="AA5409" s="60">
        <f t="shared" si="592"/>
        <v>0</v>
      </c>
      <c r="AB5409" s="49">
        <f t="shared" si="593"/>
        <v>0</v>
      </c>
      <c r="AC5409" s="60">
        <f t="shared" si="594"/>
        <v>0</v>
      </c>
    </row>
    <row r="5410" spans="1:29">
      <c r="A5410" s="83" t="str">
        <f t="shared" si="589"/>
        <v/>
      </c>
      <c r="B5410" s="83" t="str">
        <f t="shared" si="595"/>
        <v/>
      </c>
      <c r="U5410" s="83" t="str">
        <f t="shared" si="590"/>
        <v/>
      </c>
      <c r="V5410" s="83" t="str">
        <f t="shared" si="591"/>
        <v/>
      </c>
      <c r="AA5410" s="60">
        <f t="shared" si="592"/>
        <v>0</v>
      </c>
      <c r="AB5410" s="49">
        <f t="shared" si="593"/>
        <v>0</v>
      </c>
      <c r="AC5410" s="60">
        <f t="shared" si="594"/>
        <v>0</v>
      </c>
    </row>
    <row r="5411" spans="1:29">
      <c r="A5411" s="83" t="str">
        <f t="shared" si="589"/>
        <v/>
      </c>
      <c r="B5411" s="83" t="str">
        <f t="shared" si="595"/>
        <v/>
      </c>
      <c r="U5411" s="83" t="str">
        <f t="shared" si="590"/>
        <v/>
      </c>
      <c r="V5411" s="83" t="str">
        <f t="shared" si="591"/>
        <v/>
      </c>
      <c r="AA5411" s="60">
        <f t="shared" si="592"/>
        <v>0</v>
      </c>
      <c r="AB5411" s="49">
        <f t="shared" si="593"/>
        <v>0</v>
      </c>
      <c r="AC5411" s="60">
        <f t="shared" si="594"/>
        <v>0</v>
      </c>
    </row>
    <row r="5412" spans="1:29">
      <c r="A5412" s="83" t="str">
        <f t="shared" si="589"/>
        <v/>
      </c>
      <c r="B5412" s="83" t="str">
        <f t="shared" si="595"/>
        <v/>
      </c>
      <c r="U5412" s="83" t="str">
        <f t="shared" si="590"/>
        <v/>
      </c>
      <c r="V5412" s="83" t="str">
        <f t="shared" si="591"/>
        <v/>
      </c>
      <c r="AA5412" s="60">
        <f t="shared" si="592"/>
        <v>0</v>
      </c>
      <c r="AB5412" s="49">
        <f t="shared" si="593"/>
        <v>0</v>
      </c>
      <c r="AC5412" s="60">
        <f t="shared" si="594"/>
        <v>0</v>
      </c>
    </row>
    <row r="5413" spans="1:29">
      <c r="A5413" s="83" t="str">
        <f t="shared" si="589"/>
        <v/>
      </c>
      <c r="B5413" s="83" t="str">
        <f t="shared" si="595"/>
        <v/>
      </c>
      <c r="U5413" s="83" t="str">
        <f t="shared" si="590"/>
        <v/>
      </c>
      <c r="V5413" s="83" t="str">
        <f t="shared" si="591"/>
        <v/>
      </c>
      <c r="AA5413" s="60">
        <f t="shared" si="592"/>
        <v>0</v>
      </c>
      <c r="AB5413" s="49">
        <f t="shared" si="593"/>
        <v>0</v>
      </c>
      <c r="AC5413" s="60">
        <f t="shared" si="594"/>
        <v>0</v>
      </c>
    </row>
    <row r="5414" spans="1:29">
      <c r="A5414" s="83" t="str">
        <f t="shared" si="589"/>
        <v/>
      </c>
      <c r="B5414" s="83" t="str">
        <f t="shared" si="595"/>
        <v/>
      </c>
      <c r="U5414" s="83" t="str">
        <f t="shared" si="590"/>
        <v/>
      </c>
      <c r="V5414" s="83" t="str">
        <f t="shared" si="591"/>
        <v/>
      </c>
      <c r="AA5414" s="60">
        <f t="shared" si="592"/>
        <v>0</v>
      </c>
      <c r="AB5414" s="49">
        <f t="shared" si="593"/>
        <v>0</v>
      </c>
      <c r="AC5414" s="60">
        <f t="shared" si="594"/>
        <v>0</v>
      </c>
    </row>
    <row r="5415" spans="1:29">
      <c r="A5415" s="83" t="str">
        <f t="shared" si="589"/>
        <v/>
      </c>
      <c r="B5415" s="83" t="str">
        <f t="shared" si="595"/>
        <v/>
      </c>
      <c r="U5415" s="83" t="str">
        <f t="shared" si="590"/>
        <v/>
      </c>
      <c r="V5415" s="83" t="str">
        <f t="shared" si="591"/>
        <v/>
      </c>
      <c r="AA5415" s="60">
        <f t="shared" si="592"/>
        <v>0</v>
      </c>
      <c r="AB5415" s="49">
        <f t="shared" si="593"/>
        <v>0</v>
      </c>
      <c r="AC5415" s="60">
        <f t="shared" si="594"/>
        <v>0</v>
      </c>
    </row>
    <row r="5416" spans="1:29">
      <c r="A5416" s="83" t="str">
        <f t="shared" si="589"/>
        <v/>
      </c>
      <c r="B5416" s="83" t="str">
        <f t="shared" si="595"/>
        <v/>
      </c>
      <c r="U5416" s="83" t="str">
        <f t="shared" si="590"/>
        <v/>
      </c>
      <c r="V5416" s="83" t="str">
        <f t="shared" si="591"/>
        <v/>
      </c>
      <c r="AA5416" s="60">
        <f t="shared" si="592"/>
        <v>0</v>
      </c>
      <c r="AB5416" s="49">
        <f t="shared" si="593"/>
        <v>0</v>
      </c>
      <c r="AC5416" s="60">
        <f t="shared" si="594"/>
        <v>0</v>
      </c>
    </row>
    <row r="5417" spans="1:29">
      <c r="A5417" s="83" t="str">
        <f t="shared" si="589"/>
        <v/>
      </c>
      <c r="B5417" s="83" t="str">
        <f t="shared" si="595"/>
        <v/>
      </c>
      <c r="U5417" s="83" t="str">
        <f t="shared" si="590"/>
        <v/>
      </c>
      <c r="V5417" s="83" t="str">
        <f t="shared" si="591"/>
        <v/>
      </c>
      <c r="AA5417" s="60">
        <f t="shared" si="592"/>
        <v>0</v>
      </c>
      <c r="AB5417" s="49">
        <f t="shared" si="593"/>
        <v>0</v>
      </c>
      <c r="AC5417" s="60">
        <f t="shared" si="594"/>
        <v>0</v>
      </c>
    </row>
    <row r="5418" spans="1:29">
      <c r="A5418" s="83" t="str">
        <f t="shared" si="589"/>
        <v/>
      </c>
      <c r="B5418" s="83" t="str">
        <f t="shared" si="595"/>
        <v/>
      </c>
      <c r="U5418" s="83" t="str">
        <f t="shared" si="590"/>
        <v/>
      </c>
      <c r="V5418" s="83" t="str">
        <f t="shared" si="591"/>
        <v/>
      </c>
      <c r="AA5418" s="60">
        <f t="shared" si="592"/>
        <v>0</v>
      </c>
      <c r="AB5418" s="49">
        <f t="shared" si="593"/>
        <v>0</v>
      </c>
      <c r="AC5418" s="60">
        <f t="shared" si="594"/>
        <v>0</v>
      </c>
    </row>
    <row r="5419" spans="1:29">
      <c r="A5419" s="83" t="str">
        <f t="shared" si="589"/>
        <v/>
      </c>
      <c r="B5419" s="83" t="str">
        <f t="shared" si="595"/>
        <v/>
      </c>
      <c r="U5419" s="83" t="str">
        <f t="shared" si="590"/>
        <v/>
      </c>
      <c r="V5419" s="83" t="str">
        <f t="shared" si="591"/>
        <v/>
      </c>
      <c r="AA5419" s="60">
        <f t="shared" si="592"/>
        <v>0</v>
      </c>
      <c r="AB5419" s="49">
        <f t="shared" si="593"/>
        <v>0</v>
      </c>
      <c r="AC5419" s="60">
        <f t="shared" si="594"/>
        <v>0</v>
      </c>
    </row>
    <row r="5420" spans="1:29">
      <c r="A5420" s="83" t="str">
        <f t="shared" si="589"/>
        <v/>
      </c>
      <c r="B5420" s="83" t="str">
        <f t="shared" si="595"/>
        <v/>
      </c>
      <c r="U5420" s="83" t="str">
        <f t="shared" si="590"/>
        <v/>
      </c>
      <c r="V5420" s="83" t="str">
        <f t="shared" si="591"/>
        <v/>
      </c>
      <c r="AA5420" s="60">
        <f t="shared" si="592"/>
        <v>0</v>
      </c>
      <c r="AB5420" s="49">
        <f t="shared" si="593"/>
        <v>0</v>
      </c>
      <c r="AC5420" s="60">
        <f t="shared" si="594"/>
        <v>0</v>
      </c>
    </row>
    <row r="5421" spans="1:29">
      <c r="A5421" s="83" t="str">
        <f t="shared" si="589"/>
        <v/>
      </c>
      <c r="B5421" s="83" t="str">
        <f t="shared" si="595"/>
        <v/>
      </c>
      <c r="U5421" s="83" t="str">
        <f t="shared" si="590"/>
        <v/>
      </c>
      <c r="V5421" s="83" t="str">
        <f t="shared" si="591"/>
        <v/>
      </c>
      <c r="AA5421" s="60">
        <f t="shared" si="592"/>
        <v>0</v>
      </c>
      <c r="AB5421" s="49">
        <f t="shared" si="593"/>
        <v>0</v>
      </c>
      <c r="AC5421" s="60">
        <f t="shared" si="594"/>
        <v>0</v>
      </c>
    </row>
    <row r="5422" spans="1:29">
      <c r="A5422" s="83" t="str">
        <f t="shared" si="589"/>
        <v/>
      </c>
      <c r="B5422" s="83" t="str">
        <f t="shared" si="595"/>
        <v/>
      </c>
      <c r="U5422" s="83" t="str">
        <f t="shared" si="590"/>
        <v/>
      </c>
      <c r="V5422" s="83" t="str">
        <f t="shared" si="591"/>
        <v/>
      </c>
      <c r="AA5422" s="60">
        <f t="shared" si="592"/>
        <v>0</v>
      </c>
      <c r="AB5422" s="49">
        <f t="shared" si="593"/>
        <v>0</v>
      </c>
      <c r="AC5422" s="60">
        <f t="shared" si="594"/>
        <v>0</v>
      </c>
    </row>
    <row r="5423" spans="1:29">
      <c r="A5423" s="83" t="str">
        <f t="shared" si="589"/>
        <v/>
      </c>
      <c r="B5423" s="83" t="str">
        <f t="shared" si="595"/>
        <v/>
      </c>
      <c r="U5423" s="83" t="str">
        <f t="shared" si="590"/>
        <v/>
      </c>
      <c r="V5423" s="83" t="str">
        <f t="shared" si="591"/>
        <v/>
      </c>
      <c r="AA5423" s="60">
        <f t="shared" si="592"/>
        <v>0</v>
      </c>
      <c r="AB5423" s="49">
        <f t="shared" si="593"/>
        <v>0</v>
      </c>
      <c r="AC5423" s="60">
        <f t="shared" si="594"/>
        <v>0</v>
      </c>
    </row>
    <row r="5424" spans="1:29">
      <c r="A5424" s="83" t="str">
        <f t="shared" si="589"/>
        <v/>
      </c>
      <c r="B5424" s="83" t="str">
        <f t="shared" si="595"/>
        <v/>
      </c>
      <c r="U5424" s="83" t="str">
        <f t="shared" si="590"/>
        <v/>
      </c>
      <c r="V5424" s="83" t="str">
        <f t="shared" si="591"/>
        <v/>
      </c>
      <c r="AA5424" s="60">
        <f t="shared" si="592"/>
        <v>0</v>
      </c>
      <c r="AB5424" s="49">
        <f t="shared" si="593"/>
        <v>0</v>
      </c>
      <c r="AC5424" s="60">
        <f t="shared" si="594"/>
        <v>0</v>
      </c>
    </row>
    <row r="5425" spans="1:29">
      <c r="A5425" s="83" t="str">
        <f t="shared" si="589"/>
        <v/>
      </c>
      <c r="B5425" s="83" t="str">
        <f t="shared" si="595"/>
        <v/>
      </c>
      <c r="U5425" s="83" t="str">
        <f t="shared" si="590"/>
        <v/>
      </c>
      <c r="V5425" s="83" t="str">
        <f t="shared" si="591"/>
        <v/>
      </c>
      <c r="AA5425" s="60">
        <f t="shared" si="592"/>
        <v>0</v>
      </c>
      <c r="AB5425" s="49">
        <f t="shared" si="593"/>
        <v>0</v>
      </c>
      <c r="AC5425" s="60">
        <f t="shared" si="594"/>
        <v>0</v>
      </c>
    </row>
    <row r="5426" spans="1:29">
      <c r="A5426" s="83" t="str">
        <f t="shared" si="589"/>
        <v/>
      </c>
      <c r="B5426" s="83" t="str">
        <f t="shared" si="595"/>
        <v/>
      </c>
      <c r="U5426" s="83" t="str">
        <f t="shared" si="590"/>
        <v/>
      </c>
      <c r="V5426" s="83" t="str">
        <f t="shared" si="591"/>
        <v/>
      </c>
      <c r="AA5426" s="60">
        <f t="shared" si="592"/>
        <v>0</v>
      </c>
      <c r="AB5426" s="49">
        <f t="shared" si="593"/>
        <v>0</v>
      </c>
      <c r="AC5426" s="60">
        <f t="shared" si="594"/>
        <v>0</v>
      </c>
    </row>
    <row r="5427" spans="1:29">
      <c r="A5427" s="83" t="str">
        <f t="shared" si="589"/>
        <v/>
      </c>
      <c r="B5427" s="83" t="str">
        <f t="shared" si="595"/>
        <v/>
      </c>
      <c r="U5427" s="83" t="str">
        <f t="shared" si="590"/>
        <v/>
      </c>
      <c r="V5427" s="83" t="str">
        <f t="shared" si="591"/>
        <v/>
      </c>
      <c r="AA5427" s="60">
        <f t="shared" si="592"/>
        <v>0</v>
      </c>
      <c r="AB5427" s="49">
        <f t="shared" si="593"/>
        <v>0</v>
      </c>
      <c r="AC5427" s="60">
        <f t="shared" si="594"/>
        <v>0</v>
      </c>
    </row>
    <row r="5428" spans="1:29">
      <c r="A5428" s="83" t="str">
        <f t="shared" si="589"/>
        <v/>
      </c>
      <c r="B5428" s="83" t="str">
        <f t="shared" si="595"/>
        <v/>
      </c>
      <c r="U5428" s="83" t="str">
        <f t="shared" si="590"/>
        <v/>
      </c>
      <c r="V5428" s="83" t="str">
        <f t="shared" si="591"/>
        <v/>
      </c>
      <c r="AA5428" s="60">
        <f t="shared" si="592"/>
        <v>0</v>
      </c>
      <c r="AB5428" s="49">
        <f t="shared" si="593"/>
        <v>0</v>
      </c>
      <c r="AC5428" s="60">
        <f t="shared" si="594"/>
        <v>0</v>
      </c>
    </row>
    <row r="5429" spans="1:29">
      <c r="A5429" s="83" t="str">
        <f t="shared" si="589"/>
        <v/>
      </c>
      <c r="B5429" s="83" t="str">
        <f t="shared" si="595"/>
        <v/>
      </c>
      <c r="U5429" s="83" t="str">
        <f t="shared" si="590"/>
        <v/>
      </c>
      <c r="V5429" s="83" t="str">
        <f t="shared" si="591"/>
        <v/>
      </c>
      <c r="AA5429" s="60">
        <f t="shared" si="592"/>
        <v>0</v>
      </c>
      <c r="AB5429" s="49">
        <f t="shared" si="593"/>
        <v>0</v>
      </c>
      <c r="AC5429" s="60">
        <f t="shared" si="594"/>
        <v>0</v>
      </c>
    </row>
    <row r="5430" spans="1:29">
      <c r="A5430" s="83" t="str">
        <f t="shared" si="589"/>
        <v/>
      </c>
      <c r="B5430" s="83" t="str">
        <f t="shared" si="595"/>
        <v/>
      </c>
      <c r="U5430" s="83" t="str">
        <f t="shared" si="590"/>
        <v/>
      </c>
      <c r="V5430" s="83" t="str">
        <f t="shared" si="591"/>
        <v/>
      </c>
      <c r="AA5430" s="60">
        <f t="shared" si="592"/>
        <v>0</v>
      </c>
      <c r="AB5430" s="49">
        <f t="shared" si="593"/>
        <v>0</v>
      </c>
      <c r="AC5430" s="60">
        <f t="shared" si="594"/>
        <v>0</v>
      </c>
    </row>
    <row r="5431" spans="1:29">
      <c r="A5431" s="83" t="str">
        <f t="shared" si="589"/>
        <v/>
      </c>
      <c r="B5431" s="83" t="str">
        <f t="shared" si="595"/>
        <v/>
      </c>
      <c r="U5431" s="83" t="str">
        <f t="shared" si="590"/>
        <v/>
      </c>
      <c r="V5431" s="83" t="str">
        <f t="shared" si="591"/>
        <v/>
      </c>
      <c r="AA5431" s="60">
        <f t="shared" si="592"/>
        <v>0</v>
      </c>
      <c r="AB5431" s="49">
        <f t="shared" si="593"/>
        <v>0</v>
      </c>
      <c r="AC5431" s="60">
        <f t="shared" si="594"/>
        <v>0</v>
      </c>
    </row>
    <row r="5432" spans="1:29">
      <c r="A5432" s="83" t="str">
        <f t="shared" si="589"/>
        <v/>
      </c>
      <c r="B5432" s="83" t="str">
        <f t="shared" si="595"/>
        <v/>
      </c>
      <c r="U5432" s="83" t="str">
        <f t="shared" si="590"/>
        <v/>
      </c>
      <c r="V5432" s="83" t="str">
        <f t="shared" si="591"/>
        <v/>
      </c>
      <c r="AA5432" s="60">
        <f t="shared" si="592"/>
        <v>0</v>
      </c>
      <c r="AB5432" s="49">
        <f t="shared" si="593"/>
        <v>0</v>
      </c>
      <c r="AC5432" s="60">
        <f t="shared" si="594"/>
        <v>0</v>
      </c>
    </row>
    <row r="5433" spans="1:29">
      <c r="A5433" s="83" t="str">
        <f t="shared" si="589"/>
        <v/>
      </c>
      <c r="B5433" s="83" t="str">
        <f t="shared" si="595"/>
        <v/>
      </c>
      <c r="U5433" s="83" t="str">
        <f t="shared" si="590"/>
        <v/>
      </c>
      <c r="V5433" s="83" t="str">
        <f t="shared" si="591"/>
        <v/>
      </c>
      <c r="AA5433" s="60">
        <f t="shared" si="592"/>
        <v>0</v>
      </c>
      <c r="AB5433" s="49">
        <f t="shared" si="593"/>
        <v>0</v>
      </c>
      <c r="AC5433" s="60">
        <f t="shared" si="594"/>
        <v>0</v>
      </c>
    </row>
    <row r="5434" spans="1:29">
      <c r="A5434" s="83" t="str">
        <f t="shared" si="589"/>
        <v/>
      </c>
      <c r="B5434" s="83" t="str">
        <f t="shared" si="595"/>
        <v/>
      </c>
      <c r="U5434" s="83" t="str">
        <f t="shared" si="590"/>
        <v/>
      </c>
      <c r="V5434" s="83" t="str">
        <f t="shared" si="591"/>
        <v/>
      </c>
      <c r="AA5434" s="60">
        <f t="shared" si="592"/>
        <v>0</v>
      </c>
      <c r="AB5434" s="49">
        <f t="shared" si="593"/>
        <v>0</v>
      </c>
      <c r="AC5434" s="60">
        <f t="shared" si="594"/>
        <v>0</v>
      </c>
    </row>
    <row r="5435" spans="1:29">
      <c r="A5435" s="83" t="str">
        <f t="shared" si="589"/>
        <v/>
      </c>
      <c r="B5435" s="83" t="str">
        <f t="shared" si="595"/>
        <v/>
      </c>
      <c r="U5435" s="83" t="str">
        <f t="shared" si="590"/>
        <v/>
      </c>
      <c r="V5435" s="83" t="str">
        <f t="shared" si="591"/>
        <v/>
      </c>
      <c r="AA5435" s="60">
        <f t="shared" si="592"/>
        <v>0</v>
      </c>
      <c r="AB5435" s="49">
        <f t="shared" si="593"/>
        <v>0</v>
      </c>
      <c r="AC5435" s="60">
        <f t="shared" si="594"/>
        <v>0</v>
      </c>
    </row>
    <row r="5436" spans="1:29">
      <c r="A5436" s="83" t="str">
        <f t="shared" si="589"/>
        <v/>
      </c>
      <c r="B5436" s="83" t="str">
        <f t="shared" si="595"/>
        <v/>
      </c>
      <c r="U5436" s="83" t="str">
        <f t="shared" si="590"/>
        <v/>
      </c>
      <c r="V5436" s="83" t="str">
        <f t="shared" si="591"/>
        <v/>
      </c>
      <c r="AA5436" s="60">
        <f t="shared" si="592"/>
        <v>0</v>
      </c>
      <c r="AB5436" s="49">
        <f t="shared" si="593"/>
        <v>0</v>
      </c>
      <c r="AC5436" s="60">
        <f t="shared" si="594"/>
        <v>0</v>
      </c>
    </row>
    <row r="5437" spans="1:29">
      <c r="A5437" s="83" t="str">
        <f t="shared" si="589"/>
        <v/>
      </c>
      <c r="B5437" s="83" t="str">
        <f t="shared" si="595"/>
        <v/>
      </c>
      <c r="U5437" s="83" t="str">
        <f t="shared" si="590"/>
        <v/>
      </c>
      <c r="V5437" s="83" t="str">
        <f t="shared" si="591"/>
        <v/>
      </c>
      <c r="AA5437" s="60">
        <f t="shared" si="592"/>
        <v>0</v>
      </c>
      <c r="AB5437" s="49">
        <f t="shared" si="593"/>
        <v>0</v>
      </c>
      <c r="AC5437" s="60">
        <f t="shared" si="594"/>
        <v>0</v>
      </c>
    </row>
    <row r="5438" spans="1:29">
      <c r="A5438" s="83" t="str">
        <f t="shared" si="589"/>
        <v/>
      </c>
      <c r="B5438" s="83" t="str">
        <f t="shared" si="595"/>
        <v/>
      </c>
      <c r="U5438" s="83" t="str">
        <f t="shared" si="590"/>
        <v/>
      </c>
      <c r="V5438" s="83" t="str">
        <f t="shared" si="591"/>
        <v/>
      </c>
      <c r="AA5438" s="60">
        <f t="shared" si="592"/>
        <v>0</v>
      </c>
      <c r="AB5438" s="49">
        <f t="shared" si="593"/>
        <v>0</v>
      </c>
      <c r="AC5438" s="60">
        <f t="shared" si="594"/>
        <v>0</v>
      </c>
    </row>
    <row r="5439" spans="1:29">
      <c r="A5439" s="83" t="str">
        <f t="shared" si="589"/>
        <v/>
      </c>
      <c r="B5439" s="83" t="str">
        <f t="shared" si="595"/>
        <v/>
      </c>
      <c r="U5439" s="83" t="str">
        <f t="shared" si="590"/>
        <v/>
      </c>
      <c r="V5439" s="83" t="str">
        <f t="shared" si="591"/>
        <v/>
      </c>
      <c r="AA5439" s="60">
        <f t="shared" si="592"/>
        <v>0</v>
      </c>
      <c r="AB5439" s="49">
        <f t="shared" si="593"/>
        <v>0</v>
      </c>
      <c r="AC5439" s="60">
        <f t="shared" si="594"/>
        <v>0</v>
      </c>
    </row>
    <row r="5440" spans="1:29">
      <c r="A5440" s="83" t="str">
        <f t="shared" si="589"/>
        <v/>
      </c>
      <c r="B5440" s="83" t="str">
        <f t="shared" si="595"/>
        <v/>
      </c>
      <c r="U5440" s="83" t="str">
        <f t="shared" si="590"/>
        <v/>
      </c>
      <c r="V5440" s="83" t="str">
        <f t="shared" si="591"/>
        <v/>
      </c>
      <c r="AA5440" s="60">
        <f t="shared" si="592"/>
        <v>0</v>
      </c>
      <c r="AB5440" s="49">
        <f t="shared" si="593"/>
        <v>0</v>
      </c>
      <c r="AC5440" s="60">
        <f t="shared" si="594"/>
        <v>0</v>
      </c>
    </row>
    <row r="5441" spans="1:29">
      <c r="A5441" s="83" t="str">
        <f t="shared" si="589"/>
        <v/>
      </c>
      <c r="B5441" s="83" t="str">
        <f t="shared" si="595"/>
        <v/>
      </c>
      <c r="U5441" s="83" t="str">
        <f t="shared" si="590"/>
        <v/>
      </c>
      <c r="V5441" s="83" t="str">
        <f t="shared" si="591"/>
        <v/>
      </c>
      <c r="AA5441" s="60">
        <f t="shared" si="592"/>
        <v>0</v>
      </c>
      <c r="AB5441" s="49">
        <f t="shared" si="593"/>
        <v>0</v>
      </c>
      <c r="AC5441" s="60">
        <f t="shared" si="594"/>
        <v>0</v>
      </c>
    </row>
    <row r="5442" spans="1:29">
      <c r="A5442" s="83" t="str">
        <f t="shared" si="589"/>
        <v/>
      </c>
      <c r="B5442" s="83" t="str">
        <f t="shared" si="595"/>
        <v/>
      </c>
      <c r="U5442" s="83" t="str">
        <f t="shared" si="590"/>
        <v/>
      </c>
      <c r="V5442" s="83" t="str">
        <f t="shared" si="591"/>
        <v/>
      </c>
      <c r="AA5442" s="60">
        <f t="shared" si="592"/>
        <v>0</v>
      </c>
      <c r="AB5442" s="49">
        <f t="shared" si="593"/>
        <v>0</v>
      </c>
      <c r="AC5442" s="60">
        <f t="shared" si="594"/>
        <v>0</v>
      </c>
    </row>
    <row r="5443" spans="1:29">
      <c r="A5443" s="83" t="str">
        <f t="shared" ref="A5443:A5506" si="596">IF(G5443&amp;Q5443&lt;&gt;"",U5443&amp;Q5443,"")</f>
        <v/>
      </c>
      <c r="B5443" s="83" t="str">
        <f t="shared" si="595"/>
        <v/>
      </c>
      <c r="U5443" s="83" t="str">
        <f t="shared" ref="U5443:U5506" si="597">IF(G5443&lt;&gt;"",IF(StyleSpaceSplit,IFERROR(IF(FIND(" ",G5443)&gt;=1,MID(G5443,1,FIND(" ",G5443)-1),G5443),G5443),G5443),"")</f>
        <v/>
      </c>
      <c r="V5443" s="83" t="str">
        <f t="shared" ref="V5443:V5506" si="598">IF(A5443&lt;&gt;"",IFERROR(IF(FIND(" ",G5443)&gt;=1,MID(G5443,FIND(" ",G5443)+1,LEN(G5443)),""),G5443),"")</f>
        <v/>
      </c>
      <c r="AA5443" s="60">
        <f t="shared" ref="AA5443:AA5506" si="599">IFERROR(VALUE(MID($C5443,1,2)),0)</f>
        <v>0</v>
      </c>
      <c r="AB5443" s="49">
        <f t="shared" ref="AB5443:AB5506" si="600">IFERROR(VALUE(MID($C5443,4,3)),0)</f>
        <v>0</v>
      </c>
      <c r="AC5443" s="60">
        <f t="shared" ref="AC5443:AC5506" si="601">VALUE(RIGHT("00"&amp;AA5443,2)&amp;RIGHT("000"&amp;AB5443,3))</f>
        <v>0</v>
      </c>
    </row>
    <row r="5444" spans="1:29">
      <c r="A5444" s="83" t="str">
        <f t="shared" si="596"/>
        <v/>
      </c>
      <c r="B5444" s="83" t="str">
        <f t="shared" si="595"/>
        <v/>
      </c>
      <c r="U5444" s="83" t="str">
        <f t="shared" si="597"/>
        <v/>
      </c>
      <c r="V5444" s="83" t="str">
        <f t="shared" si="598"/>
        <v/>
      </c>
      <c r="AA5444" s="60">
        <f t="shared" si="599"/>
        <v>0</v>
      </c>
      <c r="AB5444" s="49">
        <f t="shared" si="600"/>
        <v>0</v>
      </c>
      <c r="AC5444" s="60">
        <f t="shared" si="601"/>
        <v>0</v>
      </c>
    </row>
    <row r="5445" spans="1:29">
      <c r="A5445" s="83" t="str">
        <f t="shared" si="596"/>
        <v/>
      </c>
      <c r="B5445" s="83" t="str">
        <f t="shared" si="595"/>
        <v/>
      </c>
      <c r="U5445" s="83" t="str">
        <f t="shared" si="597"/>
        <v/>
      </c>
      <c r="V5445" s="83" t="str">
        <f t="shared" si="598"/>
        <v/>
      </c>
      <c r="AA5445" s="60">
        <f t="shared" si="599"/>
        <v>0</v>
      </c>
      <c r="AB5445" s="49">
        <f t="shared" si="600"/>
        <v>0</v>
      </c>
      <c r="AC5445" s="60">
        <f t="shared" si="601"/>
        <v>0</v>
      </c>
    </row>
    <row r="5446" spans="1:29">
      <c r="A5446" s="83" t="str">
        <f t="shared" si="596"/>
        <v/>
      </c>
      <c r="B5446" s="83" t="str">
        <f t="shared" si="595"/>
        <v/>
      </c>
      <c r="U5446" s="83" t="str">
        <f t="shared" si="597"/>
        <v/>
      </c>
      <c r="V5446" s="83" t="str">
        <f t="shared" si="598"/>
        <v/>
      </c>
      <c r="AA5446" s="60">
        <f t="shared" si="599"/>
        <v>0</v>
      </c>
      <c r="AB5446" s="49">
        <f t="shared" si="600"/>
        <v>0</v>
      </c>
      <c r="AC5446" s="60">
        <f t="shared" si="601"/>
        <v>0</v>
      </c>
    </row>
    <row r="5447" spans="1:29">
      <c r="A5447" s="83" t="str">
        <f t="shared" si="596"/>
        <v/>
      </c>
      <c r="B5447" s="83" t="str">
        <f t="shared" si="595"/>
        <v/>
      </c>
      <c r="U5447" s="83" t="str">
        <f t="shared" si="597"/>
        <v/>
      </c>
      <c r="V5447" s="83" t="str">
        <f t="shared" si="598"/>
        <v/>
      </c>
      <c r="AA5447" s="60">
        <f t="shared" si="599"/>
        <v>0</v>
      </c>
      <c r="AB5447" s="49">
        <f t="shared" si="600"/>
        <v>0</v>
      </c>
      <c r="AC5447" s="60">
        <f t="shared" si="601"/>
        <v>0</v>
      </c>
    </row>
    <row r="5448" spans="1:29">
      <c r="A5448" s="83" t="str">
        <f t="shared" si="596"/>
        <v/>
      </c>
      <c r="B5448" s="83" t="str">
        <f t="shared" si="595"/>
        <v/>
      </c>
      <c r="U5448" s="83" t="str">
        <f t="shared" si="597"/>
        <v/>
      </c>
      <c r="V5448" s="83" t="str">
        <f t="shared" si="598"/>
        <v/>
      </c>
      <c r="AA5448" s="60">
        <f t="shared" si="599"/>
        <v>0</v>
      </c>
      <c r="AB5448" s="49">
        <f t="shared" si="600"/>
        <v>0</v>
      </c>
      <c r="AC5448" s="60">
        <f t="shared" si="601"/>
        <v>0</v>
      </c>
    </row>
    <row r="5449" spans="1:29">
      <c r="A5449" s="83" t="str">
        <f t="shared" si="596"/>
        <v/>
      </c>
      <c r="B5449" s="83" t="str">
        <f t="shared" si="595"/>
        <v/>
      </c>
      <c r="U5449" s="83" t="str">
        <f t="shared" si="597"/>
        <v/>
      </c>
      <c r="V5449" s="83" t="str">
        <f t="shared" si="598"/>
        <v/>
      </c>
      <c r="AA5449" s="60">
        <f t="shared" si="599"/>
        <v>0</v>
      </c>
      <c r="AB5449" s="49">
        <f t="shared" si="600"/>
        <v>0</v>
      </c>
      <c r="AC5449" s="60">
        <f t="shared" si="601"/>
        <v>0</v>
      </c>
    </row>
    <row r="5450" spans="1:29">
      <c r="A5450" s="83" t="str">
        <f t="shared" si="596"/>
        <v/>
      </c>
      <c r="B5450" s="83" t="str">
        <f t="shared" si="595"/>
        <v/>
      </c>
      <c r="U5450" s="83" t="str">
        <f t="shared" si="597"/>
        <v/>
      </c>
      <c r="V5450" s="83" t="str">
        <f t="shared" si="598"/>
        <v/>
      </c>
      <c r="AA5450" s="60">
        <f t="shared" si="599"/>
        <v>0</v>
      </c>
      <c r="AB5450" s="49">
        <f t="shared" si="600"/>
        <v>0</v>
      </c>
      <c r="AC5450" s="60">
        <f t="shared" si="601"/>
        <v>0</v>
      </c>
    </row>
    <row r="5451" spans="1:29">
      <c r="A5451" s="83" t="str">
        <f t="shared" si="596"/>
        <v/>
      </c>
      <c r="B5451" s="83" t="str">
        <f t="shared" si="595"/>
        <v/>
      </c>
      <c r="U5451" s="83" t="str">
        <f t="shared" si="597"/>
        <v/>
      </c>
      <c r="V5451" s="83" t="str">
        <f t="shared" si="598"/>
        <v/>
      </c>
      <c r="AA5451" s="60">
        <f t="shared" si="599"/>
        <v>0</v>
      </c>
      <c r="AB5451" s="49">
        <f t="shared" si="600"/>
        <v>0</v>
      </c>
      <c r="AC5451" s="60">
        <f t="shared" si="601"/>
        <v>0</v>
      </c>
    </row>
    <row r="5452" spans="1:29">
      <c r="A5452" s="83" t="str">
        <f t="shared" si="596"/>
        <v/>
      </c>
      <c r="B5452" s="83" t="str">
        <f t="shared" si="595"/>
        <v/>
      </c>
      <c r="U5452" s="83" t="str">
        <f t="shared" si="597"/>
        <v/>
      </c>
      <c r="V5452" s="83" t="str">
        <f t="shared" si="598"/>
        <v/>
      </c>
      <c r="AA5452" s="60">
        <f t="shared" si="599"/>
        <v>0</v>
      </c>
      <c r="AB5452" s="49">
        <f t="shared" si="600"/>
        <v>0</v>
      </c>
      <c r="AC5452" s="60">
        <f t="shared" si="601"/>
        <v>0</v>
      </c>
    </row>
    <row r="5453" spans="1:29">
      <c r="A5453" s="83" t="str">
        <f t="shared" si="596"/>
        <v/>
      </c>
      <c r="B5453" s="83" t="str">
        <f t="shared" si="595"/>
        <v/>
      </c>
      <c r="U5453" s="83" t="str">
        <f t="shared" si="597"/>
        <v/>
      </c>
      <c r="V5453" s="83" t="str">
        <f t="shared" si="598"/>
        <v/>
      </c>
      <c r="AA5453" s="60">
        <f t="shared" si="599"/>
        <v>0</v>
      </c>
      <c r="AB5453" s="49">
        <f t="shared" si="600"/>
        <v>0</v>
      </c>
      <c r="AC5453" s="60">
        <f t="shared" si="601"/>
        <v>0</v>
      </c>
    </row>
    <row r="5454" spans="1:29">
      <c r="A5454" s="83" t="str">
        <f t="shared" si="596"/>
        <v/>
      </c>
      <c r="B5454" s="83" t="str">
        <f t="shared" si="595"/>
        <v/>
      </c>
      <c r="U5454" s="83" t="str">
        <f t="shared" si="597"/>
        <v/>
      </c>
      <c r="V5454" s="83" t="str">
        <f t="shared" si="598"/>
        <v/>
      </c>
      <c r="AA5454" s="60">
        <f t="shared" si="599"/>
        <v>0</v>
      </c>
      <c r="AB5454" s="49">
        <f t="shared" si="600"/>
        <v>0</v>
      </c>
      <c r="AC5454" s="60">
        <f t="shared" si="601"/>
        <v>0</v>
      </c>
    </row>
    <row r="5455" spans="1:29">
      <c r="A5455" s="83" t="str">
        <f t="shared" si="596"/>
        <v/>
      </c>
      <c r="B5455" s="83" t="str">
        <f t="shared" si="595"/>
        <v/>
      </c>
      <c r="U5455" s="83" t="str">
        <f t="shared" si="597"/>
        <v/>
      </c>
      <c r="V5455" s="83" t="str">
        <f t="shared" si="598"/>
        <v/>
      </c>
      <c r="AA5455" s="60">
        <f t="shared" si="599"/>
        <v>0</v>
      </c>
      <c r="AB5455" s="49">
        <f t="shared" si="600"/>
        <v>0</v>
      </c>
      <c r="AC5455" s="60">
        <f t="shared" si="601"/>
        <v>0</v>
      </c>
    </row>
    <row r="5456" spans="1:29">
      <c r="A5456" s="83" t="str">
        <f t="shared" si="596"/>
        <v/>
      </c>
      <c r="B5456" s="83" t="str">
        <f t="shared" si="595"/>
        <v/>
      </c>
      <c r="U5456" s="83" t="str">
        <f t="shared" si="597"/>
        <v/>
      </c>
      <c r="V5456" s="83" t="str">
        <f t="shared" si="598"/>
        <v/>
      </c>
      <c r="AA5456" s="60">
        <f t="shared" si="599"/>
        <v>0</v>
      </c>
      <c r="AB5456" s="49">
        <f t="shared" si="600"/>
        <v>0</v>
      </c>
      <c r="AC5456" s="60">
        <f t="shared" si="601"/>
        <v>0</v>
      </c>
    </row>
    <row r="5457" spans="1:29">
      <c r="A5457" s="83" t="str">
        <f t="shared" si="596"/>
        <v/>
      </c>
      <c r="B5457" s="83" t="str">
        <f t="shared" si="595"/>
        <v/>
      </c>
      <c r="U5457" s="83" t="str">
        <f t="shared" si="597"/>
        <v/>
      </c>
      <c r="V5457" s="83" t="str">
        <f t="shared" si="598"/>
        <v/>
      </c>
      <c r="AA5457" s="60">
        <f t="shared" si="599"/>
        <v>0</v>
      </c>
      <c r="AB5457" s="49">
        <f t="shared" si="600"/>
        <v>0</v>
      </c>
      <c r="AC5457" s="60">
        <f t="shared" si="601"/>
        <v>0</v>
      </c>
    </row>
    <row r="5458" spans="1:29">
      <c r="A5458" s="83" t="str">
        <f t="shared" si="596"/>
        <v/>
      </c>
      <c r="B5458" s="83" t="str">
        <f t="shared" si="595"/>
        <v/>
      </c>
      <c r="U5458" s="83" t="str">
        <f t="shared" si="597"/>
        <v/>
      </c>
      <c r="V5458" s="83" t="str">
        <f t="shared" si="598"/>
        <v/>
      </c>
      <c r="AA5458" s="60">
        <f t="shared" si="599"/>
        <v>0</v>
      </c>
      <c r="AB5458" s="49">
        <f t="shared" si="600"/>
        <v>0</v>
      </c>
      <c r="AC5458" s="60">
        <f t="shared" si="601"/>
        <v>0</v>
      </c>
    </row>
    <row r="5459" spans="1:29">
      <c r="A5459" s="83" t="str">
        <f t="shared" si="596"/>
        <v/>
      </c>
      <c r="B5459" s="83" t="str">
        <f t="shared" si="595"/>
        <v/>
      </c>
      <c r="U5459" s="83" t="str">
        <f t="shared" si="597"/>
        <v/>
      </c>
      <c r="V5459" s="83" t="str">
        <f t="shared" si="598"/>
        <v/>
      </c>
      <c r="AA5459" s="60">
        <f t="shared" si="599"/>
        <v>0</v>
      </c>
      <c r="AB5459" s="49">
        <f t="shared" si="600"/>
        <v>0</v>
      </c>
      <c r="AC5459" s="60">
        <f t="shared" si="601"/>
        <v>0</v>
      </c>
    </row>
    <row r="5460" spans="1:29">
      <c r="A5460" s="83" t="str">
        <f t="shared" si="596"/>
        <v/>
      </c>
      <c r="B5460" s="83" t="str">
        <f t="shared" si="595"/>
        <v/>
      </c>
      <c r="U5460" s="83" t="str">
        <f t="shared" si="597"/>
        <v/>
      </c>
      <c r="V5460" s="83" t="str">
        <f t="shared" si="598"/>
        <v/>
      </c>
      <c r="AA5460" s="60">
        <f t="shared" si="599"/>
        <v>0</v>
      </c>
      <c r="AB5460" s="49">
        <f t="shared" si="600"/>
        <v>0</v>
      </c>
      <c r="AC5460" s="60">
        <f t="shared" si="601"/>
        <v>0</v>
      </c>
    </row>
    <row r="5461" spans="1:29">
      <c r="A5461" s="83" t="str">
        <f t="shared" si="596"/>
        <v/>
      </c>
      <c r="B5461" s="83" t="str">
        <f t="shared" si="595"/>
        <v/>
      </c>
      <c r="U5461" s="83" t="str">
        <f t="shared" si="597"/>
        <v/>
      </c>
      <c r="V5461" s="83" t="str">
        <f t="shared" si="598"/>
        <v/>
      </c>
      <c r="AA5461" s="60">
        <f t="shared" si="599"/>
        <v>0</v>
      </c>
      <c r="AB5461" s="49">
        <f t="shared" si="600"/>
        <v>0</v>
      </c>
      <c r="AC5461" s="60">
        <f t="shared" si="601"/>
        <v>0</v>
      </c>
    </row>
    <row r="5462" spans="1:29">
      <c r="A5462" s="83" t="str">
        <f t="shared" si="596"/>
        <v/>
      </c>
      <c r="B5462" s="83" t="str">
        <f t="shared" si="595"/>
        <v/>
      </c>
      <c r="U5462" s="83" t="str">
        <f t="shared" si="597"/>
        <v/>
      </c>
      <c r="V5462" s="83" t="str">
        <f t="shared" si="598"/>
        <v/>
      </c>
      <c r="AA5462" s="60">
        <f t="shared" si="599"/>
        <v>0</v>
      </c>
      <c r="AB5462" s="49">
        <f t="shared" si="600"/>
        <v>0</v>
      </c>
      <c r="AC5462" s="60">
        <f t="shared" si="601"/>
        <v>0</v>
      </c>
    </row>
    <row r="5463" spans="1:29">
      <c r="A5463" s="83" t="str">
        <f t="shared" si="596"/>
        <v/>
      </c>
      <c r="B5463" s="83" t="str">
        <f t="shared" si="595"/>
        <v/>
      </c>
      <c r="U5463" s="83" t="str">
        <f t="shared" si="597"/>
        <v/>
      </c>
      <c r="V5463" s="83" t="str">
        <f t="shared" si="598"/>
        <v/>
      </c>
      <c r="AA5463" s="60">
        <f t="shared" si="599"/>
        <v>0</v>
      </c>
      <c r="AB5463" s="49">
        <f t="shared" si="600"/>
        <v>0</v>
      </c>
      <c r="AC5463" s="60">
        <f t="shared" si="601"/>
        <v>0</v>
      </c>
    </row>
    <row r="5464" spans="1:29">
      <c r="A5464" s="83" t="str">
        <f t="shared" si="596"/>
        <v/>
      </c>
      <c r="B5464" s="83" t="str">
        <f t="shared" si="595"/>
        <v/>
      </c>
      <c r="U5464" s="83" t="str">
        <f t="shared" si="597"/>
        <v/>
      </c>
      <c r="V5464" s="83" t="str">
        <f t="shared" si="598"/>
        <v/>
      </c>
      <c r="AA5464" s="60">
        <f t="shared" si="599"/>
        <v>0</v>
      </c>
      <c r="AB5464" s="49">
        <f t="shared" si="600"/>
        <v>0</v>
      </c>
      <c r="AC5464" s="60">
        <f t="shared" si="601"/>
        <v>0</v>
      </c>
    </row>
    <row r="5465" spans="1:29">
      <c r="A5465" s="83" t="str">
        <f t="shared" si="596"/>
        <v/>
      </c>
      <c r="B5465" s="83" t="str">
        <f t="shared" si="595"/>
        <v/>
      </c>
      <c r="U5465" s="83" t="str">
        <f t="shared" si="597"/>
        <v/>
      </c>
      <c r="V5465" s="83" t="str">
        <f t="shared" si="598"/>
        <v/>
      </c>
      <c r="AA5465" s="60">
        <f t="shared" si="599"/>
        <v>0</v>
      </c>
      <c r="AB5465" s="49">
        <f t="shared" si="600"/>
        <v>0</v>
      </c>
      <c r="AC5465" s="60">
        <f t="shared" si="601"/>
        <v>0</v>
      </c>
    </row>
    <row r="5466" spans="1:29">
      <c r="A5466" s="83" t="str">
        <f t="shared" si="596"/>
        <v/>
      </c>
      <c r="B5466" s="83" t="str">
        <f t="shared" si="595"/>
        <v/>
      </c>
      <c r="U5466" s="83" t="str">
        <f t="shared" si="597"/>
        <v/>
      </c>
      <c r="V5466" s="83" t="str">
        <f t="shared" si="598"/>
        <v/>
      </c>
      <c r="AA5466" s="60">
        <f t="shared" si="599"/>
        <v>0</v>
      </c>
      <c r="AB5466" s="49">
        <f t="shared" si="600"/>
        <v>0</v>
      </c>
      <c r="AC5466" s="60">
        <f t="shared" si="601"/>
        <v>0</v>
      </c>
    </row>
    <row r="5467" spans="1:29">
      <c r="A5467" s="83" t="str">
        <f t="shared" si="596"/>
        <v/>
      </c>
      <c r="B5467" s="83" t="str">
        <f t="shared" si="595"/>
        <v/>
      </c>
      <c r="U5467" s="83" t="str">
        <f t="shared" si="597"/>
        <v/>
      </c>
      <c r="V5467" s="83" t="str">
        <f t="shared" si="598"/>
        <v/>
      </c>
      <c r="AA5467" s="60">
        <f t="shared" si="599"/>
        <v>0</v>
      </c>
      <c r="AB5467" s="49">
        <f t="shared" si="600"/>
        <v>0</v>
      </c>
      <c r="AC5467" s="60">
        <f t="shared" si="601"/>
        <v>0</v>
      </c>
    </row>
    <row r="5468" spans="1:29">
      <c r="A5468" s="83" t="str">
        <f t="shared" si="596"/>
        <v/>
      </c>
      <c r="B5468" s="83" t="str">
        <f t="shared" si="595"/>
        <v/>
      </c>
      <c r="U5468" s="83" t="str">
        <f t="shared" si="597"/>
        <v/>
      </c>
      <c r="V5468" s="83" t="str">
        <f t="shared" si="598"/>
        <v/>
      </c>
      <c r="AA5468" s="60">
        <f t="shared" si="599"/>
        <v>0</v>
      </c>
      <c r="AB5468" s="49">
        <f t="shared" si="600"/>
        <v>0</v>
      </c>
      <c r="AC5468" s="60">
        <f t="shared" si="601"/>
        <v>0</v>
      </c>
    </row>
    <row r="5469" spans="1:29">
      <c r="A5469" s="83" t="str">
        <f t="shared" si="596"/>
        <v/>
      </c>
      <c r="B5469" s="83" t="str">
        <f t="shared" si="595"/>
        <v/>
      </c>
      <c r="U5469" s="83" t="str">
        <f t="shared" si="597"/>
        <v/>
      </c>
      <c r="V5469" s="83" t="str">
        <f t="shared" si="598"/>
        <v/>
      </c>
      <c r="AA5469" s="60">
        <f t="shared" si="599"/>
        <v>0</v>
      </c>
      <c r="AB5469" s="49">
        <f t="shared" si="600"/>
        <v>0</v>
      </c>
      <c r="AC5469" s="60">
        <f t="shared" si="601"/>
        <v>0</v>
      </c>
    </row>
    <row r="5470" spans="1:29">
      <c r="A5470" s="83" t="str">
        <f t="shared" si="596"/>
        <v/>
      </c>
      <c r="B5470" s="83" t="str">
        <f t="shared" si="595"/>
        <v/>
      </c>
      <c r="U5470" s="83" t="str">
        <f t="shared" si="597"/>
        <v/>
      </c>
      <c r="V5470" s="83" t="str">
        <f t="shared" si="598"/>
        <v/>
      </c>
      <c r="AA5470" s="60">
        <f t="shared" si="599"/>
        <v>0</v>
      </c>
      <c r="AB5470" s="49">
        <f t="shared" si="600"/>
        <v>0</v>
      </c>
      <c r="AC5470" s="60">
        <f t="shared" si="601"/>
        <v>0</v>
      </c>
    </row>
    <row r="5471" spans="1:29">
      <c r="A5471" s="83" t="str">
        <f t="shared" si="596"/>
        <v/>
      </c>
      <c r="B5471" s="83" t="str">
        <f t="shared" si="595"/>
        <v/>
      </c>
      <c r="U5471" s="83" t="str">
        <f t="shared" si="597"/>
        <v/>
      </c>
      <c r="V5471" s="83" t="str">
        <f t="shared" si="598"/>
        <v/>
      </c>
      <c r="AA5471" s="60">
        <f t="shared" si="599"/>
        <v>0</v>
      </c>
      <c r="AB5471" s="49">
        <f t="shared" si="600"/>
        <v>0</v>
      </c>
      <c r="AC5471" s="60">
        <f t="shared" si="601"/>
        <v>0</v>
      </c>
    </row>
    <row r="5472" spans="1:29">
      <c r="A5472" s="83" t="str">
        <f t="shared" si="596"/>
        <v/>
      </c>
      <c r="B5472" s="83" t="str">
        <f t="shared" si="595"/>
        <v/>
      </c>
      <c r="U5472" s="83" t="str">
        <f t="shared" si="597"/>
        <v/>
      </c>
      <c r="V5472" s="83" t="str">
        <f t="shared" si="598"/>
        <v/>
      </c>
      <c r="AA5472" s="60">
        <f t="shared" si="599"/>
        <v>0</v>
      </c>
      <c r="AB5472" s="49">
        <f t="shared" si="600"/>
        <v>0</v>
      </c>
      <c r="AC5472" s="60">
        <f t="shared" si="601"/>
        <v>0</v>
      </c>
    </row>
    <row r="5473" spans="1:29">
      <c r="A5473" s="83" t="str">
        <f t="shared" si="596"/>
        <v/>
      </c>
      <c r="B5473" s="83" t="str">
        <f t="shared" ref="B5473:B5536" si="602">IF(C5473&lt;&gt;"",LEFT(C5473,9),"")</f>
        <v/>
      </c>
      <c r="U5473" s="83" t="str">
        <f t="shared" si="597"/>
        <v/>
      </c>
      <c r="V5473" s="83" t="str">
        <f t="shared" si="598"/>
        <v/>
      </c>
      <c r="AA5473" s="60">
        <f t="shared" si="599"/>
        <v>0</v>
      </c>
      <c r="AB5473" s="49">
        <f t="shared" si="600"/>
        <v>0</v>
      </c>
      <c r="AC5473" s="60">
        <f t="shared" si="601"/>
        <v>0</v>
      </c>
    </row>
    <row r="5474" spans="1:29">
      <c r="A5474" s="83" t="str">
        <f t="shared" si="596"/>
        <v/>
      </c>
      <c r="B5474" s="83" t="str">
        <f t="shared" si="602"/>
        <v/>
      </c>
      <c r="U5474" s="83" t="str">
        <f t="shared" si="597"/>
        <v/>
      </c>
      <c r="V5474" s="83" t="str">
        <f t="shared" si="598"/>
        <v/>
      </c>
      <c r="AA5474" s="60">
        <f t="shared" si="599"/>
        <v>0</v>
      </c>
      <c r="AB5474" s="49">
        <f t="shared" si="600"/>
        <v>0</v>
      </c>
      <c r="AC5474" s="60">
        <f t="shared" si="601"/>
        <v>0</v>
      </c>
    </row>
    <row r="5475" spans="1:29">
      <c r="A5475" s="83" t="str">
        <f t="shared" si="596"/>
        <v/>
      </c>
      <c r="B5475" s="83" t="str">
        <f t="shared" si="602"/>
        <v/>
      </c>
      <c r="U5475" s="83" t="str">
        <f t="shared" si="597"/>
        <v/>
      </c>
      <c r="V5475" s="83" t="str">
        <f t="shared" si="598"/>
        <v/>
      </c>
      <c r="AA5475" s="60">
        <f t="shared" si="599"/>
        <v>0</v>
      </c>
      <c r="AB5475" s="49">
        <f t="shared" si="600"/>
        <v>0</v>
      </c>
      <c r="AC5475" s="60">
        <f t="shared" si="601"/>
        <v>0</v>
      </c>
    </row>
    <row r="5476" spans="1:29">
      <c r="A5476" s="83" t="str">
        <f t="shared" si="596"/>
        <v/>
      </c>
      <c r="B5476" s="83" t="str">
        <f t="shared" si="602"/>
        <v/>
      </c>
      <c r="U5476" s="83" t="str">
        <f t="shared" si="597"/>
        <v/>
      </c>
      <c r="V5476" s="83" t="str">
        <f t="shared" si="598"/>
        <v/>
      </c>
      <c r="AA5476" s="60">
        <f t="shared" si="599"/>
        <v>0</v>
      </c>
      <c r="AB5476" s="49">
        <f t="shared" si="600"/>
        <v>0</v>
      </c>
      <c r="AC5476" s="60">
        <f t="shared" si="601"/>
        <v>0</v>
      </c>
    </row>
    <row r="5477" spans="1:29">
      <c r="A5477" s="83" t="str">
        <f t="shared" si="596"/>
        <v/>
      </c>
      <c r="B5477" s="83" t="str">
        <f t="shared" si="602"/>
        <v/>
      </c>
      <c r="U5477" s="83" t="str">
        <f t="shared" si="597"/>
        <v/>
      </c>
      <c r="V5477" s="83" t="str">
        <f t="shared" si="598"/>
        <v/>
      </c>
      <c r="AA5477" s="60">
        <f t="shared" si="599"/>
        <v>0</v>
      </c>
      <c r="AB5477" s="49">
        <f t="shared" si="600"/>
        <v>0</v>
      </c>
      <c r="AC5477" s="60">
        <f t="shared" si="601"/>
        <v>0</v>
      </c>
    </row>
    <row r="5478" spans="1:29">
      <c r="A5478" s="83" t="str">
        <f t="shared" si="596"/>
        <v/>
      </c>
      <c r="B5478" s="83" t="str">
        <f t="shared" si="602"/>
        <v/>
      </c>
      <c r="U5478" s="83" t="str">
        <f t="shared" si="597"/>
        <v/>
      </c>
      <c r="V5478" s="83" t="str">
        <f t="shared" si="598"/>
        <v/>
      </c>
      <c r="AA5478" s="60">
        <f t="shared" si="599"/>
        <v>0</v>
      </c>
      <c r="AB5478" s="49">
        <f t="shared" si="600"/>
        <v>0</v>
      </c>
      <c r="AC5478" s="60">
        <f t="shared" si="601"/>
        <v>0</v>
      </c>
    </row>
    <row r="5479" spans="1:29">
      <c r="A5479" s="83" t="str">
        <f t="shared" si="596"/>
        <v/>
      </c>
      <c r="B5479" s="83" t="str">
        <f t="shared" si="602"/>
        <v/>
      </c>
      <c r="U5479" s="83" t="str">
        <f t="shared" si="597"/>
        <v/>
      </c>
      <c r="V5479" s="83" t="str">
        <f t="shared" si="598"/>
        <v/>
      </c>
      <c r="AA5479" s="60">
        <f t="shared" si="599"/>
        <v>0</v>
      </c>
      <c r="AB5479" s="49">
        <f t="shared" si="600"/>
        <v>0</v>
      </c>
      <c r="AC5479" s="60">
        <f t="shared" si="601"/>
        <v>0</v>
      </c>
    </row>
    <row r="5480" spans="1:29">
      <c r="A5480" s="83" t="str">
        <f t="shared" si="596"/>
        <v/>
      </c>
      <c r="B5480" s="83" t="str">
        <f t="shared" si="602"/>
        <v/>
      </c>
      <c r="U5480" s="83" t="str">
        <f t="shared" si="597"/>
        <v/>
      </c>
      <c r="V5480" s="83" t="str">
        <f t="shared" si="598"/>
        <v/>
      </c>
      <c r="AA5480" s="60">
        <f t="shared" si="599"/>
        <v>0</v>
      </c>
      <c r="AB5480" s="49">
        <f t="shared" si="600"/>
        <v>0</v>
      </c>
      <c r="AC5480" s="60">
        <f t="shared" si="601"/>
        <v>0</v>
      </c>
    </row>
    <row r="5481" spans="1:29">
      <c r="A5481" s="83" t="str">
        <f t="shared" si="596"/>
        <v/>
      </c>
      <c r="B5481" s="83" t="str">
        <f t="shared" si="602"/>
        <v/>
      </c>
      <c r="U5481" s="83" t="str">
        <f t="shared" si="597"/>
        <v/>
      </c>
      <c r="V5481" s="83" t="str">
        <f t="shared" si="598"/>
        <v/>
      </c>
      <c r="AA5481" s="60">
        <f t="shared" si="599"/>
        <v>0</v>
      </c>
      <c r="AB5481" s="49">
        <f t="shared" si="600"/>
        <v>0</v>
      </c>
      <c r="AC5481" s="60">
        <f t="shared" si="601"/>
        <v>0</v>
      </c>
    </row>
    <row r="5482" spans="1:29">
      <c r="A5482" s="83" t="str">
        <f t="shared" si="596"/>
        <v/>
      </c>
      <c r="B5482" s="83" t="str">
        <f t="shared" si="602"/>
        <v/>
      </c>
      <c r="U5482" s="83" t="str">
        <f t="shared" si="597"/>
        <v/>
      </c>
      <c r="V5482" s="83" t="str">
        <f t="shared" si="598"/>
        <v/>
      </c>
      <c r="AA5482" s="60">
        <f t="shared" si="599"/>
        <v>0</v>
      </c>
      <c r="AB5482" s="49">
        <f t="shared" si="600"/>
        <v>0</v>
      </c>
      <c r="AC5482" s="60">
        <f t="shared" si="601"/>
        <v>0</v>
      </c>
    </row>
    <row r="5483" spans="1:29">
      <c r="A5483" s="83" t="str">
        <f t="shared" si="596"/>
        <v/>
      </c>
      <c r="B5483" s="83" t="str">
        <f t="shared" si="602"/>
        <v/>
      </c>
      <c r="U5483" s="83" t="str">
        <f t="shared" si="597"/>
        <v/>
      </c>
      <c r="V5483" s="83" t="str">
        <f t="shared" si="598"/>
        <v/>
      </c>
      <c r="AA5483" s="60">
        <f t="shared" si="599"/>
        <v>0</v>
      </c>
      <c r="AB5483" s="49">
        <f t="shared" si="600"/>
        <v>0</v>
      </c>
      <c r="AC5483" s="60">
        <f t="shared" si="601"/>
        <v>0</v>
      </c>
    </row>
    <row r="5484" spans="1:29">
      <c r="A5484" s="83" t="str">
        <f t="shared" si="596"/>
        <v/>
      </c>
      <c r="B5484" s="83" t="str">
        <f t="shared" si="602"/>
        <v/>
      </c>
      <c r="U5484" s="83" t="str">
        <f t="shared" si="597"/>
        <v/>
      </c>
      <c r="V5484" s="83" t="str">
        <f t="shared" si="598"/>
        <v/>
      </c>
      <c r="AA5484" s="60">
        <f t="shared" si="599"/>
        <v>0</v>
      </c>
      <c r="AB5484" s="49">
        <f t="shared" si="600"/>
        <v>0</v>
      </c>
      <c r="AC5484" s="60">
        <f t="shared" si="601"/>
        <v>0</v>
      </c>
    </row>
    <row r="5485" spans="1:29">
      <c r="A5485" s="83" t="str">
        <f t="shared" si="596"/>
        <v/>
      </c>
      <c r="B5485" s="83" t="str">
        <f t="shared" si="602"/>
        <v/>
      </c>
      <c r="U5485" s="83" t="str">
        <f t="shared" si="597"/>
        <v/>
      </c>
      <c r="V5485" s="83" t="str">
        <f t="shared" si="598"/>
        <v/>
      </c>
      <c r="AA5485" s="60">
        <f t="shared" si="599"/>
        <v>0</v>
      </c>
      <c r="AB5485" s="49">
        <f t="shared" si="600"/>
        <v>0</v>
      </c>
      <c r="AC5485" s="60">
        <f t="shared" si="601"/>
        <v>0</v>
      </c>
    </row>
    <row r="5486" spans="1:29">
      <c r="A5486" s="83" t="str">
        <f t="shared" si="596"/>
        <v/>
      </c>
      <c r="B5486" s="83" t="str">
        <f t="shared" si="602"/>
        <v/>
      </c>
      <c r="U5486" s="83" t="str">
        <f t="shared" si="597"/>
        <v/>
      </c>
      <c r="V5486" s="83" t="str">
        <f t="shared" si="598"/>
        <v/>
      </c>
      <c r="AA5486" s="60">
        <f t="shared" si="599"/>
        <v>0</v>
      </c>
      <c r="AB5486" s="49">
        <f t="shared" si="600"/>
        <v>0</v>
      </c>
      <c r="AC5486" s="60">
        <f t="shared" si="601"/>
        <v>0</v>
      </c>
    </row>
    <row r="5487" spans="1:29">
      <c r="A5487" s="83" t="str">
        <f t="shared" si="596"/>
        <v/>
      </c>
      <c r="B5487" s="83" t="str">
        <f t="shared" si="602"/>
        <v/>
      </c>
      <c r="U5487" s="83" t="str">
        <f t="shared" si="597"/>
        <v/>
      </c>
      <c r="V5487" s="83" t="str">
        <f t="shared" si="598"/>
        <v/>
      </c>
      <c r="AA5487" s="60">
        <f t="shared" si="599"/>
        <v>0</v>
      </c>
      <c r="AB5487" s="49">
        <f t="shared" si="600"/>
        <v>0</v>
      </c>
      <c r="AC5487" s="60">
        <f t="shared" si="601"/>
        <v>0</v>
      </c>
    </row>
    <row r="5488" spans="1:29">
      <c r="A5488" s="83" t="str">
        <f t="shared" si="596"/>
        <v/>
      </c>
      <c r="B5488" s="83" t="str">
        <f t="shared" si="602"/>
        <v/>
      </c>
      <c r="U5488" s="83" t="str">
        <f t="shared" si="597"/>
        <v/>
      </c>
      <c r="V5488" s="83" t="str">
        <f t="shared" si="598"/>
        <v/>
      </c>
      <c r="AA5488" s="60">
        <f t="shared" si="599"/>
        <v>0</v>
      </c>
      <c r="AB5488" s="49">
        <f t="shared" si="600"/>
        <v>0</v>
      </c>
      <c r="AC5488" s="60">
        <f t="shared" si="601"/>
        <v>0</v>
      </c>
    </row>
    <row r="5489" spans="1:29">
      <c r="A5489" s="83" t="str">
        <f t="shared" si="596"/>
        <v/>
      </c>
      <c r="B5489" s="83" t="str">
        <f t="shared" si="602"/>
        <v/>
      </c>
      <c r="U5489" s="83" t="str">
        <f t="shared" si="597"/>
        <v/>
      </c>
      <c r="V5489" s="83" t="str">
        <f t="shared" si="598"/>
        <v/>
      </c>
      <c r="AA5489" s="60">
        <f t="shared" si="599"/>
        <v>0</v>
      </c>
      <c r="AB5489" s="49">
        <f t="shared" si="600"/>
        <v>0</v>
      </c>
      <c r="AC5489" s="60">
        <f t="shared" si="601"/>
        <v>0</v>
      </c>
    </row>
    <row r="5490" spans="1:29">
      <c r="A5490" s="83" t="str">
        <f t="shared" si="596"/>
        <v/>
      </c>
      <c r="B5490" s="83" t="str">
        <f t="shared" si="602"/>
        <v/>
      </c>
      <c r="U5490" s="83" t="str">
        <f t="shared" si="597"/>
        <v/>
      </c>
      <c r="V5490" s="83" t="str">
        <f t="shared" si="598"/>
        <v/>
      </c>
      <c r="AA5490" s="60">
        <f t="shared" si="599"/>
        <v>0</v>
      </c>
      <c r="AB5490" s="49">
        <f t="shared" si="600"/>
        <v>0</v>
      </c>
      <c r="AC5490" s="60">
        <f t="shared" si="601"/>
        <v>0</v>
      </c>
    </row>
    <row r="5491" spans="1:29">
      <c r="A5491" s="83" t="str">
        <f t="shared" si="596"/>
        <v/>
      </c>
      <c r="B5491" s="83" t="str">
        <f t="shared" si="602"/>
        <v/>
      </c>
      <c r="U5491" s="83" t="str">
        <f t="shared" si="597"/>
        <v/>
      </c>
      <c r="V5491" s="83" t="str">
        <f t="shared" si="598"/>
        <v/>
      </c>
      <c r="AA5491" s="60">
        <f t="shared" si="599"/>
        <v>0</v>
      </c>
      <c r="AB5491" s="49">
        <f t="shared" si="600"/>
        <v>0</v>
      </c>
      <c r="AC5491" s="60">
        <f t="shared" si="601"/>
        <v>0</v>
      </c>
    </row>
    <row r="5492" spans="1:29">
      <c r="A5492" s="83" t="str">
        <f t="shared" si="596"/>
        <v/>
      </c>
      <c r="B5492" s="83" t="str">
        <f t="shared" si="602"/>
        <v/>
      </c>
      <c r="U5492" s="83" t="str">
        <f t="shared" si="597"/>
        <v/>
      </c>
      <c r="V5492" s="83" t="str">
        <f t="shared" si="598"/>
        <v/>
      </c>
      <c r="AA5492" s="60">
        <f t="shared" si="599"/>
        <v>0</v>
      </c>
      <c r="AB5492" s="49">
        <f t="shared" si="600"/>
        <v>0</v>
      </c>
      <c r="AC5492" s="60">
        <f t="shared" si="601"/>
        <v>0</v>
      </c>
    </row>
    <row r="5493" spans="1:29">
      <c r="A5493" s="83" t="str">
        <f t="shared" si="596"/>
        <v/>
      </c>
      <c r="B5493" s="83" t="str">
        <f t="shared" si="602"/>
        <v/>
      </c>
      <c r="U5493" s="83" t="str">
        <f t="shared" si="597"/>
        <v/>
      </c>
      <c r="V5493" s="83" t="str">
        <f t="shared" si="598"/>
        <v/>
      </c>
      <c r="AA5493" s="60">
        <f t="shared" si="599"/>
        <v>0</v>
      </c>
      <c r="AB5493" s="49">
        <f t="shared" si="600"/>
        <v>0</v>
      </c>
      <c r="AC5493" s="60">
        <f t="shared" si="601"/>
        <v>0</v>
      </c>
    </row>
    <row r="5494" spans="1:29">
      <c r="A5494" s="83" t="str">
        <f t="shared" si="596"/>
        <v/>
      </c>
      <c r="B5494" s="83" t="str">
        <f t="shared" si="602"/>
        <v/>
      </c>
      <c r="U5494" s="83" t="str">
        <f t="shared" si="597"/>
        <v/>
      </c>
      <c r="V5494" s="83" t="str">
        <f t="shared" si="598"/>
        <v/>
      </c>
      <c r="AA5494" s="60">
        <f t="shared" si="599"/>
        <v>0</v>
      </c>
      <c r="AB5494" s="49">
        <f t="shared" si="600"/>
        <v>0</v>
      </c>
      <c r="AC5494" s="60">
        <f t="shared" si="601"/>
        <v>0</v>
      </c>
    </row>
    <row r="5495" spans="1:29">
      <c r="A5495" s="83" t="str">
        <f t="shared" si="596"/>
        <v/>
      </c>
      <c r="B5495" s="83" t="str">
        <f t="shared" si="602"/>
        <v/>
      </c>
      <c r="U5495" s="83" t="str">
        <f t="shared" si="597"/>
        <v/>
      </c>
      <c r="V5495" s="83" t="str">
        <f t="shared" si="598"/>
        <v/>
      </c>
      <c r="AA5495" s="60">
        <f t="shared" si="599"/>
        <v>0</v>
      </c>
      <c r="AB5495" s="49">
        <f t="shared" si="600"/>
        <v>0</v>
      </c>
      <c r="AC5495" s="60">
        <f t="shared" si="601"/>
        <v>0</v>
      </c>
    </row>
    <row r="5496" spans="1:29">
      <c r="A5496" s="83" t="str">
        <f t="shared" si="596"/>
        <v/>
      </c>
      <c r="B5496" s="83" t="str">
        <f t="shared" si="602"/>
        <v/>
      </c>
      <c r="U5496" s="83" t="str">
        <f t="shared" si="597"/>
        <v/>
      </c>
      <c r="V5496" s="83" t="str">
        <f t="shared" si="598"/>
        <v/>
      </c>
      <c r="AA5496" s="60">
        <f t="shared" si="599"/>
        <v>0</v>
      </c>
      <c r="AB5496" s="49">
        <f t="shared" si="600"/>
        <v>0</v>
      </c>
      <c r="AC5496" s="60">
        <f t="shared" si="601"/>
        <v>0</v>
      </c>
    </row>
    <row r="5497" spans="1:29">
      <c r="A5497" s="83" t="str">
        <f t="shared" si="596"/>
        <v/>
      </c>
      <c r="B5497" s="83" t="str">
        <f t="shared" si="602"/>
        <v/>
      </c>
      <c r="U5497" s="83" t="str">
        <f t="shared" si="597"/>
        <v/>
      </c>
      <c r="V5497" s="83" t="str">
        <f t="shared" si="598"/>
        <v/>
      </c>
      <c r="AA5497" s="60">
        <f t="shared" si="599"/>
        <v>0</v>
      </c>
      <c r="AB5497" s="49">
        <f t="shared" si="600"/>
        <v>0</v>
      </c>
      <c r="AC5497" s="60">
        <f t="shared" si="601"/>
        <v>0</v>
      </c>
    </row>
    <row r="5498" spans="1:29">
      <c r="A5498" s="83" t="str">
        <f t="shared" si="596"/>
        <v/>
      </c>
      <c r="B5498" s="83" t="str">
        <f t="shared" si="602"/>
        <v/>
      </c>
      <c r="U5498" s="83" t="str">
        <f t="shared" si="597"/>
        <v/>
      </c>
      <c r="V5498" s="83" t="str">
        <f t="shared" si="598"/>
        <v/>
      </c>
      <c r="AA5498" s="60">
        <f t="shared" si="599"/>
        <v>0</v>
      </c>
      <c r="AB5498" s="49">
        <f t="shared" si="600"/>
        <v>0</v>
      </c>
      <c r="AC5498" s="60">
        <f t="shared" si="601"/>
        <v>0</v>
      </c>
    </row>
    <row r="5499" spans="1:29">
      <c r="A5499" s="83" t="str">
        <f t="shared" si="596"/>
        <v/>
      </c>
      <c r="B5499" s="83" t="str">
        <f t="shared" si="602"/>
        <v/>
      </c>
      <c r="U5499" s="83" t="str">
        <f t="shared" si="597"/>
        <v/>
      </c>
      <c r="V5499" s="83" t="str">
        <f t="shared" si="598"/>
        <v/>
      </c>
      <c r="AA5499" s="60">
        <f t="shared" si="599"/>
        <v>0</v>
      </c>
      <c r="AB5499" s="49">
        <f t="shared" si="600"/>
        <v>0</v>
      </c>
      <c r="AC5499" s="60">
        <f t="shared" si="601"/>
        <v>0</v>
      </c>
    </row>
    <row r="5500" spans="1:29">
      <c r="A5500" s="83" t="str">
        <f t="shared" si="596"/>
        <v/>
      </c>
      <c r="B5500" s="83" t="str">
        <f t="shared" si="602"/>
        <v/>
      </c>
      <c r="U5500" s="83" t="str">
        <f t="shared" si="597"/>
        <v/>
      </c>
      <c r="V5500" s="83" t="str">
        <f t="shared" si="598"/>
        <v/>
      </c>
      <c r="AA5500" s="60">
        <f t="shared" si="599"/>
        <v>0</v>
      </c>
      <c r="AB5500" s="49">
        <f t="shared" si="600"/>
        <v>0</v>
      </c>
      <c r="AC5500" s="60">
        <f t="shared" si="601"/>
        <v>0</v>
      </c>
    </row>
    <row r="5501" spans="1:29">
      <c r="A5501" s="83" t="str">
        <f t="shared" si="596"/>
        <v/>
      </c>
      <c r="B5501" s="83" t="str">
        <f t="shared" si="602"/>
        <v/>
      </c>
      <c r="U5501" s="83" t="str">
        <f t="shared" si="597"/>
        <v/>
      </c>
      <c r="V5501" s="83" t="str">
        <f t="shared" si="598"/>
        <v/>
      </c>
      <c r="AA5501" s="60">
        <f t="shared" si="599"/>
        <v>0</v>
      </c>
      <c r="AB5501" s="49">
        <f t="shared" si="600"/>
        <v>0</v>
      </c>
      <c r="AC5501" s="60">
        <f t="shared" si="601"/>
        <v>0</v>
      </c>
    </row>
    <row r="5502" spans="1:29">
      <c r="A5502" s="83" t="str">
        <f t="shared" si="596"/>
        <v/>
      </c>
      <c r="B5502" s="83" t="str">
        <f t="shared" si="602"/>
        <v/>
      </c>
      <c r="U5502" s="83" t="str">
        <f t="shared" si="597"/>
        <v/>
      </c>
      <c r="V5502" s="83" t="str">
        <f t="shared" si="598"/>
        <v/>
      </c>
      <c r="AA5502" s="60">
        <f t="shared" si="599"/>
        <v>0</v>
      </c>
      <c r="AB5502" s="49">
        <f t="shared" si="600"/>
        <v>0</v>
      </c>
      <c r="AC5502" s="60">
        <f t="shared" si="601"/>
        <v>0</v>
      </c>
    </row>
    <row r="5503" spans="1:29">
      <c r="A5503" s="83" t="str">
        <f t="shared" si="596"/>
        <v/>
      </c>
      <c r="B5503" s="83" t="str">
        <f t="shared" si="602"/>
        <v/>
      </c>
      <c r="U5503" s="83" t="str">
        <f t="shared" si="597"/>
        <v/>
      </c>
      <c r="V5503" s="83" t="str">
        <f t="shared" si="598"/>
        <v/>
      </c>
      <c r="AA5503" s="60">
        <f t="shared" si="599"/>
        <v>0</v>
      </c>
      <c r="AB5503" s="49">
        <f t="shared" si="600"/>
        <v>0</v>
      </c>
      <c r="AC5503" s="60">
        <f t="shared" si="601"/>
        <v>0</v>
      </c>
    </row>
    <row r="5504" spans="1:29">
      <c r="A5504" s="83" t="str">
        <f t="shared" si="596"/>
        <v/>
      </c>
      <c r="B5504" s="83" t="str">
        <f t="shared" si="602"/>
        <v/>
      </c>
      <c r="U5504" s="83" t="str">
        <f t="shared" si="597"/>
        <v/>
      </c>
      <c r="V5504" s="83" t="str">
        <f t="shared" si="598"/>
        <v/>
      </c>
      <c r="AA5504" s="60">
        <f t="shared" si="599"/>
        <v>0</v>
      </c>
      <c r="AB5504" s="49">
        <f t="shared" si="600"/>
        <v>0</v>
      </c>
      <c r="AC5504" s="60">
        <f t="shared" si="601"/>
        <v>0</v>
      </c>
    </row>
    <row r="5505" spans="1:29">
      <c r="A5505" s="83" t="str">
        <f t="shared" si="596"/>
        <v/>
      </c>
      <c r="B5505" s="83" t="str">
        <f t="shared" si="602"/>
        <v/>
      </c>
      <c r="U5505" s="83" t="str">
        <f t="shared" si="597"/>
        <v/>
      </c>
      <c r="V5505" s="83" t="str">
        <f t="shared" si="598"/>
        <v/>
      </c>
      <c r="AA5505" s="60">
        <f t="shared" si="599"/>
        <v>0</v>
      </c>
      <c r="AB5505" s="49">
        <f t="shared" si="600"/>
        <v>0</v>
      </c>
      <c r="AC5505" s="60">
        <f t="shared" si="601"/>
        <v>0</v>
      </c>
    </row>
    <row r="5506" spans="1:29">
      <c r="A5506" s="83" t="str">
        <f t="shared" si="596"/>
        <v/>
      </c>
      <c r="B5506" s="83" t="str">
        <f t="shared" si="602"/>
        <v/>
      </c>
      <c r="U5506" s="83" t="str">
        <f t="shared" si="597"/>
        <v/>
      </c>
      <c r="V5506" s="83" t="str">
        <f t="shared" si="598"/>
        <v/>
      </c>
      <c r="AA5506" s="60">
        <f t="shared" si="599"/>
        <v>0</v>
      </c>
      <c r="AB5506" s="49">
        <f t="shared" si="600"/>
        <v>0</v>
      </c>
      <c r="AC5506" s="60">
        <f t="shared" si="601"/>
        <v>0</v>
      </c>
    </row>
    <row r="5507" spans="1:29">
      <c r="A5507" s="83" t="str">
        <f t="shared" ref="A5507:A5570" si="603">IF(G5507&amp;Q5507&lt;&gt;"",U5507&amp;Q5507,"")</f>
        <v/>
      </c>
      <c r="B5507" s="83" t="str">
        <f t="shared" si="602"/>
        <v/>
      </c>
      <c r="U5507" s="83" t="str">
        <f t="shared" ref="U5507:U5570" si="604">IF(G5507&lt;&gt;"",IF(StyleSpaceSplit,IFERROR(IF(FIND(" ",G5507)&gt;=1,MID(G5507,1,FIND(" ",G5507)-1),G5507),G5507),G5507),"")</f>
        <v/>
      </c>
      <c r="V5507" s="83" t="str">
        <f t="shared" ref="V5507:V5570" si="605">IF(A5507&lt;&gt;"",IFERROR(IF(FIND(" ",G5507)&gt;=1,MID(G5507,FIND(" ",G5507)+1,LEN(G5507)),""),G5507),"")</f>
        <v/>
      </c>
      <c r="AA5507" s="60">
        <f t="shared" ref="AA5507:AA5570" si="606">IFERROR(VALUE(MID($C5507,1,2)),0)</f>
        <v>0</v>
      </c>
      <c r="AB5507" s="49">
        <f t="shared" ref="AB5507:AB5570" si="607">IFERROR(VALUE(MID($C5507,4,3)),0)</f>
        <v>0</v>
      </c>
      <c r="AC5507" s="60">
        <f t="shared" ref="AC5507:AC5570" si="608">VALUE(RIGHT("00"&amp;AA5507,2)&amp;RIGHT("000"&amp;AB5507,3))</f>
        <v>0</v>
      </c>
    </row>
    <row r="5508" spans="1:29">
      <c r="A5508" s="83" t="str">
        <f t="shared" si="603"/>
        <v/>
      </c>
      <c r="B5508" s="83" t="str">
        <f t="shared" si="602"/>
        <v/>
      </c>
      <c r="U5508" s="83" t="str">
        <f t="shared" si="604"/>
        <v/>
      </c>
      <c r="V5508" s="83" t="str">
        <f t="shared" si="605"/>
        <v/>
      </c>
      <c r="AA5508" s="60">
        <f t="shared" si="606"/>
        <v>0</v>
      </c>
      <c r="AB5508" s="49">
        <f t="shared" si="607"/>
        <v>0</v>
      </c>
      <c r="AC5508" s="60">
        <f t="shared" si="608"/>
        <v>0</v>
      </c>
    </row>
    <row r="5509" spans="1:29">
      <c r="A5509" s="83" t="str">
        <f t="shared" si="603"/>
        <v/>
      </c>
      <c r="B5509" s="83" t="str">
        <f t="shared" si="602"/>
        <v/>
      </c>
      <c r="U5509" s="83" t="str">
        <f t="shared" si="604"/>
        <v/>
      </c>
      <c r="V5509" s="83" t="str">
        <f t="shared" si="605"/>
        <v/>
      </c>
      <c r="AA5509" s="60">
        <f t="shared" si="606"/>
        <v>0</v>
      </c>
      <c r="AB5509" s="49">
        <f t="shared" si="607"/>
        <v>0</v>
      </c>
      <c r="AC5509" s="60">
        <f t="shared" si="608"/>
        <v>0</v>
      </c>
    </row>
    <row r="5510" spans="1:29">
      <c r="A5510" s="83" t="str">
        <f t="shared" si="603"/>
        <v/>
      </c>
      <c r="B5510" s="83" t="str">
        <f t="shared" si="602"/>
        <v/>
      </c>
      <c r="U5510" s="83" t="str">
        <f t="shared" si="604"/>
        <v/>
      </c>
      <c r="V5510" s="83" t="str">
        <f t="shared" si="605"/>
        <v/>
      </c>
      <c r="AA5510" s="60">
        <f t="shared" si="606"/>
        <v>0</v>
      </c>
      <c r="AB5510" s="49">
        <f t="shared" si="607"/>
        <v>0</v>
      </c>
      <c r="AC5510" s="60">
        <f t="shared" si="608"/>
        <v>0</v>
      </c>
    </row>
    <row r="5511" spans="1:29">
      <c r="A5511" s="83" t="str">
        <f t="shared" si="603"/>
        <v/>
      </c>
      <c r="B5511" s="83" t="str">
        <f t="shared" si="602"/>
        <v/>
      </c>
      <c r="U5511" s="83" t="str">
        <f t="shared" si="604"/>
        <v/>
      </c>
      <c r="V5511" s="83" t="str">
        <f t="shared" si="605"/>
        <v/>
      </c>
      <c r="AA5511" s="60">
        <f t="shared" si="606"/>
        <v>0</v>
      </c>
      <c r="AB5511" s="49">
        <f t="shared" si="607"/>
        <v>0</v>
      </c>
      <c r="AC5511" s="60">
        <f t="shared" si="608"/>
        <v>0</v>
      </c>
    </row>
    <row r="5512" spans="1:29">
      <c r="A5512" s="83" t="str">
        <f t="shared" si="603"/>
        <v/>
      </c>
      <c r="B5512" s="83" t="str">
        <f t="shared" si="602"/>
        <v/>
      </c>
      <c r="U5512" s="83" t="str">
        <f t="shared" si="604"/>
        <v/>
      </c>
      <c r="V5512" s="83" t="str">
        <f t="shared" si="605"/>
        <v/>
      </c>
      <c r="AA5512" s="60">
        <f t="shared" si="606"/>
        <v>0</v>
      </c>
      <c r="AB5512" s="49">
        <f t="shared" si="607"/>
        <v>0</v>
      </c>
      <c r="AC5512" s="60">
        <f t="shared" si="608"/>
        <v>0</v>
      </c>
    </row>
    <row r="5513" spans="1:29">
      <c r="A5513" s="83" t="str">
        <f t="shared" si="603"/>
        <v/>
      </c>
      <c r="B5513" s="83" t="str">
        <f t="shared" si="602"/>
        <v/>
      </c>
      <c r="U5513" s="83" t="str">
        <f t="shared" si="604"/>
        <v/>
      </c>
      <c r="V5513" s="83" t="str">
        <f t="shared" si="605"/>
        <v/>
      </c>
      <c r="AA5513" s="60">
        <f t="shared" si="606"/>
        <v>0</v>
      </c>
      <c r="AB5513" s="49">
        <f t="shared" si="607"/>
        <v>0</v>
      </c>
      <c r="AC5513" s="60">
        <f t="shared" si="608"/>
        <v>0</v>
      </c>
    </row>
    <row r="5514" spans="1:29">
      <c r="A5514" s="83" t="str">
        <f t="shared" si="603"/>
        <v/>
      </c>
      <c r="B5514" s="83" t="str">
        <f t="shared" si="602"/>
        <v/>
      </c>
      <c r="U5514" s="83" t="str">
        <f t="shared" si="604"/>
        <v/>
      </c>
      <c r="V5514" s="83" t="str">
        <f t="shared" si="605"/>
        <v/>
      </c>
      <c r="AA5514" s="60">
        <f t="shared" si="606"/>
        <v>0</v>
      </c>
      <c r="AB5514" s="49">
        <f t="shared" si="607"/>
        <v>0</v>
      </c>
      <c r="AC5514" s="60">
        <f t="shared" si="608"/>
        <v>0</v>
      </c>
    </row>
    <row r="5515" spans="1:29">
      <c r="A5515" s="83" t="str">
        <f t="shared" si="603"/>
        <v/>
      </c>
      <c r="B5515" s="83" t="str">
        <f t="shared" si="602"/>
        <v/>
      </c>
      <c r="U5515" s="83" t="str">
        <f t="shared" si="604"/>
        <v/>
      </c>
      <c r="V5515" s="83" t="str">
        <f t="shared" si="605"/>
        <v/>
      </c>
      <c r="AA5515" s="60">
        <f t="shared" si="606"/>
        <v>0</v>
      </c>
      <c r="AB5515" s="49">
        <f t="shared" si="607"/>
        <v>0</v>
      </c>
      <c r="AC5515" s="60">
        <f t="shared" si="608"/>
        <v>0</v>
      </c>
    </row>
    <row r="5516" spans="1:29">
      <c r="A5516" s="83" t="str">
        <f t="shared" si="603"/>
        <v/>
      </c>
      <c r="B5516" s="83" t="str">
        <f t="shared" si="602"/>
        <v/>
      </c>
      <c r="U5516" s="83" t="str">
        <f t="shared" si="604"/>
        <v/>
      </c>
      <c r="V5516" s="83" t="str">
        <f t="shared" si="605"/>
        <v/>
      </c>
      <c r="AA5516" s="60">
        <f t="shared" si="606"/>
        <v>0</v>
      </c>
      <c r="AB5516" s="49">
        <f t="shared" si="607"/>
        <v>0</v>
      </c>
      <c r="AC5516" s="60">
        <f t="shared" si="608"/>
        <v>0</v>
      </c>
    </row>
    <row r="5517" spans="1:29">
      <c r="A5517" s="83" t="str">
        <f t="shared" si="603"/>
        <v/>
      </c>
      <c r="B5517" s="83" t="str">
        <f t="shared" si="602"/>
        <v/>
      </c>
      <c r="U5517" s="83" t="str">
        <f t="shared" si="604"/>
        <v/>
      </c>
      <c r="V5517" s="83" t="str">
        <f t="shared" si="605"/>
        <v/>
      </c>
      <c r="AA5517" s="60">
        <f t="shared" si="606"/>
        <v>0</v>
      </c>
      <c r="AB5517" s="49">
        <f t="shared" si="607"/>
        <v>0</v>
      </c>
      <c r="AC5517" s="60">
        <f t="shared" si="608"/>
        <v>0</v>
      </c>
    </row>
    <row r="5518" spans="1:29">
      <c r="A5518" s="83" t="str">
        <f t="shared" si="603"/>
        <v/>
      </c>
      <c r="B5518" s="83" t="str">
        <f t="shared" si="602"/>
        <v/>
      </c>
      <c r="U5518" s="83" t="str">
        <f t="shared" si="604"/>
        <v/>
      </c>
      <c r="V5518" s="83" t="str">
        <f t="shared" si="605"/>
        <v/>
      </c>
      <c r="AA5518" s="60">
        <f t="shared" si="606"/>
        <v>0</v>
      </c>
      <c r="AB5518" s="49">
        <f t="shared" si="607"/>
        <v>0</v>
      </c>
      <c r="AC5518" s="60">
        <f t="shared" si="608"/>
        <v>0</v>
      </c>
    </row>
    <row r="5519" spans="1:29">
      <c r="A5519" s="83" t="str">
        <f t="shared" si="603"/>
        <v/>
      </c>
      <c r="B5519" s="83" t="str">
        <f t="shared" si="602"/>
        <v/>
      </c>
      <c r="U5519" s="83" t="str">
        <f t="shared" si="604"/>
        <v/>
      </c>
      <c r="V5519" s="83" t="str">
        <f t="shared" si="605"/>
        <v/>
      </c>
      <c r="AA5519" s="60">
        <f t="shared" si="606"/>
        <v>0</v>
      </c>
      <c r="AB5519" s="49">
        <f t="shared" si="607"/>
        <v>0</v>
      </c>
      <c r="AC5519" s="60">
        <f t="shared" si="608"/>
        <v>0</v>
      </c>
    </row>
    <row r="5520" spans="1:29">
      <c r="A5520" s="83" t="str">
        <f t="shared" si="603"/>
        <v/>
      </c>
      <c r="B5520" s="83" t="str">
        <f t="shared" si="602"/>
        <v/>
      </c>
      <c r="U5520" s="83" t="str">
        <f t="shared" si="604"/>
        <v/>
      </c>
      <c r="V5520" s="83" t="str">
        <f t="shared" si="605"/>
        <v/>
      </c>
      <c r="AA5520" s="60">
        <f t="shared" si="606"/>
        <v>0</v>
      </c>
      <c r="AB5520" s="49">
        <f t="shared" si="607"/>
        <v>0</v>
      </c>
      <c r="AC5520" s="60">
        <f t="shared" si="608"/>
        <v>0</v>
      </c>
    </row>
    <row r="5521" spans="1:29">
      <c r="A5521" s="83" t="str">
        <f t="shared" si="603"/>
        <v/>
      </c>
      <c r="B5521" s="83" t="str">
        <f t="shared" si="602"/>
        <v/>
      </c>
      <c r="U5521" s="83" t="str">
        <f t="shared" si="604"/>
        <v/>
      </c>
      <c r="V5521" s="83" t="str">
        <f t="shared" si="605"/>
        <v/>
      </c>
      <c r="AA5521" s="60">
        <f t="shared" si="606"/>
        <v>0</v>
      </c>
      <c r="AB5521" s="49">
        <f t="shared" si="607"/>
        <v>0</v>
      </c>
      <c r="AC5521" s="60">
        <f t="shared" si="608"/>
        <v>0</v>
      </c>
    </row>
    <row r="5522" spans="1:29">
      <c r="A5522" s="83" t="str">
        <f t="shared" si="603"/>
        <v/>
      </c>
      <c r="B5522" s="83" t="str">
        <f t="shared" si="602"/>
        <v/>
      </c>
      <c r="U5522" s="83" t="str">
        <f t="shared" si="604"/>
        <v/>
      </c>
      <c r="V5522" s="83" t="str">
        <f t="shared" si="605"/>
        <v/>
      </c>
      <c r="AA5522" s="60">
        <f t="shared" si="606"/>
        <v>0</v>
      </c>
      <c r="AB5522" s="49">
        <f t="shared" si="607"/>
        <v>0</v>
      </c>
      <c r="AC5522" s="60">
        <f t="shared" si="608"/>
        <v>0</v>
      </c>
    </row>
    <row r="5523" spans="1:29">
      <c r="A5523" s="83" t="str">
        <f t="shared" si="603"/>
        <v/>
      </c>
      <c r="B5523" s="83" t="str">
        <f t="shared" si="602"/>
        <v/>
      </c>
      <c r="U5523" s="83" t="str">
        <f t="shared" si="604"/>
        <v/>
      </c>
      <c r="V5523" s="83" t="str">
        <f t="shared" si="605"/>
        <v/>
      </c>
      <c r="AA5523" s="60">
        <f t="shared" si="606"/>
        <v>0</v>
      </c>
      <c r="AB5523" s="49">
        <f t="shared" si="607"/>
        <v>0</v>
      </c>
      <c r="AC5523" s="60">
        <f t="shared" si="608"/>
        <v>0</v>
      </c>
    </row>
    <row r="5524" spans="1:29">
      <c r="A5524" s="83" t="str">
        <f t="shared" si="603"/>
        <v/>
      </c>
      <c r="B5524" s="83" t="str">
        <f t="shared" si="602"/>
        <v/>
      </c>
      <c r="U5524" s="83" t="str">
        <f t="shared" si="604"/>
        <v/>
      </c>
      <c r="V5524" s="83" t="str">
        <f t="shared" si="605"/>
        <v/>
      </c>
      <c r="AA5524" s="60">
        <f t="shared" si="606"/>
        <v>0</v>
      </c>
      <c r="AB5524" s="49">
        <f t="shared" si="607"/>
        <v>0</v>
      </c>
      <c r="AC5524" s="60">
        <f t="shared" si="608"/>
        <v>0</v>
      </c>
    </row>
    <row r="5525" spans="1:29">
      <c r="A5525" s="83" t="str">
        <f t="shared" si="603"/>
        <v/>
      </c>
      <c r="B5525" s="83" t="str">
        <f t="shared" si="602"/>
        <v/>
      </c>
      <c r="U5525" s="83" t="str">
        <f t="shared" si="604"/>
        <v/>
      </c>
      <c r="V5525" s="83" t="str">
        <f t="shared" si="605"/>
        <v/>
      </c>
      <c r="AA5525" s="60">
        <f t="shared" si="606"/>
        <v>0</v>
      </c>
      <c r="AB5525" s="49">
        <f t="shared" si="607"/>
        <v>0</v>
      </c>
      <c r="AC5525" s="60">
        <f t="shared" si="608"/>
        <v>0</v>
      </c>
    </row>
    <row r="5526" spans="1:29">
      <c r="A5526" s="83" t="str">
        <f t="shared" si="603"/>
        <v/>
      </c>
      <c r="B5526" s="83" t="str">
        <f t="shared" si="602"/>
        <v/>
      </c>
      <c r="U5526" s="83" t="str">
        <f t="shared" si="604"/>
        <v/>
      </c>
      <c r="V5526" s="83" t="str">
        <f t="shared" si="605"/>
        <v/>
      </c>
      <c r="AA5526" s="60">
        <f t="shared" si="606"/>
        <v>0</v>
      </c>
      <c r="AB5526" s="49">
        <f t="shared" si="607"/>
        <v>0</v>
      </c>
      <c r="AC5526" s="60">
        <f t="shared" si="608"/>
        <v>0</v>
      </c>
    </row>
    <row r="5527" spans="1:29">
      <c r="A5527" s="83" t="str">
        <f t="shared" si="603"/>
        <v/>
      </c>
      <c r="B5527" s="83" t="str">
        <f t="shared" si="602"/>
        <v/>
      </c>
      <c r="U5527" s="83" t="str">
        <f t="shared" si="604"/>
        <v/>
      </c>
      <c r="V5527" s="83" t="str">
        <f t="shared" si="605"/>
        <v/>
      </c>
      <c r="AA5527" s="60">
        <f t="shared" si="606"/>
        <v>0</v>
      </c>
      <c r="AB5527" s="49">
        <f t="shared" si="607"/>
        <v>0</v>
      </c>
      <c r="AC5527" s="60">
        <f t="shared" si="608"/>
        <v>0</v>
      </c>
    </row>
    <row r="5528" spans="1:29">
      <c r="A5528" s="83" t="str">
        <f t="shared" si="603"/>
        <v/>
      </c>
      <c r="B5528" s="83" t="str">
        <f t="shared" si="602"/>
        <v/>
      </c>
      <c r="U5528" s="83" t="str">
        <f t="shared" si="604"/>
        <v/>
      </c>
      <c r="V5528" s="83" t="str">
        <f t="shared" si="605"/>
        <v/>
      </c>
      <c r="AA5528" s="60">
        <f t="shared" si="606"/>
        <v>0</v>
      </c>
      <c r="AB5528" s="49">
        <f t="shared" si="607"/>
        <v>0</v>
      </c>
      <c r="AC5528" s="60">
        <f t="shared" si="608"/>
        <v>0</v>
      </c>
    </row>
    <row r="5529" spans="1:29">
      <c r="A5529" s="83" t="str">
        <f t="shared" si="603"/>
        <v/>
      </c>
      <c r="B5529" s="83" t="str">
        <f t="shared" si="602"/>
        <v/>
      </c>
      <c r="U5529" s="83" t="str">
        <f t="shared" si="604"/>
        <v/>
      </c>
      <c r="V5529" s="83" t="str">
        <f t="shared" si="605"/>
        <v/>
      </c>
      <c r="AA5529" s="60">
        <f t="shared" si="606"/>
        <v>0</v>
      </c>
      <c r="AB5529" s="49">
        <f t="shared" si="607"/>
        <v>0</v>
      </c>
      <c r="AC5529" s="60">
        <f t="shared" si="608"/>
        <v>0</v>
      </c>
    </row>
    <row r="5530" spans="1:29">
      <c r="A5530" s="83" t="str">
        <f t="shared" si="603"/>
        <v/>
      </c>
      <c r="B5530" s="83" t="str">
        <f t="shared" si="602"/>
        <v/>
      </c>
      <c r="U5530" s="83" t="str">
        <f t="shared" si="604"/>
        <v/>
      </c>
      <c r="V5530" s="83" t="str">
        <f t="shared" si="605"/>
        <v/>
      </c>
      <c r="AA5530" s="60">
        <f t="shared" si="606"/>
        <v>0</v>
      </c>
      <c r="AB5530" s="49">
        <f t="shared" si="607"/>
        <v>0</v>
      </c>
      <c r="AC5530" s="60">
        <f t="shared" si="608"/>
        <v>0</v>
      </c>
    </row>
    <row r="5531" spans="1:29">
      <c r="A5531" s="83" t="str">
        <f t="shared" si="603"/>
        <v/>
      </c>
      <c r="B5531" s="83" t="str">
        <f t="shared" si="602"/>
        <v/>
      </c>
      <c r="U5531" s="83" t="str">
        <f t="shared" si="604"/>
        <v/>
      </c>
      <c r="V5531" s="83" t="str">
        <f t="shared" si="605"/>
        <v/>
      </c>
      <c r="AA5531" s="60">
        <f t="shared" si="606"/>
        <v>0</v>
      </c>
      <c r="AB5531" s="49">
        <f t="shared" si="607"/>
        <v>0</v>
      </c>
      <c r="AC5531" s="60">
        <f t="shared" si="608"/>
        <v>0</v>
      </c>
    </row>
    <row r="5532" spans="1:29">
      <c r="A5532" s="83" t="str">
        <f t="shared" si="603"/>
        <v/>
      </c>
      <c r="B5532" s="83" t="str">
        <f t="shared" si="602"/>
        <v/>
      </c>
      <c r="U5532" s="83" t="str">
        <f t="shared" si="604"/>
        <v/>
      </c>
      <c r="V5532" s="83" t="str">
        <f t="shared" si="605"/>
        <v/>
      </c>
      <c r="AA5532" s="60">
        <f t="shared" si="606"/>
        <v>0</v>
      </c>
      <c r="AB5532" s="49">
        <f t="shared" si="607"/>
        <v>0</v>
      </c>
      <c r="AC5532" s="60">
        <f t="shared" si="608"/>
        <v>0</v>
      </c>
    </row>
    <row r="5533" spans="1:29">
      <c r="A5533" s="83" t="str">
        <f t="shared" si="603"/>
        <v/>
      </c>
      <c r="B5533" s="83" t="str">
        <f t="shared" si="602"/>
        <v/>
      </c>
      <c r="U5533" s="83" t="str">
        <f t="shared" si="604"/>
        <v/>
      </c>
      <c r="V5533" s="83" t="str">
        <f t="shared" si="605"/>
        <v/>
      </c>
      <c r="AA5533" s="60">
        <f t="shared" si="606"/>
        <v>0</v>
      </c>
      <c r="AB5533" s="49">
        <f t="shared" si="607"/>
        <v>0</v>
      </c>
      <c r="AC5533" s="60">
        <f t="shared" si="608"/>
        <v>0</v>
      </c>
    </row>
    <row r="5534" spans="1:29">
      <c r="A5534" s="83" t="str">
        <f t="shared" si="603"/>
        <v/>
      </c>
      <c r="B5534" s="83" t="str">
        <f t="shared" si="602"/>
        <v/>
      </c>
      <c r="U5534" s="83" t="str">
        <f t="shared" si="604"/>
        <v/>
      </c>
      <c r="V5534" s="83" t="str">
        <f t="shared" si="605"/>
        <v/>
      </c>
      <c r="AA5534" s="60">
        <f t="shared" si="606"/>
        <v>0</v>
      </c>
      <c r="AB5534" s="49">
        <f t="shared" si="607"/>
        <v>0</v>
      </c>
      <c r="AC5534" s="60">
        <f t="shared" si="608"/>
        <v>0</v>
      </c>
    </row>
    <row r="5535" spans="1:29">
      <c r="A5535" s="83" t="str">
        <f t="shared" si="603"/>
        <v/>
      </c>
      <c r="B5535" s="83" t="str">
        <f t="shared" si="602"/>
        <v/>
      </c>
      <c r="U5535" s="83" t="str">
        <f t="shared" si="604"/>
        <v/>
      </c>
      <c r="V5535" s="83" t="str">
        <f t="shared" si="605"/>
        <v/>
      </c>
      <c r="AA5535" s="60">
        <f t="shared" si="606"/>
        <v>0</v>
      </c>
      <c r="AB5535" s="49">
        <f t="shared" si="607"/>
        <v>0</v>
      </c>
      <c r="AC5535" s="60">
        <f t="shared" si="608"/>
        <v>0</v>
      </c>
    </row>
    <row r="5536" spans="1:29">
      <c r="A5536" s="83" t="str">
        <f t="shared" si="603"/>
        <v/>
      </c>
      <c r="B5536" s="83" t="str">
        <f t="shared" si="602"/>
        <v/>
      </c>
      <c r="U5536" s="83" t="str">
        <f t="shared" si="604"/>
        <v/>
      </c>
      <c r="V5536" s="83" t="str">
        <f t="shared" si="605"/>
        <v/>
      </c>
      <c r="AA5536" s="60">
        <f t="shared" si="606"/>
        <v>0</v>
      </c>
      <c r="AB5536" s="49">
        <f t="shared" si="607"/>
        <v>0</v>
      </c>
      <c r="AC5536" s="60">
        <f t="shared" si="608"/>
        <v>0</v>
      </c>
    </row>
    <row r="5537" spans="1:29">
      <c r="A5537" s="83" t="str">
        <f t="shared" si="603"/>
        <v/>
      </c>
      <c r="B5537" s="83" t="str">
        <f t="shared" ref="B5537:B5600" si="609">IF(C5537&lt;&gt;"",LEFT(C5537,9),"")</f>
        <v/>
      </c>
      <c r="U5537" s="83" t="str">
        <f t="shared" si="604"/>
        <v/>
      </c>
      <c r="V5537" s="83" t="str">
        <f t="shared" si="605"/>
        <v/>
      </c>
      <c r="AA5537" s="60">
        <f t="shared" si="606"/>
        <v>0</v>
      </c>
      <c r="AB5537" s="49">
        <f t="shared" si="607"/>
        <v>0</v>
      </c>
      <c r="AC5537" s="60">
        <f t="shared" si="608"/>
        <v>0</v>
      </c>
    </row>
    <row r="5538" spans="1:29">
      <c r="A5538" s="83" t="str">
        <f t="shared" si="603"/>
        <v/>
      </c>
      <c r="B5538" s="83" t="str">
        <f t="shared" si="609"/>
        <v/>
      </c>
      <c r="U5538" s="83" t="str">
        <f t="shared" si="604"/>
        <v/>
      </c>
      <c r="V5538" s="83" t="str">
        <f t="shared" si="605"/>
        <v/>
      </c>
      <c r="AA5538" s="60">
        <f t="shared" si="606"/>
        <v>0</v>
      </c>
      <c r="AB5538" s="49">
        <f t="shared" si="607"/>
        <v>0</v>
      </c>
      <c r="AC5538" s="60">
        <f t="shared" si="608"/>
        <v>0</v>
      </c>
    </row>
    <row r="5539" spans="1:29">
      <c r="A5539" s="83" t="str">
        <f t="shared" si="603"/>
        <v/>
      </c>
      <c r="B5539" s="83" t="str">
        <f t="shared" si="609"/>
        <v/>
      </c>
      <c r="U5539" s="83" t="str">
        <f t="shared" si="604"/>
        <v/>
      </c>
      <c r="V5539" s="83" t="str">
        <f t="shared" si="605"/>
        <v/>
      </c>
      <c r="AA5539" s="60">
        <f t="shared" si="606"/>
        <v>0</v>
      </c>
      <c r="AB5539" s="49">
        <f t="shared" si="607"/>
        <v>0</v>
      </c>
      <c r="AC5539" s="60">
        <f t="shared" si="608"/>
        <v>0</v>
      </c>
    </row>
    <row r="5540" spans="1:29">
      <c r="A5540" s="83" t="str">
        <f t="shared" si="603"/>
        <v/>
      </c>
      <c r="B5540" s="83" t="str">
        <f t="shared" si="609"/>
        <v/>
      </c>
      <c r="U5540" s="83" t="str">
        <f t="shared" si="604"/>
        <v/>
      </c>
      <c r="V5540" s="83" t="str">
        <f t="shared" si="605"/>
        <v/>
      </c>
      <c r="AA5540" s="60">
        <f t="shared" si="606"/>
        <v>0</v>
      </c>
      <c r="AB5540" s="49">
        <f t="shared" si="607"/>
        <v>0</v>
      </c>
      <c r="AC5540" s="60">
        <f t="shared" si="608"/>
        <v>0</v>
      </c>
    </row>
    <row r="5541" spans="1:29">
      <c r="A5541" s="83" t="str">
        <f t="shared" si="603"/>
        <v/>
      </c>
      <c r="B5541" s="83" t="str">
        <f t="shared" si="609"/>
        <v/>
      </c>
      <c r="U5541" s="83" t="str">
        <f t="shared" si="604"/>
        <v/>
      </c>
      <c r="V5541" s="83" t="str">
        <f t="shared" si="605"/>
        <v/>
      </c>
      <c r="AA5541" s="60">
        <f t="shared" si="606"/>
        <v>0</v>
      </c>
      <c r="AB5541" s="49">
        <f t="shared" si="607"/>
        <v>0</v>
      </c>
      <c r="AC5541" s="60">
        <f t="shared" si="608"/>
        <v>0</v>
      </c>
    </row>
    <row r="5542" spans="1:29">
      <c r="A5542" s="83" t="str">
        <f t="shared" si="603"/>
        <v/>
      </c>
      <c r="B5542" s="83" t="str">
        <f t="shared" si="609"/>
        <v/>
      </c>
      <c r="U5542" s="83" t="str">
        <f t="shared" si="604"/>
        <v/>
      </c>
      <c r="V5542" s="83" t="str">
        <f t="shared" si="605"/>
        <v/>
      </c>
      <c r="AA5542" s="60">
        <f t="shared" si="606"/>
        <v>0</v>
      </c>
      <c r="AB5542" s="49">
        <f t="shared" si="607"/>
        <v>0</v>
      </c>
      <c r="AC5542" s="60">
        <f t="shared" si="608"/>
        <v>0</v>
      </c>
    </row>
    <row r="5543" spans="1:29">
      <c r="A5543" s="83" t="str">
        <f t="shared" si="603"/>
        <v/>
      </c>
      <c r="B5543" s="83" t="str">
        <f t="shared" si="609"/>
        <v/>
      </c>
      <c r="U5543" s="83" t="str">
        <f t="shared" si="604"/>
        <v/>
      </c>
      <c r="V5543" s="83" t="str">
        <f t="shared" si="605"/>
        <v/>
      </c>
      <c r="AA5543" s="60">
        <f t="shared" si="606"/>
        <v>0</v>
      </c>
      <c r="AB5543" s="49">
        <f t="shared" si="607"/>
        <v>0</v>
      </c>
      <c r="AC5543" s="60">
        <f t="shared" si="608"/>
        <v>0</v>
      </c>
    </row>
    <row r="5544" spans="1:29">
      <c r="A5544" s="83" t="str">
        <f t="shared" si="603"/>
        <v/>
      </c>
      <c r="B5544" s="83" t="str">
        <f t="shared" si="609"/>
        <v/>
      </c>
      <c r="U5544" s="83" t="str">
        <f t="shared" si="604"/>
        <v/>
      </c>
      <c r="V5544" s="83" t="str">
        <f t="shared" si="605"/>
        <v/>
      </c>
      <c r="AA5544" s="60">
        <f t="shared" si="606"/>
        <v>0</v>
      </c>
      <c r="AB5544" s="49">
        <f t="shared" si="607"/>
        <v>0</v>
      </c>
      <c r="AC5544" s="60">
        <f t="shared" si="608"/>
        <v>0</v>
      </c>
    </row>
    <row r="5545" spans="1:29">
      <c r="A5545" s="83" t="str">
        <f t="shared" si="603"/>
        <v/>
      </c>
      <c r="B5545" s="83" t="str">
        <f t="shared" si="609"/>
        <v/>
      </c>
      <c r="U5545" s="83" t="str">
        <f t="shared" si="604"/>
        <v/>
      </c>
      <c r="V5545" s="83" t="str">
        <f t="shared" si="605"/>
        <v/>
      </c>
      <c r="AA5545" s="60">
        <f t="shared" si="606"/>
        <v>0</v>
      </c>
      <c r="AB5545" s="49">
        <f t="shared" si="607"/>
        <v>0</v>
      </c>
      <c r="AC5545" s="60">
        <f t="shared" si="608"/>
        <v>0</v>
      </c>
    </row>
    <row r="5546" spans="1:29">
      <c r="A5546" s="83" t="str">
        <f t="shared" si="603"/>
        <v/>
      </c>
      <c r="B5546" s="83" t="str">
        <f t="shared" si="609"/>
        <v/>
      </c>
      <c r="U5546" s="83" t="str">
        <f t="shared" si="604"/>
        <v/>
      </c>
      <c r="V5546" s="83" t="str">
        <f t="shared" si="605"/>
        <v/>
      </c>
      <c r="AA5546" s="60">
        <f t="shared" si="606"/>
        <v>0</v>
      </c>
      <c r="AB5546" s="49">
        <f t="shared" si="607"/>
        <v>0</v>
      </c>
      <c r="AC5546" s="60">
        <f t="shared" si="608"/>
        <v>0</v>
      </c>
    </row>
    <row r="5547" spans="1:29">
      <c r="A5547" s="83" t="str">
        <f t="shared" si="603"/>
        <v/>
      </c>
      <c r="B5547" s="83" t="str">
        <f t="shared" si="609"/>
        <v/>
      </c>
      <c r="U5547" s="83" t="str">
        <f t="shared" si="604"/>
        <v/>
      </c>
      <c r="V5547" s="83" t="str">
        <f t="shared" si="605"/>
        <v/>
      </c>
      <c r="AA5547" s="60">
        <f t="shared" si="606"/>
        <v>0</v>
      </c>
      <c r="AB5547" s="49">
        <f t="shared" si="607"/>
        <v>0</v>
      </c>
      <c r="AC5547" s="60">
        <f t="shared" si="608"/>
        <v>0</v>
      </c>
    </row>
    <row r="5548" spans="1:29">
      <c r="A5548" s="83" t="str">
        <f t="shared" si="603"/>
        <v/>
      </c>
      <c r="B5548" s="83" t="str">
        <f t="shared" si="609"/>
        <v/>
      </c>
      <c r="U5548" s="83" t="str">
        <f t="shared" si="604"/>
        <v/>
      </c>
      <c r="V5548" s="83" t="str">
        <f t="shared" si="605"/>
        <v/>
      </c>
      <c r="AA5548" s="60">
        <f t="shared" si="606"/>
        <v>0</v>
      </c>
      <c r="AB5548" s="49">
        <f t="shared" si="607"/>
        <v>0</v>
      </c>
      <c r="AC5548" s="60">
        <f t="shared" si="608"/>
        <v>0</v>
      </c>
    </row>
    <row r="5549" spans="1:29">
      <c r="A5549" s="83" t="str">
        <f t="shared" si="603"/>
        <v/>
      </c>
      <c r="B5549" s="83" t="str">
        <f t="shared" si="609"/>
        <v/>
      </c>
      <c r="U5549" s="83" t="str">
        <f t="shared" si="604"/>
        <v/>
      </c>
      <c r="V5549" s="83" t="str">
        <f t="shared" si="605"/>
        <v/>
      </c>
      <c r="AA5549" s="60">
        <f t="shared" si="606"/>
        <v>0</v>
      </c>
      <c r="AB5549" s="49">
        <f t="shared" si="607"/>
        <v>0</v>
      </c>
      <c r="AC5549" s="60">
        <f t="shared" si="608"/>
        <v>0</v>
      </c>
    </row>
    <row r="5550" spans="1:29">
      <c r="A5550" s="83" t="str">
        <f t="shared" si="603"/>
        <v/>
      </c>
      <c r="B5550" s="83" t="str">
        <f t="shared" si="609"/>
        <v/>
      </c>
      <c r="U5550" s="83" t="str">
        <f t="shared" si="604"/>
        <v/>
      </c>
      <c r="V5550" s="83" t="str">
        <f t="shared" si="605"/>
        <v/>
      </c>
      <c r="AA5550" s="60">
        <f t="shared" si="606"/>
        <v>0</v>
      </c>
      <c r="AB5550" s="49">
        <f t="shared" si="607"/>
        <v>0</v>
      </c>
      <c r="AC5550" s="60">
        <f t="shared" si="608"/>
        <v>0</v>
      </c>
    </row>
    <row r="5551" spans="1:29">
      <c r="A5551" s="83" t="str">
        <f t="shared" si="603"/>
        <v/>
      </c>
      <c r="B5551" s="83" t="str">
        <f t="shared" si="609"/>
        <v/>
      </c>
      <c r="U5551" s="83" t="str">
        <f t="shared" si="604"/>
        <v/>
      </c>
      <c r="V5551" s="83" t="str">
        <f t="shared" si="605"/>
        <v/>
      </c>
      <c r="AA5551" s="60">
        <f t="shared" si="606"/>
        <v>0</v>
      </c>
      <c r="AB5551" s="49">
        <f t="shared" si="607"/>
        <v>0</v>
      </c>
      <c r="AC5551" s="60">
        <f t="shared" si="608"/>
        <v>0</v>
      </c>
    </row>
    <row r="5552" spans="1:29">
      <c r="A5552" s="83" t="str">
        <f t="shared" si="603"/>
        <v/>
      </c>
      <c r="B5552" s="83" t="str">
        <f t="shared" si="609"/>
        <v/>
      </c>
      <c r="U5552" s="83" t="str">
        <f t="shared" si="604"/>
        <v/>
      </c>
      <c r="V5552" s="83" t="str">
        <f t="shared" si="605"/>
        <v/>
      </c>
      <c r="AA5552" s="60">
        <f t="shared" si="606"/>
        <v>0</v>
      </c>
      <c r="AB5552" s="49">
        <f t="shared" si="607"/>
        <v>0</v>
      </c>
      <c r="AC5552" s="60">
        <f t="shared" si="608"/>
        <v>0</v>
      </c>
    </row>
    <row r="5553" spans="1:29">
      <c r="A5553" s="83" t="str">
        <f t="shared" si="603"/>
        <v/>
      </c>
      <c r="B5553" s="83" t="str">
        <f t="shared" si="609"/>
        <v/>
      </c>
      <c r="U5553" s="83" t="str">
        <f t="shared" si="604"/>
        <v/>
      </c>
      <c r="V5553" s="83" t="str">
        <f t="shared" si="605"/>
        <v/>
      </c>
      <c r="AA5553" s="60">
        <f t="shared" si="606"/>
        <v>0</v>
      </c>
      <c r="AB5553" s="49">
        <f t="shared" si="607"/>
        <v>0</v>
      </c>
      <c r="AC5553" s="60">
        <f t="shared" si="608"/>
        <v>0</v>
      </c>
    </row>
    <row r="5554" spans="1:29">
      <c r="A5554" s="83" t="str">
        <f t="shared" si="603"/>
        <v/>
      </c>
      <c r="B5554" s="83" t="str">
        <f t="shared" si="609"/>
        <v/>
      </c>
      <c r="U5554" s="83" t="str">
        <f t="shared" si="604"/>
        <v/>
      </c>
      <c r="V5554" s="83" t="str">
        <f t="shared" si="605"/>
        <v/>
      </c>
      <c r="AA5554" s="60">
        <f t="shared" si="606"/>
        <v>0</v>
      </c>
      <c r="AB5554" s="49">
        <f t="shared" si="607"/>
        <v>0</v>
      </c>
      <c r="AC5554" s="60">
        <f t="shared" si="608"/>
        <v>0</v>
      </c>
    </row>
    <row r="5555" spans="1:29">
      <c r="A5555" s="83" t="str">
        <f t="shared" si="603"/>
        <v/>
      </c>
      <c r="B5555" s="83" t="str">
        <f t="shared" si="609"/>
        <v/>
      </c>
      <c r="U5555" s="83" t="str">
        <f t="shared" si="604"/>
        <v/>
      </c>
      <c r="V5555" s="83" t="str">
        <f t="shared" si="605"/>
        <v/>
      </c>
      <c r="AA5555" s="60">
        <f t="shared" si="606"/>
        <v>0</v>
      </c>
      <c r="AB5555" s="49">
        <f t="shared" si="607"/>
        <v>0</v>
      </c>
      <c r="AC5555" s="60">
        <f t="shared" si="608"/>
        <v>0</v>
      </c>
    </row>
    <row r="5556" spans="1:29">
      <c r="A5556" s="83" t="str">
        <f t="shared" si="603"/>
        <v/>
      </c>
      <c r="B5556" s="83" t="str">
        <f t="shared" si="609"/>
        <v/>
      </c>
      <c r="U5556" s="83" t="str">
        <f t="shared" si="604"/>
        <v/>
      </c>
      <c r="V5556" s="83" t="str">
        <f t="shared" si="605"/>
        <v/>
      </c>
      <c r="AA5556" s="60">
        <f t="shared" si="606"/>
        <v>0</v>
      </c>
      <c r="AB5556" s="49">
        <f t="shared" si="607"/>
        <v>0</v>
      </c>
      <c r="AC5556" s="60">
        <f t="shared" si="608"/>
        <v>0</v>
      </c>
    </row>
    <row r="5557" spans="1:29">
      <c r="A5557" s="83" t="str">
        <f t="shared" si="603"/>
        <v/>
      </c>
      <c r="B5557" s="83" t="str">
        <f t="shared" si="609"/>
        <v/>
      </c>
      <c r="U5557" s="83" t="str">
        <f t="shared" si="604"/>
        <v/>
      </c>
      <c r="V5557" s="83" t="str">
        <f t="shared" si="605"/>
        <v/>
      </c>
      <c r="AA5557" s="60">
        <f t="shared" si="606"/>
        <v>0</v>
      </c>
      <c r="AB5557" s="49">
        <f t="shared" si="607"/>
        <v>0</v>
      </c>
      <c r="AC5557" s="60">
        <f t="shared" si="608"/>
        <v>0</v>
      </c>
    </row>
    <row r="5558" spans="1:29">
      <c r="A5558" s="83" t="str">
        <f t="shared" si="603"/>
        <v/>
      </c>
      <c r="B5558" s="83" t="str">
        <f t="shared" si="609"/>
        <v/>
      </c>
      <c r="U5558" s="83" t="str">
        <f t="shared" si="604"/>
        <v/>
      </c>
      <c r="V5558" s="83" t="str">
        <f t="shared" si="605"/>
        <v/>
      </c>
      <c r="AA5558" s="60">
        <f t="shared" si="606"/>
        <v>0</v>
      </c>
      <c r="AB5558" s="49">
        <f t="shared" si="607"/>
        <v>0</v>
      </c>
      <c r="AC5558" s="60">
        <f t="shared" si="608"/>
        <v>0</v>
      </c>
    </row>
    <row r="5559" spans="1:29">
      <c r="A5559" s="83" t="str">
        <f t="shared" si="603"/>
        <v/>
      </c>
      <c r="B5559" s="83" t="str">
        <f t="shared" si="609"/>
        <v/>
      </c>
      <c r="U5559" s="83" t="str">
        <f t="shared" si="604"/>
        <v/>
      </c>
      <c r="V5559" s="83" t="str">
        <f t="shared" si="605"/>
        <v/>
      </c>
      <c r="AA5559" s="60">
        <f t="shared" si="606"/>
        <v>0</v>
      </c>
      <c r="AB5559" s="49">
        <f t="shared" si="607"/>
        <v>0</v>
      </c>
      <c r="AC5559" s="60">
        <f t="shared" si="608"/>
        <v>0</v>
      </c>
    </row>
    <row r="5560" spans="1:29">
      <c r="A5560" s="83" t="str">
        <f t="shared" si="603"/>
        <v/>
      </c>
      <c r="B5560" s="83" t="str">
        <f t="shared" si="609"/>
        <v/>
      </c>
      <c r="U5560" s="83" t="str">
        <f t="shared" si="604"/>
        <v/>
      </c>
      <c r="V5560" s="83" t="str">
        <f t="shared" si="605"/>
        <v/>
      </c>
      <c r="AA5560" s="60">
        <f t="shared" si="606"/>
        <v>0</v>
      </c>
      <c r="AB5560" s="49">
        <f t="shared" si="607"/>
        <v>0</v>
      </c>
      <c r="AC5560" s="60">
        <f t="shared" si="608"/>
        <v>0</v>
      </c>
    </row>
    <row r="5561" spans="1:29">
      <c r="A5561" s="83" t="str">
        <f t="shared" si="603"/>
        <v/>
      </c>
      <c r="B5561" s="83" t="str">
        <f t="shared" si="609"/>
        <v/>
      </c>
      <c r="U5561" s="83" t="str">
        <f t="shared" si="604"/>
        <v/>
      </c>
      <c r="V5561" s="83" t="str">
        <f t="shared" si="605"/>
        <v/>
      </c>
      <c r="AA5561" s="60">
        <f t="shared" si="606"/>
        <v>0</v>
      </c>
      <c r="AB5561" s="49">
        <f t="shared" si="607"/>
        <v>0</v>
      </c>
      <c r="AC5561" s="60">
        <f t="shared" si="608"/>
        <v>0</v>
      </c>
    </row>
    <row r="5562" spans="1:29">
      <c r="A5562" s="83" t="str">
        <f t="shared" si="603"/>
        <v/>
      </c>
      <c r="B5562" s="83" t="str">
        <f t="shared" si="609"/>
        <v/>
      </c>
      <c r="U5562" s="83" t="str">
        <f t="shared" si="604"/>
        <v/>
      </c>
      <c r="V5562" s="83" t="str">
        <f t="shared" si="605"/>
        <v/>
      </c>
      <c r="AA5562" s="60">
        <f t="shared" si="606"/>
        <v>0</v>
      </c>
      <c r="AB5562" s="49">
        <f t="shared" si="607"/>
        <v>0</v>
      </c>
      <c r="AC5562" s="60">
        <f t="shared" si="608"/>
        <v>0</v>
      </c>
    </row>
    <row r="5563" spans="1:29">
      <c r="A5563" s="83" t="str">
        <f t="shared" si="603"/>
        <v/>
      </c>
      <c r="B5563" s="83" t="str">
        <f t="shared" si="609"/>
        <v/>
      </c>
      <c r="U5563" s="83" t="str">
        <f t="shared" si="604"/>
        <v/>
      </c>
      <c r="V5563" s="83" t="str">
        <f t="shared" si="605"/>
        <v/>
      </c>
      <c r="AA5563" s="60">
        <f t="shared" si="606"/>
        <v>0</v>
      </c>
      <c r="AB5563" s="49">
        <f t="shared" si="607"/>
        <v>0</v>
      </c>
      <c r="AC5563" s="60">
        <f t="shared" si="608"/>
        <v>0</v>
      </c>
    </row>
    <row r="5564" spans="1:29">
      <c r="A5564" s="83" t="str">
        <f t="shared" si="603"/>
        <v/>
      </c>
      <c r="B5564" s="83" t="str">
        <f t="shared" si="609"/>
        <v/>
      </c>
      <c r="U5564" s="83" t="str">
        <f t="shared" si="604"/>
        <v/>
      </c>
      <c r="V5564" s="83" t="str">
        <f t="shared" si="605"/>
        <v/>
      </c>
      <c r="AA5564" s="60">
        <f t="shared" si="606"/>
        <v>0</v>
      </c>
      <c r="AB5564" s="49">
        <f t="shared" si="607"/>
        <v>0</v>
      </c>
      <c r="AC5564" s="60">
        <f t="shared" si="608"/>
        <v>0</v>
      </c>
    </row>
    <row r="5565" spans="1:29">
      <c r="A5565" s="83" t="str">
        <f t="shared" si="603"/>
        <v/>
      </c>
      <c r="B5565" s="83" t="str">
        <f t="shared" si="609"/>
        <v/>
      </c>
      <c r="U5565" s="83" t="str">
        <f t="shared" si="604"/>
        <v/>
      </c>
      <c r="V5565" s="83" t="str">
        <f t="shared" si="605"/>
        <v/>
      </c>
      <c r="AA5565" s="60">
        <f t="shared" si="606"/>
        <v>0</v>
      </c>
      <c r="AB5565" s="49">
        <f t="shared" si="607"/>
        <v>0</v>
      </c>
      <c r="AC5565" s="60">
        <f t="shared" si="608"/>
        <v>0</v>
      </c>
    </row>
    <row r="5566" spans="1:29">
      <c r="A5566" s="83" t="str">
        <f t="shared" si="603"/>
        <v/>
      </c>
      <c r="B5566" s="83" t="str">
        <f t="shared" si="609"/>
        <v/>
      </c>
      <c r="U5566" s="83" t="str">
        <f t="shared" si="604"/>
        <v/>
      </c>
      <c r="V5566" s="83" t="str">
        <f t="shared" si="605"/>
        <v/>
      </c>
      <c r="AA5566" s="60">
        <f t="shared" si="606"/>
        <v>0</v>
      </c>
      <c r="AB5566" s="49">
        <f t="shared" si="607"/>
        <v>0</v>
      </c>
      <c r="AC5566" s="60">
        <f t="shared" si="608"/>
        <v>0</v>
      </c>
    </row>
    <row r="5567" spans="1:29">
      <c r="A5567" s="83" t="str">
        <f t="shared" si="603"/>
        <v/>
      </c>
      <c r="B5567" s="83" t="str">
        <f t="shared" si="609"/>
        <v/>
      </c>
      <c r="U5567" s="83" t="str">
        <f t="shared" si="604"/>
        <v/>
      </c>
      <c r="V5567" s="83" t="str">
        <f t="shared" si="605"/>
        <v/>
      </c>
      <c r="AA5567" s="60">
        <f t="shared" si="606"/>
        <v>0</v>
      </c>
      <c r="AB5567" s="49">
        <f t="shared" si="607"/>
        <v>0</v>
      </c>
      <c r="AC5567" s="60">
        <f t="shared" si="608"/>
        <v>0</v>
      </c>
    </row>
    <row r="5568" spans="1:29">
      <c r="A5568" s="83" t="str">
        <f t="shared" si="603"/>
        <v/>
      </c>
      <c r="B5568" s="83" t="str">
        <f t="shared" si="609"/>
        <v/>
      </c>
      <c r="U5568" s="83" t="str">
        <f t="shared" si="604"/>
        <v/>
      </c>
      <c r="V5568" s="83" t="str">
        <f t="shared" si="605"/>
        <v/>
      </c>
      <c r="AA5568" s="60">
        <f t="shared" si="606"/>
        <v>0</v>
      </c>
      <c r="AB5568" s="49">
        <f t="shared" si="607"/>
        <v>0</v>
      </c>
      <c r="AC5568" s="60">
        <f t="shared" si="608"/>
        <v>0</v>
      </c>
    </row>
    <row r="5569" spans="1:29">
      <c r="A5569" s="83" t="str">
        <f t="shared" si="603"/>
        <v/>
      </c>
      <c r="B5569" s="83" t="str">
        <f t="shared" si="609"/>
        <v/>
      </c>
      <c r="U5569" s="83" t="str">
        <f t="shared" si="604"/>
        <v/>
      </c>
      <c r="V5569" s="83" t="str">
        <f t="shared" si="605"/>
        <v/>
      </c>
      <c r="AA5569" s="60">
        <f t="shared" si="606"/>
        <v>0</v>
      </c>
      <c r="AB5569" s="49">
        <f t="shared" si="607"/>
        <v>0</v>
      </c>
      <c r="AC5569" s="60">
        <f t="shared" si="608"/>
        <v>0</v>
      </c>
    </row>
    <row r="5570" spans="1:29">
      <c r="A5570" s="83" t="str">
        <f t="shared" si="603"/>
        <v/>
      </c>
      <c r="B5570" s="83" t="str">
        <f t="shared" si="609"/>
        <v/>
      </c>
      <c r="U5570" s="83" t="str">
        <f t="shared" si="604"/>
        <v/>
      </c>
      <c r="V5570" s="83" t="str">
        <f t="shared" si="605"/>
        <v/>
      </c>
      <c r="AA5570" s="60">
        <f t="shared" si="606"/>
        <v>0</v>
      </c>
      <c r="AB5570" s="49">
        <f t="shared" si="607"/>
        <v>0</v>
      </c>
      <c r="AC5570" s="60">
        <f t="shared" si="608"/>
        <v>0</v>
      </c>
    </row>
    <row r="5571" spans="1:29">
      <c r="A5571" s="83" t="str">
        <f t="shared" ref="A5571:A5634" si="610">IF(G5571&amp;Q5571&lt;&gt;"",U5571&amp;Q5571,"")</f>
        <v/>
      </c>
      <c r="B5571" s="83" t="str">
        <f t="shared" si="609"/>
        <v/>
      </c>
      <c r="U5571" s="83" t="str">
        <f t="shared" ref="U5571:U5634" si="611">IF(G5571&lt;&gt;"",IF(StyleSpaceSplit,IFERROR(IF(FIND(" ",G5571)&gt;=1,MID(G5571,1,FIND(" ",G5571)-1),G5571),G5571),G5571),"")</f>
        <v/>
      </c>
      <c r="V5571" s="83" t="str">
        <f t="shared" ref="V5571:V5634" si="612">IF(A5571&lt;&gt;"",IFERROR(IF(FIND(" ",G5571)&gt;=1,MID(G5571,FIND(" ",G5571)+1,LEN(G5571)),""),G5571),"")</f>
        <v/>
      </c>
      <c r="AA5571" s="60">
        <f t="shared" ref="AA5571:AA5634" si="613">IFERROR(VALUE(MID($C5571,1,2)),0)</f>
        <v>0</v>
      </c>
      <c r="AB5571" s="49">
        <f t="shared" ref="AB5571:AB5634" si="614">IFERROR(VALUE(MID($C5571,4,3)),0)</f>
        <v>0</v>
      </c>
      <c r="AC5571" s="60">
        <f t="shared" ref="AC5571:AC5634" si="615">VALUE(RIGHT("00"&amp;AA5571,2)&amp;RIGHT("000"&amp;AB5571,3))</f>
        <v>0</v>
      </c>
    </row>
    <row r="5572" spans="1:29">
      <c r="A5572" s="83" t="str">
        <f t="shared" si="610"/>
        <v/>
      </c>
      <c r="B5572" s="83" t="str">
        <f t="shared" si="609"/>
        <v/>
      </c>
      <c r="U5572" s="83" t="str">
        <f t="shared" si="611"/>
        <v/>
      </c>
      <c r="V5572" s="83" t="str">
        <f t="shared" si="612"/>
        <v/>
      </c>
      <c r="AA5572" s="60">
        <f t="shared" si="613"/>
        <v>0</v>
      </c>
      <c r="AB5572" s="49">
        <f t="shared" si="614"/>
        <v>0</v>
      </c>
      <c r="AC5572" s="60">
        <f t="shared" si="615"/>
        <v>0</v>
      </c>
    </row>
    <row r="5573" spans="1:29">
      <c r="A5573" s="83" t="str">
        <f t="shared" si="610"/>
        <v/>
      </c>
      <c r="B5573" s="83" t="str">
        <f t="shared" si="609"/>
        <v/>
      </c>
      <c r="U5573" s="83" t="str">
        <f t="shared" si="611"/>
        <v/>
      </c>
      <c r="V5573" s="83" t="str">
        <f t="shared" si="612"/>
        <v/>
      </c>
      <c r="AA5573" s="60">
        <f t="shared" si="613"/>
        <v>0</v>
      </c>
      <c r="AB5573" s="49">
        <f t="shared" si="614"/>
        <v>0</v>
      </c>
      <c r="AC5573" s="60">
        <f t="shared" si="615"/>
        <v>0</v>
      </c>
    </row>
    <row r="5574" spans="1:29">
      <c r="A5574" s="83" t="str">
        <f t="shared" si="610"/>
        <v/>
      </c>
      <c r="B5574" s="83" t="str">
        <f t="shared" si="609"/>
        <v/>
      </c>
      <c r="U5574" s="83" t="str">
        <f t="shared" si="611"/>
        <v/>
      </c>
      <c r="V5574" s="83" t="str">
        <f t="shared" si="612"/>
        <v/>
      </c>
      <c r="AA5574" s="60">
        <f t="shared" si="613"/>
        <v>0</v>
      </c>
      <c r="AB5574" s="49">
        <f t="shared" si="614"/>
        <v>0</v>
      </c>
      <c r="AC5574" s="60">
        <f t="shared" si="615"/>
        <v>0</v>
      </c>
    </row>
    <row r="5575" spans="1:29">
      <c r="A5575" s="83" t="str">
        <f t="shared" si="610"/>
        <v/>
      </c>
      <c r="B5575" s="83" t="str">
        <f t="shared" si="609"/>
        <v/>
      </c>
      <c r="U5575" s="83" t="str">
        <f t="shared" si="611"/>
        <v/>
      </c>
      <c r="V5575" s="83" t="str">
        <f t="shared" si="612"/>
        <v/>
      </c>
      <c r="AA5575" s="60">
        <f t="shared" si="613"/>
        <v>0</v>
      </c>
      <c r="AB5575" s="49">
        <f t="shared" si="614"/>
        <v>0</v>
      </c>
      <c r="AC5575" s="60">
        <f t="shared" si="615"/>
        <v>0</v>
      </c>
    </row>
    <row r="5576" spans="1:29">
      <c r="A5576" s="83" t="str">
        <f t="shared" si="610"/>
        <v/>
      </c>
      <c r="B5576" s="83" t="str">
        <f t="shared" si="609"/>
        <v/>
      </c>
      <c r="U5576" s="83" t="str">
        <f t="shared" si="611"/>
        <v/>
      </c>
      <c r="V5576" s="83" t="str">
        <f t="shared" si="612"/>
        <v/>
      </c>
      <c r="AA5576" s="60">
        <f t="shared" si="613"/>
        <v>0</v>
      </c>
      <c r="AB5576" s="49">
        <f t="shared" si="614"/>
        <v>0</v>
      </c>
      <c r="AC5576" s="60">
        <f t="shared" si="615"/>
        <v>0</v>
      </c>
    </row>
    <row r="5577" spans="1:29">
      <c r="A5577" s="83" t="str">
        <f t="shared" si="610"/>
        <v/>
      </c>
      <c r="B5577" s="83" t="str">
        <f t="shared" si="609"/>
        <v/>
      </c>
      <c r="U5577" s="83" t="str">
        <f t="shared" si="611"/>
        <v/>
      </c>
      <c r="V5577" s="83" t="str">
        <f t="shared" si="612"/>
        <v/>
      </c>
      <c r="AA5577" s="60">
        <f t="shared" si="613"/>
        <v>0</v>
      </c>
      <c r="AB5577" s="49">
        <f t="shared" si="614"/>
        <v>0</v>
      </c>
      <c r="AC5577" s="60">
        <f t="shared" si="615"/>
        <v>0</v>
      </c>
    </row>
    <row r="5578" spans="1:29">
      <c r="A5578" s="83" t="str">
        <f t="shared" si="610"/>
        <v/>
      </c>
      <c r="B5578" s="83" t="str">
        <f t="shared" si="609"/>
        <v/>
      </c>
      <c r="U5578" s="83" t="str">
        <f t="shared" si="611"/>
        <v/>
      </c>
      <c r="V5578" s="83" t="str">
        <f t="shared" si="612"/>
        <v/>
      </c>
      <c r="AA5578" s="60">
        <f t="shared" si="613"/>
        <v>0</v>
      </c>
      <c r="AB5578" s="49">
        <f t="shared" si="614"/>
        <v>0</v>
      </c>
      <c r="AC5578" s="60">
        <f t="shared" si="615"/>
        <v>0</v>
      </c>
    </row>
    <row r="5579" spans="1:29">
      <c r="A5579" s="83" t="str">
        <f t="shared" si="610"/>
        <v/>
      </c>
      <c r="B5579" s="83" t="str">
        <f t="shared" si="609"/>
        <v/>
      </c>
      <c r="U5579" s="83" t="str">
        <f t="shared" si="611"/>
        <v/>
      </c>
      <c r="V5579" s="83" t="str">
        <f t="shared" si="612"/>
        <v/>
      </c>
      <c r="AA5579" s="60">
        <f t="shared" si="613"/>
        <v>0</v>
      </c>
      <c r="AB5579" s="49">
        <f t="shared" si="614"/>
        <v>0</v>
      </c>
      <c r="AC5579" s="60">
        <f t="shared" si="615"/>
        <v>0</v>
      </c>
    </row>
    <row r="5580" spans="1:29">
      <c r="A5580" s="83" t="str">
        <f t="shared" si="610"/>
        <v/>
      </c>
      <c r="B5580" s="83" t="str">
        <f t="shared" si="609"/>
        <v/>
      </c>
      <c r="U5580" s="83" t="str">
        <f t="shared" si="611"/>
        <v/>
      </c>
      <c r="V5580" s="83" t="str">
        <f t="shared" si="612"/>
        <v/>
      </c>
      <c r="AA5580" s="60">
        <f t="shared" si="613"/>
        <v>0</v>
      </c>
      <c r="AB5580" s="49">
        <f t="shared" si="614"/>
        <v>0</v>
      </c>
      <c r="AC5580" s="60">
        <f t="shared" si="615"/>
        <v>0</v>
      </c>
    </row>
    <row r="5581" spans="1:29">
      <c r="A5581" s="83" t="str">
        <f t="shared" si="610"/>
        <v/>
      </c>
      <c r="B5581" s="83" t="str">
        <f t="shared" si="609"/>
        <v/>
      </c>
      <c r="U5581" s="83" t="str">
        <f t="shared" si="611"/>
        <v/>
      </c>
      <c r="V5581" s="83" t="str">
        <f t="shared" si="612"/>
        <v/>
      </c>
      <c r="AA5581" s="60">
        <f t="shared" si="613"/>
        <v>0</v>
      </c>
      <c r="AB5581" s="49">
        <f t="shared" si="614"/>
        <v>0</v>
      </c>
      <c r="AC5581" s="60">
        <f t="shared" si="615"/>
        <v>0</v>
      </c>
    </row>
    <row r="5582" spans="1:29">
      <c r="A5582" s="83" t="str">
        <f t="shared" si="610"/>
        <v/>
      </c>
      <c r="B5582" s="83" t="str">
        <f t="shared" si="609"/>
        <v/>
      </c>
      <c r="U5582" s="83" t="str">
        <f t="shared" si="611"/>
        <v/>
      </c>
      <c r="V5582" s="83" t="str">
        <f t="shared" si="612"/>
        <v/>
      </c>
      <c r="AA5582" s="60">
        <f t="shared" si="613"/>
        <v>0</v>
      </c>
      <c r="AB5582" s="49">
        <f t="shared" si="614"/>
        <v>0</v>
      </c>
      <c r="AC5582" s="60">
        <f t="shared" si="615"/>
        <v>0</v>
      </c>
    </row>
    <row r="5583" spans="1:29">
      <c r="A5583" s="83" t="str">
        <f t="shared" si="610"/>
        <v/>
      </c>
      <c r="B5583" s="83" t="str">
        <f t="shared" si="609"/>
        <v/>
      </c>
      <c r="U5583" s="83" t="str">
        <f t="shared" si="611"/>
        <v/>
      </c>
      <c r="V5583" s="83" t="str">
        <f t="shared" si="612"/>
        <v/>
      </c>
      <c r="AA5583" s="60">
        <f t="shared" si="613"/>
        <v>0</v>
      </c>
      <c r="AB5583" s="49">
        <f t="shared" si="614"/>
        <v>0</v>
      </c>
      <c r="AC5583" s="60">
        <f t="shared" si="615"/>
        <v>0</v>
      </c>
    </row>
    <row r="5584" spans="1:29">
      <c r="A5584" s="83" t="str">
        <f t="shared" si="610"/>
        <v/>
      </c>
      <c r="B5584" s="83" t="str">
        <f t="shared" si="609"/>
        <v/>
      </c>
      <c r="U5584" s="83" t="str">
        <f t="shared" si="611"/>
        <v/>
      </c>
      <c r="V5584" s="83" t="str">
        <f t="shared" si="612"/>
        <v/>
      </c>
      <c r="AA5584" s="60">
        <f t="shared" si="613"/>
        <v>0</v>
      </c>
      <c r="AB5584" s="49">
        <f t="shared" si="614"/>
        <v>0</v>
      </c>
      <c r="AC5584" s="60">
        <f t="shared" si="615"/>
        <v>0</v>
      </c>
    </row>
    <row r="5585" spans="1:29">
      <c r="A5585" s="83" t="str">
        <f t="shared" si="610"/>
        <v/>
      </c>
      <c r="B5585" s="83" t="str">
        <f t="shared" si="609"/>
        <v/>
      </c>
      <c r="U5585" s="83" t="str">
        <f t="shared" si="611"/>
        <v/>
      </c>
      <c r="V5585" s="83" t="str">
        <f t="shared" si="612"/>
        <v/>
      </c>
      <c r="AA5585" s="60">
        <f t="shared" si="613"/>
        <v>0</v>
      </c>
      <c r="AB5585" s="49">
        <f t="shared" si="614"/>
        <v>0</v>
      </c>
      <c r="AC5585" s="60">
        <f t="shared" si="615"/>
        <v>0</v>
      </c>
    </row>
    <row r="5586" spans="1:29">
      <c r="A5586" s="83" t="str">
        <f t="shared" si="610"/>
        <v/>
      </c>
      <c r="B5586" s="83" t="str">
        <f t="shared" si="609"/>
        <v/>
      </c>
      <c r="U5586" s="83" t="str">
        <f t="shared" si="611"/>
        <v/>
      </c>
      <c r="V5586" s="83" t="str">
        <f t="shared" si="612"/>
        <v/>
      </c>
      <c r="AA5586" s="60">
        <f t="shared" si="613"/>
        <v>0</v>
      </c>
      <c r="AB5586" s="49">
        <f t="shared" si="614"/>
        <v>0</v>
      </c>
      <c r="AC5586" s="60">
        <f t="shared" si="615"/>
        <v>0</v>
      </c>
    </row>
    <row r="5587" spans="1:29">
      <c r="A5587" s="83" t="str">
        <f t="shared" si="610"/>
        <v/>
      </c>
      <c r="B5587" s="83" t="str">
        <f t="shared" si="609"/>
        <v/>
      </c>
      <c r="U5587" s="83" t="str">
        <f t="shared" si="611"/>
        <v/>
      </c>
      <c r="V5587" s="83" t="str">
        <f t="shared" si="612"/>
        <v/>
      </c>
      <c r="AA5587" s="60">
        <f t="shared" si="613"/>
        <v>0</v>
      </c>
      <c r="AB5587" s="49">
        <f t="shared" si="614"/>
        <v>0</v>
      </c>
      <c r="AC5587" s="60">
        <f t="shared" si="615"/>
        <v>0</v>
      </c>
    </row>
    <row r="5588" spans="1:29">
      <c r="A5588" s="83" t="str">
        <f t="shared" si="610"/>
        <v/>
      </c>
      <c r="B5588" s="83" t="str">
        <f t="shared" si="609"/>
        <v/>
      </c>
      <c r="U5588" s="83" t="str">
        <f t="shared" si="611"/>
        <v/>
      </c>
      <c r="V5588" s="83" t="str">
        <f t="shared" si="612"/>
        <v/>
      </c>
      <c r="AA5588" s="60">
        <f t="shared" si="613"/>
        <v>0</v>
      </c>
      <c r="AB5588" s="49">
        <f t="shared" si="614"/>
        <v>0</v>
      </c>
      <c r="AC5588" s="60">
        <f t="shared" si="615"/>
        <v>0</v>
      </c>
    </row>
    <row r="5589" spans="1:29">
      <c r="A5589" s="83" t="str">
        <f t="shared" si="610"/>
        <v/>
      </c>
      <c r="B5589" s="83" t="str">
        <f t="shared" si="609"/>
        <v/>
      </c>
      <c r="U5589" s="83" t="str">
        <f t="shared" si="611"/>
        <v/>
      </c>
      <c r="V5589" s="83" t="str">
        <f t="shared" si="612"/>
        <v/>
      </c>
      <c r="AA5589" s="60">
        <f t="shared" si="613"/>
        <v>0</v>
      </c>
      <c r="AB5589" s="49">
        <f t="shared" si="614"/>
        <v>0</v>
      </c>
      <c r="AC5589" s="60">
        <f t="shared" si="615"/>
        <v>0</v>
      </c>
    </row>
    <row r="5590" spans="1:29">
      <c r="A5590" s="83" t="str">
        <f t="shared" si="610"/>
        <v/>
      </c>
      <c r="B5590" s="83" t="str">
        <f t="shared" si="609"/>
        <v/>
      </c>
      <c r="U5590" s="83" t="str">
        <f t="shared" si="611"/>
        <v/>
      </c>
      <c r="V5590" s="83" t="str">
        <f t="shared" si="612"/>
        <v/>
      </c>
      <c r="AA5590" s="60">
        <f t="shared" si="613"/>
        <v>0</v>
      </c>
      <c r="AB5590" s="49">
        <f t="shared" si="614"/>
        <v>0</v>
      </c>
      <c r="AC5590" s="60">
        <f t="shared" si="615"/>
        <v>0</v>
      </c>
    </row>
    <row r="5591" spans="1:29">
      <c r="A5591" s="83" t="str">
        <f t="shared" si="610"/>
        <v/>
      </c>
      <c r="B5591" s="83" t="str">
        <f t="shared" si="609"/>
        <v/>
      </c>
      <c r="U5591" s="83" t="str">
        <f t="shared" si="611"/>
        <v/>
      </c>
      <c r="V5591" s="83" t="str">
        <f t="shared" si="612"/>
        <v/>
      </c>
      <c r="AA5591" s="60">
        <f t="shared" si="613"/>
        <v>0</v>
      </c>
      <c r="AB5591" s="49">
        <f t="shared" si="614"/>
        <v>0</v>
      </c>
      <c r="AC5591" s="60">
        <f t="shared" si="615"/>
        <v>0</v>
      </c>
    </row>
    <row r="5592" spans="1:29">
      <c r="A5592" s="83" t="str">
        <f t="shared" si="610"/>
        <v/>
      </c>
      <c r="B5592" s="83" t="str">
        <f t="shared" si="609"/>
        <v/>
      </c>
      <c r="U5592" s="83" t="str">
        <f t="shared" si="611"/>
        <v/>
      </c>
      <c r="V5592" s="83" t="str">
        <f t="shared" si="612"/>
        <v/>
      </c>
      <c r="AA5592" s="60">
        <f t="shared" si="613"/>
        <v>0</v>
      </c>
      <c r="AB5592" s="49">
        <f t="shared" si="614"/>
        <v>0</v>
      </c>
      <c r="AC5592" s="60">
        <f t="shared" si="615"/>
        <v>0</v>
      </c>
    </row>
    <row r="5593" spans="1:29">
      <c r="A5593" s="83" t="str">
        <f t="shared" si="610"/>
        <v/>
      </c>
      <c r="B5593" s="83" t="str">
        <f t="shared" si="609"/>
        <v/>
      </c>
      <c r="U5593" s="83" t="str">
        <f t="shared" si="611"/>
        <v/>
      </c>
      <c r="V5593" s="83" t="str">
        <f t="shared" si="612"/>
        <v/>
      </c>
      <c r="AA5593" s="60">
        <f t="shared" si="613"/>
        <v>0</v>
      </c>
      <c r="AB5593" s="49">
        <f t="shared" si="614"/>
        <v>0</v>
      </c>
      <c r="AC5593" s="60">
        <f t="shared" si="615"/>
        <v>0</v>
      </c>
    </row>
    <row r="5594" spans="1:29">
      <c r="A5594" s="83" t="str">
        <f t="shared" si="610"/>
        <v/>
      </c>
      <c r="B5594" s="83" t="str">
        <f t="shared" si="609"/>
        <v/>
      </c>
      <c r="U5594" s="83" t="str">
        <f t="shared" si="611"/>
        <v/>
      </c>
      <c r="V5594" s="83" t="str">
        <f t="shared" si="612"/>
        <v/>
      </c>
      <c r="AA5594" s="60">
        <f t="shared" si="613"/>
        <v>0</v>
      </c>
      <c r="AB5594" s="49">
        <f t="shared" si="614"/>
        <v>0</v>
      </c>
      <c r="AC5594" s="60">
        <f t="shared" si="615"/>
        <v>0</v>
      </c>
    </row>
    <row r="5595" spans="1:29">
      <c r="A5595" s="83" t="str">
        <f t="shared" si="610"/>
        <v/>
      </c>
      <c r="B5595" s="83" t="str">
        <f t="shared" si="609"/>
        <v/>
      </c>
      <c r="U5595" s="83" t="str">
        <f t="shared" si="611"/>
        <v/>
      </c>
      <c r="V5595" s="83" t="str">
        <f t="shared" si="612"/>
        <v/>
      </c>
      <c r="AA5595" s="60">
        <f t="shared" si="613"/>
        <v>0</v>
      </c>
      <c r="AB5595" s="49">
        <f t="shared" si="614"/>
        <v>0</v>
      </c>
      <c r="AC5595" s="60">
        <f t="shared" si="615"/>
        <v>0</v>
      </c>
    </row>
    <row r="5596" spans="1:29">
      <c r="A5596" s="83" t="str">
        <f t="shared" si="610"/>
        <v/>
      </c>
      <c r="B5596" s="83" t="str">
        <f t="shared" si="609"/>
        <v/>
      </c>
      <c r="U5596" s="83" t="str">
        <f t="shared" si="611"/>
        <v/>
      </c>
      <c r="V5596" s="83" t="str">
        <f t="shared" si="612"/>
        <v/>
      </c>
      <c r="AA5596" s="60">
        <f t="shared" si="613"/>
        <v>0</v>
      </c>
      <c r="AB5596" s="49">
        <f t="shared" si="614"/>
        <v>0</v>
      </c>
      <c r="AC5596" s="60">
        <f t="shared" si="615"/>
        <v>0</v>
      </c>
    </row>
    <row r="5597" spans="1:29">
      <c r="A5597" s="83" t="str">
        <f t="shared" si="610"/>
        <v/>
      </c>
      <c r="B5597" s="83" t="str">
        <f t="shared" si="609"/>
        <v/>
      </c>
      <c r="U5597" s="83" t="str">
        <f t="shared" si="611"/>
        <v/>
      </c>
      <c r="V5597" s="83" t="str">
        <f t="shared" si="612"/>
        <v/>
      </c>
      <c r="AA5597" s="60">
        <f t="shared" si="613"/>
        <v>0</v>
      </c>
      <c r="AB5597" s="49">
        <f t="shared" si="614"/>
        <v>0</v>
      </c>
      <c r="AC5597" s="60">
        <f t="shared" si="615"/>
        <v>0</v>
      </c>
    </row>
    <row r="5598" spans="1:29">
      <c r="A5598" s="83" t="str">
        <f t="shared" si="610"/>
        <v/>
      </c>
      <c r="B5598" s="83" t="str">
        <f t="shared" si="609"/>
        <v/>
      </c>
      <c r="U5598" s="83" t="str">
        <f t="shared" si="611"/>
        <v/>
      </c>
      <c r="V5598" s="83" t="str">
        <f t="shared" si="612"/>
        <v/>
      </c>
      <c r="AA5598" s="60">
        <f t="shared" si="613"/>
        <v>0</v>
      </c>
      <c r="AB5598" s="49">
        <f t="shared" si="614"/>
        <v>0</v>
      </c>
      <c r="AC5598" s="60">
        <f t="shared" si="615"/>
        <v>0</v>
      </c>
    </row>
    <row r="5599" spans="1:29">
      <c r="A5599" s="83" t="str">
        <f t="shared" si="610"/>
        <v/>
      </c>
      <c r="B5599" s="83" t="str">
        <f t="shared" si="609"/>
        <v/>
      </c>
      <c r="U5599" s="83" t="str">
        <f t="shared" si="611"/>
        <v/>
      </c>
      <c r="V5599" s="83" t="str">
        <f t="shared" si="612"/>
        <v/>
      </c>
      <c r="AA5599" s="60">
        <f t="shared" si="613"/>
        <v>0</v>
      </c>
      <c r="AB5599" s="49">
        <f t="shared" si="614"/>
        <v>0</v>
      </c>
      <c r="AC5599" s="60">
        <f t="shared" si="615"/>
        <v>0</v>
      </c>
    </row>
    <row r="5600" spans="1:29">
      <c r="A5600" s="83" t="str">
        <f t="shared" si="610"/>
        <v/>
      </c>
      <c r="B5600" s="83" t="str">
        <f t="shared" si="609"/>
        <v/>
      </c>
      <c r="U5600" s="83" t="str">
        <f t="shared" si="611"/>
        <v/>
      </c>
      <c r="V5600" s="83" t="str">
        <f t="shared" si="612"/>
        <v/>
      </c>
      <c r="AA5600" s="60">
        <f t="shared" si="613"/>
        <v>0</v>
      </c>
      <c r="AB5600" s="49">
        <f t="shared" si="614"/>
        <v>0</v>
      </c>
      <c r="AC5600" s="60">
        <f t="shared" si="615"/>
        <v>0</v>
      </c>
    </row>
    <row r="5601" spans="1:29">
      <c r="A5601" s="83" t="str">
        <f t="shared" si="610"/>
        <v/>
      </c>
      <c r="B5601" s="83" t="str">
        <f t="shared" ref="B5601:B5664" si="616">IF(C5601&lt;&gt;"",LEFT(C5601,9),"")</f>
        <v/>
      </c>
      <c r="U5601" s="83" t="str">
        <f t="shared" si="611"/>
        <v/>
      </c>
      <c r="V5601" s="83" t="str">
        <f t="shared" si="612"/>
        <v/>
      </c>
      <c r="AA5601" s="60">
        <f t="shared" si="613"/>
        <v>0</v>
      </c>
      <c r="AB5601" s="49">
        <f t="shared" si="614"/>
        <v>0</v>
      </c>
      <c r="AC5601" s="60">
        <f t="shared" si="615"/>
        <v>0</v>
      </c>
    </row>
    <row r="5602" spans="1:29">
      <c r="A5602" s="83" t="str">
        <f t="shared" si="610"/>
        <v/>
      </c>
      <c r="B5602" s="83" t="str">
        <f t="shared" si="616"/>
        <v/>
      </c>
      <c r="U5602" s="83" t="str">
        <f t="shared" si="611"/>
        <v/>
      </c>
      <c r="V5602" s="83" t="str">
        <f t="shared" si="612"/>
        <v/>
      </c>
      <c r="AA5602" s="60">
        <f t="shared" si="613"/>
        <v>0</v>
      </c>
      <c r="AB5602" s="49">
        <f t="shared" si="614"/>
        <v>0</v>
      </c>
      <c r="AC5602" s="60">
        <f t="shared" si="615"/>
        <v>0</v>
      </c>
    </row>
    <row r="5603" spans="1:29">
      <c r="A5603" s="83" t="str">
        <f t="shared" si="610"/>
        <v/>
      </c>
      <c r="B5603" s="83" t="str">
        <f t="shared" si="616"/>
        <v/>
      </c>
      <c r="U5603" s="83" t="str">
        <f t="shared" si="611"/>
        <v/>
      </c>
      <c r="V5603" s="83" t="str">
        <f t="shared" si="612"/>
        <v/>
      </c>
      <c r="AA5603" s="60">
        <f t="shared" si="613"/>
        <v>0</v>
      </c>
      <c r="AB5603" s="49">
        <f t="shared" si="614"/>
        <v>0</v>
      </c>
      <c r="AC5603" s="60">
        <f t="shared" si="615"/>
        <v>0</v>
      </c>
    </row>
    <row r="5604" spans="1:29">
      <c r="A5604" s="83" t="str">
        <f t="shared" si="610"/>
        <v/>
      </c>
      <c r="B5604" s="83" t="str">
        <f t="shared" si="616"/>
        <v/>
      </c>
      <c r="U5604" s="83" t="str">
        <f t="shared" si="611"/>
        <v/>
      </c>
      <c r="V5604" s="83" t="str">
        <f t="shared" si="612"/>
        <v/>
      </c>
      <c r="AA5604" s="60">
        <f t="shared" si="613"/>
        <v>0</v>
      </c>
      <c r="AB5604" s="49">
        <f t="shared" si="614"/>
        <v>0</v>
      </c>
      <c r="AC5604" s="60">
        <f t="shared" si="615"/>
        <v>0</v>
      </c>
    </row>
    <row r="5605" spans="1:29">
      <c r="A5605" s="83" t="str">
        <f t="shared" si="610"/>
        <v/>
      </c>
      <c r="B5605" s="83" t="str">
        <f t="shared" si="616"/>
        <v/>
      </c>
      <c r="U5605" s="83" t="str">
        <f t="shared" si="611"/>
        <v/>
      </c>
      <c r="V5605" s="83" t="str">
        <f t="shared" si="612"/>
        <v/>
      </c>
      <c r="AA5605" s="60">
        <f t="shared" si="613"/>
        <v>0</v>
      </c>
      <c r="AB5605" s="49">
        <f t="shared" si="614"/>
        <v>0</v>
      </c>
      <c r="AC5605" s="60">
        <f t="shared" si="615"/>
        <v>0</v>
      </c>
    </row>
    <row r="5606" spans="1:29">
      <c r="A5606" s="83" t="str">
        <f t="shared" si="610"/>
        <v/>
      </c>
      <c r="B5606" s="83" t="str">
        <f t="shared" si="616"/>
        <v/>
      </c>
      <c r="U5606" s="83" t="str">
        <f t="shared" si="611"/>
        <v/>
      </c>
      <c r="V5606" s="83" t="str">
        <f t="shared" si="612"/>
        <v/>
      </c>
      <c r="AA5606" s="60">
        <f t="shared" si="613"/>
        <v>0</v>
      </c>
      <c r="AB5606" s="49">
        <f t="shared" si="614"/>
        <v>0</v>
      </c>
      <c r="AC5606" s="60">
        <f t="shared" si="615"/>
        <v>0</v>
      </c>
    </row>
    <row r="5607" spans="1:29">
      <c r="A5607" s="83" t="str">
        <f t="shared" si="610"/>
        <v/>
      </c>
      <c r="B5607" s="83" t="str">
        <f t="shared" si="616"/>
        <v/>
      </c>
      <c r="U5607" s="83" t="str">
        <f t="shared" si="611"/>
        <v/>
      </c>
      <c r="V5607" s="83" t="str">
        <f t="shared" si="612"/>
        <v/>
      </c>
      <c r="AA5607" s="60">
        <f t="shared" si="613"/>
        <v>0</v>
      </c>
      <c r="AB5607" s="49">
        <f t="shared" si="614"/>
        <v>0</v>
      </c>
      <c r="AC5607" s="60">
        <f t="shared" si="615"/>
        <v>0</v>
      </c>
    </row>
    <row r="5608" spans="1:29">
      <c r="A5608" s="83" t="str">
        <f t="shared" si="610"/>
        <v/>
      </c>
      <c r="B5608" s="83" t="str">
        <f t="shared" si="616"/>
        <v/>
      </c>
      <c r="U5608" s="83" t="str">
        <f t="shared" si="611"/>
        <v/>
      </c>
      <c r="V5608" s="83" t="str">
        <f t="shared" si="612"/>
        <v/>
      </c>
      <c r="AA5608" s="60">
        <f t="shared" si="613"/>
        <v>0</v>
      </c>
      <c r="AB5608" s="49">
        <f t="shared" si="614"/>
        <v>0</v>
      </c>
      <c r="AC5608" s="60">
        <f t="shared" si="615"/>
        <v>0</v>
      </c>
    </row>
    <row r="5609" spans="1:29">
      <c r="A5609" s="83" t="str">
        <f t="shared" si="610"/>
        <v/>
      </c>
      <c r="B5609" s="83" t="str">
        <f t="shared" si="616"/>
        <v/>
      </c>
      <c r="U5609" s="83" t="str">
        <f t="shared" si="611"/>
        <v/>
      </c>
      <c r="V5609" s="83" t="str">
        <f t="shared" si="612"/>
        <v/>
      </c>
      <c r="AA5609" s="60">
        <f t="shared" si="613"/>
        <v>0</v>
      </c>
      <c r="AB5609" s="49">
        <f t="shared" si="614"/>
        <v>0</v>
      </c>
      <c r="AC5609" s="60">
        <f t="shared" si="615"/>
        <v>0</v>
      </c>
    </row>
    <row r="5610" spans="1:29">
      <c r="A5610" s="83" t="str">
        <f t="shared" si="610"/>
        <v/>
      </c>
      <c r="B5610" s="83" t="str">
        <f t="shared" si="616"/>
        <v/>
      </c>
      <c r="U5610" s="83" t="str">
        <f t="shared" si="611"/>
        <v/>
      </c>
      <c r="V5610" s="83" t="str">
        <f t="shared" si="612"/>
        <v/>
      </c>
      <c r="AA5610" s="60">
        <f t="shared" si="613"/>
        <v>0</v>
      </c>
      <c r="AB5610" s="49">
        <f t="shared" si="614"/>
        <v>0</v>
      </c>
      <c r="AC5610" s="60">
        <f t="shared" si="615"/>
        <v>0</v>
      </c>
    </row>
    <row r="5611" spans="1:29">
      <c r="A5611" s="83" t="str">
        <f t="shared" si="610"/>
        <v/>
      </c>
      <c r="B5611" s="83" t="str">
        <f t="shared" si="616"/>
        <v/>
      </c>
      <c r="U5611" s="83" t="str">
        <f t="shared" si="611"/>
        <v/>
      </c>
      <c r="V5611" s="83" t="str">
        <f t="shared" si="612"/>
        <v/>
      </c>
      <c r="AA5611" s="60">
        <f t="shared" si="613"/>
        <v>0</v>
      </c>
      <c r="AB5611" s="49">
        <f t="shared" si="614"/>
        <v>0</v>
      </c>
      <c r="AC5611" s="60">
        <f t="shared" si="615"/>
        <v>0</v>
      </c>
    </row>
    <row r="5612" spans="1:29">
      <c r="A5612" s="83" t="str">
        <f t="shared" si="610"/>
        <v/>
      </c>
      <c r="B5612" s="83" t="str">
        <f t="shared" si="616"/>
        <v/>
      </c>
      <c r="U5612" s="83" t="str">
        <f t="shared" si="611"/>
        <v/>
      </c>
      <c r="V5612" s="83" t="str">
        <f t="shared" si="612"/>
        <v/>
      </c>
      <c r="AA5612" s="60">
        <f t="shared" si="613"/>
        <v>0</v>
      </c>
      <c r="AB5612" s="49">
        <f t="shared" si="614"/>
        <v>0</v>
      </c>
      <c r="AC5612" s="60">
        <f t="shared" si="615"/>
        <v>0</v>
      </c>
    </row>
    <row r="5613" spans="1:29">
      <c r="A5613" s="83" t="str">
        <f t="shared" si="610"/>
        <v/>
      </c>
      <c r="B5613" s="83" t="str">
        <f t="shared" si="616"/>
        <v/>
      </c>
      <c r="U5613" s="83" t="str">
        <f t="shared" si="611"/>
        <v/>
      </c>
      <c r="V5613" s="83" t="str">
        <f t="shared" si="612"/>
        <v/>
      </c>
      <c r="AA5613" s="60">
        <f t="shared" si="613"/>
        <v>0</v>
      </c>
      <c r="AB5613" s="49">
        <f t="shared" si="614"/>
        <v>0</v>
      </c>
      <c r="AC5613" s="60">
        <f t="shared" si="615"/>
        <v>0</v>
      </c>
    </row>
    <row r="5614" spans="1:29">
      <c r="A5614" s="83" t="str">
        <f t="shared" si="610"/>
        <v/>
      </c>
      <c r="B5614" s="83" t="str">
        <f t="shared" si="616"/>
        <v/>
      </c>
      <c r="U5614" s="83" t="str">
        <f t="shared" si="611"/>
        <v/>
      </c>
      <c r="V5614" s="83" t="str">
        <f t="shared" si="612"/>
        <v/>
      </c>
      <c r="AA5614" s="60">
        <f t="shared" si="613"/>
        <v>0</v>
      </c>
      <c r="AB5614" s="49">
        <f t="shared" si="614"/>
        <v>0</v>
      </c>
      <c r="AC5614" s="60">
        <f t="shared" si="615"/>
        <v>0</v>
      </c>
    </row>
    <row r="5615" spans="1:29">
      <c r="A5615" s="83" t="str">
        <f t="shared" si="610"/>
        <v/>
      </c>
      <c r="B5615" s="83" t="str">
        <f t="shared" si="616"/>
        <v/>
      </c>
      <c r="U5615" s="83" t="str">
        <f t="shared" si="611"/>
        <v/>
      </c>
      <c r="V5615" s="83" t="str">
        <f t="shared" si="612"/>
        <v/>
      </c>
      <c r="AA5615" s="60">
        <f t="shared" si="613"/>
        <v>0</v>
      </c>
      <c r="AB5615" s="49">
        <f t="shared" si="614"/>
        <v>0</v>
      </c>
      <c r="AC5615" s="60">
        <f t="shared" si="615"/>
        <v>0</v>
      </c>
    </row>
    <row r="5616" spans="1:29">
      <c r="A5616" s="83" t="str">
        <f t="shared" si="610"/>
        <v/>
      </c>
      <c r="B5616" s="83" t="str">
        <f t="shared" si="616"/>
        <v/>
      </c>
      <c r="U5616" s="83" t="str">
        <f t="shared" si="611"/>
        <v/>
      </c>
      <c r="V5616" s="83" t="str">
        <f t="shared" si="612"/>
        <v/>
      </c>
      <c r="AA5616" s="60">
        <f t="shared" si="613"/>
        <v>0</v>
      </c>
      <c r="AB5616" s="49">
        <f t="shared" si="614"/>
        <v>0</v>
      </c>
      <c r="AC5616" s="60">
        <f t="shared" si="615"/>
        <v>0</v>
      </c>
    </row>
    <row r="5617" spans="1:29">
      <c r="A5617" s="83" t="str">
        <f t="shared" si="610"/>
        <v/>
      </c>
      <c r="B5617" s="83" t="str">
        <f t="shared" si="616"/>
        <v/>
      </c>
      <c r="U5617" s="83" t="str">
        <f t="shared" si="611"/>
        <v/>
      </c>
      <c r="V5617" s="83" t="str">
        <f t="shared" si="612"/>
        <v/>
      </c>
      <c r="AA5617" s="60">
        <f t="shared" si="613"/>
        <v>0</v>
      </c>
      <c r="AB5617" s="49">
        <f t="shared" si="614"/>
        <v>0</v>
      </c>
      <c r="AC5617" s="60">
        <f t="shared" si="615"/>
        <v>0</v>
      </c>
    </row>
    <row r="5618" spans="1:29">
      <c r="A5618" s="83" t="str">
        <f t="shared" si="610"/>
        <v/>
      </c>
      <c r="B5618" s="83" t="str">
        <f t="shared" si="616"/>
        <v/>
      </c>
      <c r="U5618" s="83" t="str">
        <f t="shared" si="611"/>
        <v/>
      </c>
      <c r="V5618" s="83" t="str">
        <f t="shared" si="612"/>
        <v/>
      </c>
      <c r="AA5618" s="60">
        <f t="shared" si="613"/>
        <v>0</v>
      </c>
      <c r="AB5618" s="49">
        <f t="shared" si="614"/>
        <v>0</v>
      </c>
      <c r="AC5618" s="60">
        <f t="shared" si="615"/>
        <v>0</v>
      </c>
    </row>
    <row r="5619" spans="1:29">
      <c r="A5619" s="83" t="str">
        <f t="shared" si="610"/>
        <v/>
      </c>
      <c r="B5619" s="83" t="str">
        <f t="shared" si="616"/>
        <v/>
      </c>
      <c r="U5619" s="83" t="str">
        <f t="shared" si="611"/>
        <v/>
      </c>
      <c r="V5619" s="83" t="str">
        <f t="shared" si="612"/>
        <v/>
      </c>
      <c r="AA5619" s="60">
        <f t="shared" si="613"/>
        <v>0</v>
      </c>
      <c r="AB5619" s="49">
        <f t="shared" si="614"/>
        <v>0</v>
      </c>
      <c r="AC5619" s="60">
        <f t="shared" si="615"/>
        <v>0</v>
      </c>
    </row>
    <row r="5620" spans="1:29">
      <c r="A5620" s="83" t="str">
        <f t="shared" si="610"/>
        <v/>
      </c>
      <c r="B5620" s="83" t="str">
        <f t="shared" si="616"/>
        <v/>
      </c>
      <c r="U5620" s="83" t="str">
        <f t="shared" si="611"/>
        <v/>
      </c>
      <c r="V5620" s="83" t="str">
        <f t="shared" si="612"/>
        <v/>
      </c>
      <c r="AA5620" s="60">
        <f t="shared" si="613"/>
        <v>0</v>
      </c>
      <c r="AB5620" s="49">
        <f t="shared" si="614"/>
        <v>0</v>
      </c>
      <c r="AC5620" s="60">
        <f t="shared" si="615"/>
        <v>0</v>
      </c>
    </row>
    <row r="5621" spans="1:29">
      <c r="A5621" s="83" t="str">
        <f t="shared" si="610"/>
        <v/>
      </c>
      <c r="B5621" s="83" t="str">
        <f t="shared" si="616"/>
        <v/>
      </c>
      <c r="U5621" s="83" t="str">
        <f t="shared" si="611"/>
        <v/>
      </c>
      <c r="V5621" s="83" t="str">
        <f t="shared" si="612"/>
        <v/>
      </c>
      <c r="AA5621" s="60">
        <f t="shared" si="613"/>
        <v>0</v>
      </c>
      <c r="AB5621" s="49">
        <f t="shared" si="614"/>
        <v>0</v>
      </c>
      <c r="AC5621" s="60">
        <f t="shared" si="615"/>
        <v>0</v>
      </c>
    </row>
    <row r="5622" spans="1:29">
      <c r="A5622" s="83" t="str">
        <f t="shared" si="610"/>
        <v/>
      </c>
      <c r="B5622" s="83" t="str">
        <f t="shared" si="616"/>
        <v/>
      </c>
      <c r="U5622" s="83" t="str">
        <f t="shared" si="611"/>
        <v/>
      </c>
      <c r="V5622" s="83" t="str">
        <f t="shared" si="612"/>
        <v/>
      </c>
      <c r="AA5622" s="60">
        <f t="shared" si="613"/>
        <v>0</v>
      </c>
      <c r="AB5622" s="49">
        <f t="shared" si="614"/>
        <v>0</v>
      </c>
      <c r="AC5622" s="60">
        <f t="shared" si="615"/>
        <v>0</v>
      </c>
    </row>
    <row r="5623" spans="1:29">
      <c r="A5623" s="83" t="str">
        <f t="shared" si="610"/>
        <v/>
      </c>
      <c r="B5623" s="83" t="str">
        <f t="shared" si="616"/>
        <v/>
      </c>
      <c r="U5623" s="83" t="str">
        <f t="shared" si="611"/>
        <v/>
      </c>
      <c r="V5623" s="83" t="str">
        <f t="shared" si="612"/>
        <v/>
      </c>
      <c r="AA5623" s="60">
        <f t="shared" si="613"/>
        <v>0</v>
      </c>
      <c r="AB5623" s="49">
        <f t="shared" si="614"/>
        <v>0</v>
      </c>
      <c r="AC5623" s="60">
        <f t="shared" si="615"/>
        <v>0</v>
      </c>
    </row>
    <row r="5624" spans="1:29">
      <c r="A5624" s="83" t="str">
        <f t="shared" si="610"/>
        <v/>
      </c>
      <c r="B5624" s="83" t="str">
        <f t="shared" si="616"/>
        <v/>
      </c>
      <c r="U5624" s="83" t="str">
        <f t="shared" si="611"/>
        <v/>
      </c>
      <c r="V5624" s="83" t="str">
        <f t="shared" si="612"/>
        <v/>
      </c>
      <c r="AA5624" s="60">
        <f t="shared" si="613"/>
        <v>0</v>
      </c>
      <c r="AB5624" s="49">
        <f t="shared" si="614"/>
        <v>0</v>
      </c>
      <c r="AC5624" s="60">
        <f t="shared" si="615"/>
        <v>0</v>
      </c>
    </row>
    <row r="5625" spans="1:29">
      <c r="A5625" s="83" t="str">
        <f t="shared" si="610"/>
        <v/>
      </c>
      <c r="B5625" s="83" t="str">
        <f t="shared" si="616"/>
        <v/>
      </c>
      <c r="U5625" s="83" t="str">
        <f t="shared" si="611"/>
        <v/>
      </c>
      <c r="V5625" s="83" t="str">
        <f t="shared" si="612"/>
        <v/>
      </c>
      <c r="AA5625" s="60">
        <f t="shared" si="613"/>
        <v>0</v>
      </c>
      <c r="AB5625" s="49">
        <f t="shared" si="614"/>
        <v>0</v>
      </c>
      <c r="AC5625" s="60">
        <f t="shared" si="615"/>
        <v>0</v>
      </c>
    </row>
    <row r="5626" spans="1:29">
      <c r="A5626" s="83" t="str">
        <f t="shared" si="610"/>
        <v/>
      </c>
      <c r="B5626" s="83" t="str">
        <f t="shared" si="616"/>
        <v/>
      </c>
      <c r="U5626" s="83" t="str">
        <f t="shared" si="611"/>
        <v/>
      </c>
      <c r="V5626" s="83" t="str">
        <f t="shared" si="612"/>
        <v/>
      </c>
      <c r="AA5626" s="60">
        <f t="shared" si="613"/>
        <v>0</v>
      </c>
      <c r="AB5626" s="49">
        <f t="shared" si="614"/>
        <v>0</v>
      </c>
      <c r="AC5626" s="60">
        <f t="shared" si="615"/>
        <v>0</v>
      </c>
    </row>
    <row r="5627" spans="1:29">
      <c r="A5627" s="83" t="str">
        <f t="shared" si="610"/>
        <v/>
      </c>
      <c r="B5627" s="83" t="str">
        <f t="shared" si="616"/>
        <v/>
      </c>
      <c r="U5627" s="83" t="str">
        <f t="shared" si="611"/>
        <v/>
      </c>
      <c r="V5627" s="83" t="str">
        <f t="shared" si="612"/>
        <v/>
      </c>
      <c r="AA5627" s="60">
        <f t="shared" si="613"/>
        <v>0</v>
      </c>
      <c r="AB5627" s="49">
        <f t="shared" si="614"/>
        <v>0</v>
      </c>
      <c r="AC5627" s="60">
        <f t="shared" si="615"/>
        <v>0</v>
      </c>
    </row>
    <row r="5628" spans="1:29">
      <c r="A5628" s="83" t="str">
        <f t="shared" si="610"/>
        <v/>
      </c>
      <c r="B5628" s="83" t="str">
        <f t="shared" si="616"/>
        <v/>
      </c>
      <c r="U5628" s="83" t="str">
        <f t="shared" si="611"/>
        <v/>
      </c>
      <c r="V5628" s="83" t="str">
        <f t="shared" si="612"/>
        <v/>
      </c>
      <c r="AA5628" s="60">
        <f t="shared" si="613"/>
        <v>0</v>
      </c>
      <c r="AB5628" s="49">
        <f t="shared" si="614"/>
        <v>0</v>
      </c>
      <c r="AC5628" s="60">
        <f t="shared" si="615"/>
        <v>0</v>
      </c>
    </row>
    <row r="5629" spans="1:29">
      <c r="A5629" s="83" t="str">
        <f t="shared" si="610"/>
        <v/>
      </c>
      <c r="B5629" s="83" t="str">
        <f t="shared" si="616"/>
        <v/>
      </c>
      <c r="U5629" s="83" t="str">
        <f t="shared" si="611"/>
        <v/>
      </c>
      <c r="V5629" s="83" t="str">
        <f t="shared" si="612"/>
        <v/>
      </c>
      <c r="AA5629" s="60">
        <f t="shared" si="613"/>
        <v>0</v>
      </c>
      <c r="AB5629" s="49">
        <f t="shared" si="614"/>
        <v>0</v>
      </c>
      <c r="AC5629" s="60">
        <f t="shared" si="615"/>
        <v>0</v>
      </c>
    </row>
    <row r="5630" spans="1:29">
      <c r="A5630" s="83" t="str">
        <f t="shared" si="610"/>
        <v/>
      </c>
      <c r="B5630" s="83" t="str">
        <f t="shared" si="616"/>
        <v/>
      </c>
      <c r="U5630" s="83" t="str">
        <f t="shared" si="611"/>
        <v/>
      </c>
      <c r="V5630" s="83" t="str">
        <f t="shared" si="612"/>
        <v/>
      </c>
      <c r="AA5630" s="60">
        <f t="shared" si="613"/>
        <v>0</v>
      </c>
      <c r="AB5630" s="49">
        <f t="shared" si="614"/>
        <v>0</v>
      </c>
      <c r="AC5630" s="60">
        <f t="shared" si="615"/>
        <v>0</v>
      </c>
    </row>
    <row r="5631" spans="1:29">
      <c r="A5631" s="83" t="str">
        <f t="shared" si="610"/>
        <v/>
      </c>
      <c r="B5631" s="83" t="str">
        <f t="shared" si="616"/>
        <v/>
      </c>
      <c r="U5631" s="83" t="str">
        <f t="shared" si="611"/>
        <v/>
      </c>
      <c r="V5631" s="83" t="str">
        <f t="shared" si="612"/>
        <v/>
      </c>
      <c r="AA5631" s="60">
        <f t="shared" si="613"/>
        <v>0</v>
      </c>
      <c r="AB5631" s="49">
        <f t="shared" si="614"/>
        <v>0</v>
      </c>
      <c r="AC5631" s="60">
        <f t="shared" si="615"/>
        <v>0</v>
      </c>
    </row>
    <row r="5632" spans="1:29">
      <c r="A5632" s="83" t="str">
        <f t="shared" si="610"/>
        <v/>
      </c>
      <c r="B5632" s="83" t="str">
        <f t="shared" si="616"/>
        <v/>
      </c>
      <c r="U5632" s="83" t="str">
        <f t="shared" si="611"/>
        <v/>
      </c>
      <c r="V5632" s="83" t="str">
        <f t="shared" si="612"/>
        <v/>
      </c>
      <c r="AA5632" s="60">
        <f t="shared" si="613"/>
        <v>0</v>
      </c>
      <c r="AB5632" s="49">
        <f t="shared" si="614"/>
        <v>0</v>
      </c>
      <c r="AC5632" s="60">
        <f t="shared" si="615"/>
        <v>0</v>
      </c>
    </row>
    <row r="5633" spans="1:29">
      <c r="A5633" s="83" t="str">
        <f t="shared" si="610"/>
        <v/>
      </c>
      <c r="B5633" s="83" t="str">
        <f t="shared" si="616"/>
        <v/>
      </c>
      <c r="U5633" s="83" t="str">
        <f t="shared" si="611"/>
        <v/>
      </c>
      <c r="V5633" s="83" t="str">
        <f t="shared" si="612"/>
        <v/>
      </c>
      <c r="AA5633" s="60">
        <f t="shared" si="613"/>
        <v>0</v>
      </c>
      <c r="AB5633" s="49">
        <f t="shared" si="614"/>
        <v>0</v>
      </c>
      <c r="AC5633" s="60">
        <f t="shared" si="615"/>
        <v>0</v>
      </c>
    </row>
    <row r="5634" spans="1:29">
      <c r="A5634" s="83" t="str">
        <f t="shared" si="610"/>
        <v/>
      </c>
      <c r="B5634" s="83" t="str">
        <f t="shared" si="616"/>
        <v/>
      </c>
      <c r="U5634" s="83" t="str">
        <f t="shared" si="611"/>
        <v/>
      </c>
      <c r="V5634" s="83" t="str">
        <f t="shared" si="612"/>
        <v/>
      </c>
      <c r="AA5634" s="60">
        <f t="shared" si="613"/>
        <v>0</v>
      </c>
      <c r="AB5634" s="49">
        <f t="shared" si="614"/>
        <v>0</v>
      </c>
      <c r="AC5634" s="60">
        <f t="shared" si="615"/>
        <v>0</v>
      </c>
    </row>
    <row r="5635" spans="1:29">
      <c r="A5635" s="83" t="str">
        <f t="shared" ref="A5635:A5698" si="617">IF(G5635&amp;Q5635&lt;&gt;"",U5635&amp;Q5635,"")</f>
        <v/>
      </c>
      <c r="B5635" s="83" t="str">
        <f t="shared" si="616"/>
        <v/>
      </c>
      <c r="U5635" s="83" t="str">
        <f t="shared" ref="U5635:U5698" si="618">IF(G5635&lt;&gt;"",IF(StyleSpaceSplit,IFERROR(IF(FIND(" ",G5635)&gt;=1,MID(G5635,1,FIND(" ",G5635)-1),G5635),G5635),G5635),"")</f>
        <v/>
      </c>
      <c r="V5635" s="83" t="str">
        <f t="shared" ref="V5635:V5698" si="619">IF(A5635&lt;&gt;"",IFERROR(IF(FIND(" ",G5635)&gt;=1,MID(G5635,FIND(" ",G5635)+1,LEN(G5635)),""),G5635),"")</f>
        <v/>
      </c>
      <c r="AA5635" s="60">
        <f t="shared" ref="AA5635:AA5698" si="620">IFERROR(VALUE(MID($C5635,1,2)),0)</f>
        <v>0</v>
      </c>
      <c r="AB5635" s="49">
        <f t="shared" ref="AB5635:AB5698" si="621">IFERROR(VALUE(MID($C5635,4,3)),0)</f>
        <v>0</v>
      </c>
      <c r="AC5635" s="60">
        <f t="shared" ref="AC5635:AC5698" si="622">VALUE(RIGHT("00"&amp;AA5635,2)&amp;RIGHT("000"&amp;AB5635,3))</f>
        <v>0</v>
      </c>
    </row>
    <row r="5636" spans="1:29">
      <c r="A5636" s="83" t="str">
        <f t="shared" si="617"/>
        <v/>
      </c>
      <c r="B5636" s="83" t="str">
        <f t="shared" si="616"/>
        <v/>
      </c>
      <c r="U5636" s="83" t="str">
        <f t="shared" si="618"/>
        <v/>
      </c>
      <c r="V5636" s="83" t="str">
        <f t="shared" si="619"/>
        <v/>
      </c>
      <c r="AA5636" s="60">
        <f t="shared" si="620"/>
        <v>0</v>
      </c>
      <c r="AB5636" s="49">
        <f t="shared" si="621"/>
        <v>0</v>
      </c>
      <c r="AC5636" s="60">
        <f t="shared" si="622"/>
        <v>0</v>
      </c>
    </row>
    <row r="5637" spans="1:29">
      <c r="A5637" s="83" t="str">
        <f t="shared" si="617"/>
        <v/>
      </c>
      <c r="B5637" s="83" t="str">
        <f t="shared" si="616"/>
        <v/>
      </c>
      <c r="U5637" s="83" t="str">
        <f t="shared" si="618"/>
        <v/>
      </c>
      <c r="V5637" s="83" t="str">
        <f t="shared" si="619"/>
        <v/>
      </c>
      <c r="AA5637" s="60">
        <f t="shared" si="620"/>
        <v>0</v>
      </c>
      <c r="AB5637" s="49">
        <f t="shared" si="621"/>
        <v>0</v>
      </c>
      <c r="AC5637" s="60">
        <f t="shared" si="622"/>
        <v>0</v>
      </c>
    </row>
    <row r="5638" spans="1:29">
      <c r="A5638" s="83" t="str">
        <f t="shared" si="617"/>
        <v/>
      </c>
      <c r="B5638" s="83" t="str">
        <f t="shared" si="616"/>
        <v/>
      </c>
      <c r="U5638" s="83" t="str">
        <f t="shared" si="618"/>
        <v/>
      </c>
      <c r="V5638" s="83" t="str">
        <f t="shared" si="619"/>
        <v/>
      </c>
      <c r="AA5638" s="60">
        <f t="shared" si="620"/>
        <v>0</v>
      </c>
      <c r="AB5638" s="49">
        <f t="shared" si="621"/>
        <v>0</v>
      </c>
      <c r="AC5638" s="60">
        <f t="shared" si="622"/>
        <v>0</v>
      </c>
    </row>
    <row r="5639" spans="1:29">
      <c r="A5639" s="83" t="str">
        <f t="shared" si="617"/>
        <v/>
      </c>
      <c r="B5639" s="83" t="str">
        <f t="shared" si="616"/>
        <v/>
      </c>
      <c r="U5639" s="83" t="str">
        <f t="shared" si="618"/>
        <v/>
      </c>
      <c r="V5639" s="83" t="str">
        <f t="shared" si="619"/>
        <v/>
      </c>
      <c r="AA5639" s="60">
        <f t="shared" si="620"/>
        <v>0</v>
      </c>
      <c r="AB5639" s="49">
        <f t="shared" si="621"/>
        <v>0</v>
      </c>
      <c r="AC5639" s="60">
        <f t="shared" si="622"/>
        <v>0</v>
      </c>
    </row>
    <row r="5640" spans="1:29">
      <c r="A5640" s="83" t="str">
        <f t="shared" si="617"/>
        <v/>
      </c>
      <c r="B5640" s="83" t="str">
        <f t="shared" si="616"/>
        <v/>
      </c>
      <c r="U5640" s="83" t="str">
        <f t="shared" si="618"/>
        <v/>
      </c>
      <c r="V5640" s="83" t="str">
        <f t="shared" si="619"/>
        <v/>
      </c>
      <c r="AA5640" s="60">
        <f t="shared" si="620"/>
        <v>0</v>
      </c>
      <c r="AB5640" s="49">
        <f t="shared" si="621"/>
        <v>0</v>
      </c>
      <c r="AC5640" s="60">
        <f t="shared" si="622"/>
        <v>0</v>
      </c>
    </row>
    <row r="5641" spans="1:29">
      <c r="A5641" s="83" t="str">
        <f t="shared" si="617"/>
        <v/>
      </c>
      <c r="B5641" s="83" t="str">
        <f t="shared" si="616"/>
        <v/>
      </c>
      <c r="U5641" s="83" t="str">
        <f t="shared" si="618"/>
        <v/>
      </c>
      <c r="V5641" s="83" t="str">
        <f t="shared" si="619"/>
        <v/>
      </c>
      <c r="AA5641" s="60">
        <f t="shared" si="620"/>
        <v>0</v>
      </c>
      <c r="AB5641" s="49">
        <f t="shared" si="621"/>
        <v>0</v>
      </c>
      <c r="AC5641" s="60">
        <f t="shared" si="622"/>
        <v>0</v>
      </c>
    </row>
    <row r="5642" spans="1:29">
      <c r="A5642" s="83" t="str">
        <f t="shared" si="617"/>
        <v/>
      </c>
      <c r="B5642" s="83" t="str">
        <f t="shared" si="616"/>
        <v/>
      </c>
      <c r="U5642" s="83" t="str">
        <f t="shared" si="618"/>
        <v/>
      </c>
      <c r="V5642" s="83" t="str">
        <f t="shared" si="619"/>
        <v/>
      </c>
      <c r="AA5642" s="60">
        <f t="shared" si="620"/>
        <v>0</v>
      </c>
      <c r="AB5642" s="49">
        <f t="shared" si="621"/>
        <v>0</v>
      </c>
      <c r="AC5642" s="60">
        <f t="shared" si="622"/>
        <v>0</v>
      </c>
    </row>
    <row r="5643" spans="1:29">
      <c r="A5643" s="83" t="str">
        <f t="shared" si="617"/>
        <v/>
      </c>
      <c r="B5643" s="83" t="str">
        <f t="shared" si="616"/>
        <v/>
      </c>
      <c r="U5643" s="83" t="str">
        <f t="shared" si="618"/>
        <v/>
      </c>
      <c r="V5643" s="83" t="str">
        <f t="shared" si="619"/>
        <v/>
      </c>
      <c r="AA5643" s="60">
        <f t="shared" si="620"/>
        <v>0</v>
      </c>
      <c r="AB5643" s="49">
        <f t="shared" si="621"/>
        <v>0</v>
      </c>
      <c r="AC5643" s="60">
        <f t="shared" si="622"/>
        <v>0</v>
      </c>
    </row>
    <row r="5644" spans="1:29">
      <c r="A5644" s="83" t="str">
        <f t="shared" si="617"/>
        <v/>
      </c>
      <c r="B5644" s="83" t="str">
        <f t="shared" si="616"/>
        <v/>
      </c>
      <c r="U5644" s="83" t="str">
        <f t="shared" si="618"/>
        <v/>
      </c>
      <c r="V5644" s="83" t="str">
        <f t="shared" si="619"/>
        <v/>
      </c>
      <c r="AA5644" s="60">
        <f t="shared" si="620"/>
        <v>0</v>
      </c>
      <c r="AB5644" s="49">
        <f t="shared" si="621"/>
        <v>0</v>
      </c>
      <c r="AC5644" s="60">
        <f t="shared" si="622"/>
        <v>0</v>
      </c>
    </row>
    <row r="5645" spans="1:29">
      <c r="A5645" s="83" t="str">
        <f t="shared" si="617"/>
        <v/>
      </c>
      <c r="B5645" s="83" t="str">
        <f t="shared" si="616"/>
        <v/>
      </c>
      <c r="U5645" s="83" t="str">
        <f t="shared" si="618"/>
        <v/>
      </c>
      <c r="V5645" s="83" t="str">
        <f t="shared" si="619"/>
        <v/>
      </c>
      <c r="AA5645" s="60">
        <f t="shared" si="620"/>
        <v>0</v>
      </c>
      <c r="AB5645" s="49">
        <f t="shared" si="621"/>
        <v>0</v>
      </c>
      <c r="AC5645" s="60">
        <f t="shared" si="622"/>
        <v>0</v>
      </c>
    </row>
    <row r="5646" spans="1:29">
      <c r="A5646" s="83" t="str">
        <f t="shared" si="617"/>
        <v/>
      </c>
      <c r="B5646" s="83" t="str">
        <f t="shared" si="616"/>
        <v/>
      </c>
      <c r="U5646" s="83" t="str">
        <f t="shared" si="618"/>
        <v/>
      </c>
      <c r="V5646" s="83" t="str">
        <f t="shared" si="619"/>
        <v/>
      </c>
      <c r="AA5646" s="60">
        <f t="shared" si="620"/>
        <v>0</v>
      </c>
      <c r="AB5646" s="49">
        <f t="shared" si="621"/>
        <v>0</v>
      </c>
      <c r="AC5646" s="60">
        <f t="shared" si="622"/>
        <v>0</v>
      </c>
    </row>
    <row r="5647" spans="1:29">
      <c r="A5647" s="83" t="str">
        <f t="shared" si="617"/>
        <v/>
      </c>
      <c r="B5647" s="83" t="str">
        <f t="shared" si="616"/>
        <v/>
      </c>
      <c r="U5647" s="83" t="str">
        <f t="shared" si="618"/>
        <v/>
      </c>
      <c r="V5647" s="83" t="str">
        <f t="shared" si="619"/>
        <v/>
      </c>
      <c r="AA5647" s="60">
        <f t="shared" si="620"/>
        <v>0</v>
      </c>
      <c r="AB5647" s="49">
        <f t="shared" si="621"/>
        <v>0</v>
      </c>
      <c r="AC5647" s="60">
        <f t="shared" si="622"/>
        <v>0</v>
      </c>
    </row>
    <row r="5648" spans="1:29">
      <c r="A5648" s="83" t="str">
        <f t="shared" si="617"/>
        <v/>
      </c>
      <c r="B5648" s="83" t="str">
        <f t="shared" si="616"/>
        <v/>
      </c>
      <c r="U5648" s="83" t="str">
        <f t="shared" si="618"/>
        <v/>
      </c>
      <c r="V5648" s="83" t="str">
        <f t="shared" si="619"/>
        <v/>
      </c>
      <c r="AA5648" s="60">
        <f t="shared" si="620"/>
        <v>0</v>
      </c>
      <c r="AB5648" s="49">
        <f t="shared" si="621"/>
        <v>0</v>
      </c>
      <c r="AC5648" s="60">
        <f t="shared" si="622"/>
        <v>0</v>
      </c>
    </row>
    <row r="5649" spans="1:29">
      <c r="A5649" s="83" t="str">
        <f t="shared" si="617"/>
        <v/>
      </c>
      <c r="B5649" s="83" t="str">
        <f t="shared" si="616"/>
        <v/>
      </c>
      <c r="U5649" s="83" t="str">
        <f t="shared" si="618"/>
        <v/>
      </c>
      <c r="V5649" s="83" t="str">
        <f t="shared" si="619"/>
        <v/>
      </c>
      <c r="AA5649" s="60">
        <f t="shared" si="620"/>
        <v>0</v>
      </c>
      <c r="AB5649" s="49">
        <f t="shared" si="621"/>
        <v>0</v>
      </c>
      <c r="AC5649" s="60">
        <f t="shared" si="622"/>
        <v>0</v>
      </c>
    </row>
    <row r="5650" spans="1:29">
      <c r="A5650" s="83" t="str">
        <f t="shared" si="617"/>
        <v/>
      </c>
      <c r="B5650" s="83" t="str">
        <f t="shared" si="616"/>
        <v/>
      </c>
      <c r="U5650" s="83" t="str">
        <f t="shared" si="618"/>
        <v/>
      </c>
      <c r="V5650" s="83" t="str">
        <f t="shared" si="619"/>
        <v/>
      </c>
      <c r="AA5650" s="60">
        <f t="shared" si="620"/>
        <v>0</v>
      </c>
      <c r="AB5650" s="49">
        <f t="shared" si="621"/>
        <v>0</v>
      </c>
      <c r="AC5650" s="60">
        <f t="shared" si="622"/>
        <v>0</v>
      </c>
    </row>
    <row r="5651" spans="1:29">
      <c r="A5651" s="83" t="str">
        <f t="shared" si="617"/>
        <v/>
      </c>
      <c r="B5651" s="83" t="str">
        <f t="shared" si="616"/>
        <v/>
      </c>
      <c r="U5651" s="83" t="str">
        <f t="shared" si="618"/>
        <v/>
      </c>
      <c r="V5651" s="83" t="str">
        <f t="shared" si="619"/>
        <v/>
      </c>
      <c r="AA5651" s="60">
        <f t="shared" si="620"/>
        <v>0</v>
      </c>
      <c r="AB5651" s="49">
        <f t="shared" si="621"/>
        <v>0</v>
      </c>
      <c r="AC5651" s="60">
        <f t="shared" si="622"/>
        <v>0</v>
      </c>
    </row>
    <row r="5652" spans="1:29">
      <c r="A5652" s="83" t="str">
        <f t="shared" si="617"/>
        <v/>
      </c>
      <c r="B5652" s="83" t="str">
        <f t="shared" si="616"/>
        <v/>
      </c>
      <c r="U5652" s="83" t="str">
        <f t="shared" si="618"/>
        <v/>
      </c>
      <c r="V5652" s="83" t="str">
        <f t="shared" si="619"/>
        <v/>
      </c>
      <c r="AA5652" s="60">
        <f t="shared" si="620"/>
        <v>0</v>
      </c>
      <c r="AB5652" s="49">
        <f t="shared" si="621"/>
        <v>0</v>
      </c>
      <c r="AC5652" s="60">
        <f t="shared" si="622"/>
        <v>0</v>
      </c>
    </row>
    <row r="5653" spans="1:29">
      <c r="A5653" s="83" t="str">
        <f t="shared" si="617"/>
        <v/>
      </c>
      <c r="B5653" s="83" t="str">
        <f t="shared" si="616"/>
        <v/>
      </c>
      <c r="U5653" s="83" t="str">
        <f t="shared" si="618"/>
        <v/>
      </c>
      <c r="V5653" s="83" t="str">
        <f t="shared" si="619"/>
        <v/>
      </c>
      <c r="AA5653" s="60">
        <f t="shared" si="620"/>
        <v>0</v>
      </c>
      <c r="AB5653" s="49">
        <f t="shared" si="621"/>
        <v>0</v>
      </c>
      <c r="AC5653" s="60">
        <f t="shared" si="622"/>
        <v>0</v>
      </c>
    </row>
    <row r="5654" spans="1:29">
      <c r="A5654" s="83" t="str">
        <f t="shared" si="617"/>
        <v/>
      </c>
      <c r="B5654" s="83" t="str">
        <f t="shared" si="616"/>
        <v/>
      </c>
      <c r="U5654" s="83" t="str">
        <f t="shared" si="618"/>
        <v/>
      </c>
      <c r="V5654" s="83" t="str">
        <f t="shared" si="619"/>
        <v/>
      </c>
      <c r="AA5654" s="60">
        <f t="shared" si="620"/>
        <v>0</v>
      </c>
      <c r="AB5654" s="49">
        <f t="shared" si="621"/>
        <v>0</v>
      </c>
      <c r="AC5654" s="60">
        <f t="shared" si="622"/>
        <v>0</v>
      </c>
    </row>
    <row r="5655" spans="1:29">
      <c r="A5655" s="83" t="str">
        <f t="shared" si="617"/>
        <v/>
      </c>
      <c r="B5655" s="83" t="str">
        <f t="shared" si="616"/>
        <v/>
      </c>
      <c r="U5655" s="83" t="str">
        <f t="shared" si="618"/>
        <v/>
      </c>
      <c r="V5655" s="83" t="str">
        <f t="shared" si="619"/>
        <v/>
      </c>
      <c r="AA5655" s="60">
        <f t="shared" si="620"/>
        <v>0</v>
      </c>
      <c r="AB5655" s="49">
        <f t="shared" si="621"/>
        <v>0</v>
      </c>
      <c r="AC5655" s="60">
        <f t="shared" si="622"/>
        <v>0</v>
      </c>
    </row>
    <row r="5656" spans="1:29">
      <c r="A5656" s="83" t="str">
        <f t="shared" si="617"/>
        <v/>
      </c>
      <c r="B5656" s="83" t="str">
        <f t="shared" si="616"/>
        <v/>
      </c>
      <c r="U5656" s="83" t="str">
        <f t="shared" si="618"/>
        <v/>
      </c>
      <c r="V5656" s="83" t="str">
        <f t="shared" si="619"/>
        <v/>
      </c>
      <c r="AA5656" s="60">
        <f t="shared" si="620"/>
        <v>0</v>
      </c>
      <c r="AB5656" s="49">
        <f t="shared" si="621"/>
        <v>0</v>
      </c>
      <c r="AC5656" s="60">
        <f t="shared" si="622"/>
        <v>0</v>
      </c>
    </row>
    <row r="5657" spans="1:29">
      <c r="A5657" s="83" t="str">
        <f t="shared" si="617"/>
        <v/>
      </c>
      <c r="B5657" s="83" t="str">
        <f t="shared" si="616"/>
        <v/>
      </c>
      <c r="U5657" s="83" t="str">
        <f t="shared" si="618"/>
        <v/>
      </c>
      <c r="V5657" s="83" t="str">
        <f t="shared" si="619"/>
        <v/>
      </c>
      <c r="AA5657" s="60">
        <f t="shared" si="620"/>
        <v>0</v>
      </c>
      <c r="AB5657" s="49">
        <f t="shared" si="621"/>
        <v>0</v>
      </c>
      <c r="AC5657" s="60">
        <f t="shared" si="622"/>
        <v>0</v>
      </c>
    </row>
    <row r="5658" spans="1:29">
      <c r="A5658" s="83" t="str">
        <f t="shared" si="617"/>
        <v/>
      </c>
      <c r="B5658" s="83" t="str">
        <f t="shared" si="616"/>
        <v/>
      </c>
      <c r="U5658" s="83" t="str">
        <f t="shared" si="618"/>
        <v/>
      </c>
      <c r="V5658" s="83" t="str">
        <f t="shared" si="619"/>
        <v/>
      </c>
      <c r="AA5658" s="60">
        <f t="shared" si="620"/>
        <v>0</v>
      </c>
      <c r="AB5658" s="49">
        <f t="shared" si="621"/>
        <v>0</v>
      </c>
      <c r="AC5658" s="60">
        <f t="shared" si="622"/>
        <v>0</v>
      </c>
    </row>
    <row r="5659" spans="1:29">
      <c r="A5659" s="83" t="str">
        <f t="shared" si="617"/>
        <v/>
      </c>
      <c r="B5659" s="83" t="str">
        <f t="shared" si="616"/>
        <v/>
      </c>
      <c r="U5659" s="83" t="str">
        <f t="shared" si="618"/>
        <v/>
      </c>
      <c r="V5659" s="83" t="str">
        <f t="shared" si="619"/>
        <v/>
      </c>
      <c r="AA5659" s="60">
        <f t="shared" si="620"/>
        <v>0</v>
      </c>
      <c r="AB5659" s="49">
        <f t="shared" si="621"/>
        <v>0</v>
      </c>
      <c r="AC5659" s="60">
        <f t="shared" si="622"/>
        <v>0</v>
      </c>
    </row>
    <row r="5660" spans="1:29">
      <c r="A5660" s="83" t="str">
        <f t="shared" si="617"/>
        <v/>
      </c>
      <c r="B5660" s="83" t="str">
        <f t="shared" si="616"/>
        <v/>
      </c>
      <c r="U5660" s="83" t="str">
        <f t="shared" si="618"/>
        <v/>
      </c>
      <c r="V5660" s="83" t="str">
        <f t="shared" si="619"/>
        <v/>
      </c>
      <c r="AA5660" s="60">
        <f t="shared" si="620"/>
        <v>0</v>
      </c>
      <c r="AB5660" s="49">
        <f t="shared" si="621"/>
        <v>0</v>
      </c>
      <c r="AC5660" s="60">
        <f t="shared" si="622"/>
        <v>0</v>
      </c>
    </row>
    <row r="5661" spans="1:29">
      <c r="A5661" s="83" t="str">
        <f t="shared" si="617"/>
        <v/>
      </c>
      <c r="B5661" s="83" t="str">
        <f t="shared" si="616"/>
        <v/>
      </c>
      <c r="U5661" s="83" t="str">
        <f t="shared" si="618"/>
        <v/>
      </c>
      <c r="V5661" s="83" t="str">
        <f t="shared" si="619"/>
        <v/>
      </c>
      <c r="AA5661" s="60">
        <f t="shared" si="620"/>
        <v>0</v>
      </c>
      <c r="AB5661" s="49">
        <f t="shared" si="621"/>
        <v>0</v>
      </c>
      <c r="AC5661" s="60">
        <f t="shared" si="622"/>
        <v>0</v>
      </c>
    </row>
    <row r="5662" spans="1:29">
      <c r="A5662" s="83" t="str">
        <f t="shared" si="617"/>
        <v/>
      </c>
      <c r="B5662" s="83" t="str">
        <f t="shared" si="616"/>
        <v/>
      </c>
      <c r="U5662" s="83" t="str">
        <f t="shared" si="618"/>
        <v/>
      </c>
      <c r="V5662" s="83" t="str">
        <f t="shared" si="619"/>
        <v/>
      </c>
      <c r="AA5662" s="60">
        <f t="shared" si="620"/>
        <v>0</v>
      </c>
      <c r="AB5662" s="49">
        <f t="shared" si="621"/>
        <v>0</v>
      </c>
      <c r="AC5662" s="60">
        <f t="shared" si="622"/>
        <v>0</v>
      </c>
    </row>
    <row r="5663" spans="1:29">
      <c r="A5663" s="83" t="str">
        <f t="shared" si="617"/>
        <v/>
      </c>
      <c r="B5663" s="83" t="str">
        <f t="shared" si="616"/>
        <v/>
      </c>
      <c r="U5663" s="83" t="str">
        <f t="shared" si="618"/>
        <v/>
      </c>
      <c r="V5663" s="83" t="str">
        <f t="shared" si="619"/>
        <v/>
      </c>
      <c r="AA5663" s="60">
        <f t="shared" si="620"/>
        <v>0</v>
      </c>
      <c r="AB5663" s="49">
        <f t="shared" si="621"/>
        <v>0</v>
      </c>
      <c r="AC5663" s="60">
        <f t="shared" si="622"/>
        <v>0</v>
      </c>
    </row>
    <row r="5664" spans="1:29">
      <c r="A5664" s="83" t="str">
        <f t="shared" si="617"/>
        <v/>
      </c>
      <c r="B5664" s="83" t="str">
        <f t="shared" si="616"/>
        <v/>
      </c>
      <c r="U5664" s="83" t="str">
        <f t="shared" si="618"/>
        <v/>
      </c>
      <c r="V5664" s="83" t="str">
        <f t="shared" si="619"/>
        <v/>
      </c>
      <c r="AA5664" s="60">
        <f t="shared" si="620"/>
        <v>0</v>
      </c>
      <c r="AB5664" s="49">
        <f t="shared" si="621"/>
        <v>0</v>
      </c>
      <c r="AC5664" s="60">
        <f t="shared" si="622"/>
        <v>0</v>
      </c>
    </row>
    <row r="5665" spans="1:29">
      <c r="A5665" s="83" t="str">
        <f t="shared" si="617"/>
        <v/>
      </c>
      <c r="B5665" s="83" t="str">
        <f t="shared" ref="B5665:B5728" si="623">IF(C5665&lt;&gt;"",LEFT(C5665,9),"")</f>
        <v/>
      </c>
      <c r="U5665" s="83" t="str">
        <f t="shared" si="618"/>
        <v/>
      </c>
      <c r="V5665" s="83" t="str">
        <f t="shared" si="619"/>
        <v/>
      </c>
      <c r="AA5665" s="60">
        <f t="shared" si="620"/>
        <v>0</v>
      </c>
      <c r="AB5665" s="49">
        <f t="shared" si="621"/>
        <v>0</v>
      </c>
      <c r="AC5665" s="60">
        <f t="shared" si="622"/>
        <v>0</v>
      </c>
    </row>
    <row r="5666" spans="1:29">
      <c r="A5666" s="83" t="str">
        <f t="shared" si="617"/>
        <v/>
      </c>
      <c r="B5666" s="83" t="str">
        <f t="shared" si="623"/>
        <v/>
      </c>
      <c r="U5666" s="83" t="str">
        <f t="shared" si="618"/>
        <v/>
      </c>
      <c r="V5666" s="83" t="str">
        <f t="shared" si="619"/>
        <v/>
      </c>
      <c r="AA5666" s="60">
        <f t="shared" si="620"/>
        <v>0</v>
      </c>
      <c r="AB5666" s="49">
        <f t="shared" si="621"/>
        <v>0</v>
      </c>
      <c r="AC5666" s="60">
        <f t="shared" si="622"/>
        <v>0</v>
      </c>
    </row>
    <row r="5667" spans="1:29">
      <c r="A5667" s="83" t="str">
        <f t="shared" si="617"/>
        <v/>
      </c>
      <c r="B5667" s="83" t="str">
        <f t="shared" si="623"/>
        <v/>
      </c>
      <c r="U5667" s="83" t="str">
        <f t="shared" si="618"/>
        <v/>
      </c>
      <c r="V5667" s="83" t="str">
        <f t="shared" si="619"/>
        <v/>
      </c>
      <c r="AA5667" s="60">
        <f t="shared" si="620"/>
        <v>0</v>
      </c>
      <c r="AB5667" s="49">
        <f t="shared" si="621"/>
        <v>0</v>
      </c>
      <c r="AC5667" s="60">
        <f t="shared" si="622"/>
        <v>0</v>
      </c>
    </row>
    <row r="5668" spans="1:29">
      <c r="A5668" s="83" t="str">
        <f t="shared" si="617"/>
        <v/>
      </c>
      <c r="B5668" s="83" t="str">
        <f t="shared" si="623"/>
        <v/>
      </c>
      <c r="U5668" s="83" t="str">
        <f t="shared" si="618"/>
        <v/>
      </c>
      <c r="V5668" s="83" t="str">
        <f t="shared" si="619"/>
        <v/>
      </c>
      <c r="AA5668" s="60">
        <f t="shared" si="620"/>
        <v>0</v>
      </c>
      <c r="AB5668" s="49">
        <f t="shared" si="621"/>
        <v>0</v>
      </c>
      <c r="AC5668" s="60">
        <f t="shared" si="622"/>
        <v>0</v>
      </c>
    </row>
    <row r="5669" spans="1:29">
      <c r="A5669" s="83" t="str">
        <f t="shared" si="617"/>
        <v/>
      </c>
      <c r="B5669" s="83" t="str">
        <f t="shared" si="623"/>
        <v/>
      </c>
      <c r="U5669" s="83" t="str">
        <f t="shared" si="618"/>
        <v/>
      </c>
      <c r="V5669" s="83" t="str">
        <f t="shared" si="619"/>
        <v/>
      </c>
      <c r="AA5669" s="60">
        <f t="shared" si="620"/>
        <v>0</v>
      </c>
      <c r="AB5669" s="49">
        <f t="shared" si="621"/>
        <v>0</v>
      </c>
      <c r="AC5669" s="60">
        <f t="shared" si="622"/>
        <v>0</v>
      </c>
    </row>
    <row r="5670" spans="1:29">
      <c r="A5670" s="83" t="str">
        <f t="shared" si="617"/>
        <v/>
      </c>
      <c r="B5670" s="83" t="str">
        <f t="shared" si="623"/>
        <v/>
      </c>
      <c r="U5670" s="83" t="str">
        <f t="shared" si="618"/>
        <v/>
      </c>
      <c r="V5670" s="83" t="str">
        <f t="shared" si="619"/>
        <v/>
      </c>
      <c r="AA5670" s="60">
        <f t="shared" si="620"/>
        <v>0</v>
      </c>
      <c r="AB5670" s="49">
        <f t="shared" si="621"/>
        <v>0</v>
      </c>
      <c r="AC5670" s="60">
        <f t="shared" si="622"/>
        <v>0</v>
      </c>
    </row>
    <row r="5671" spans="1:29">
      <c r="A5671" s="83" t="str">
        <f t="shared" si="617"/>
        <v/>
      </c>
      <c r="B5671" s="83" t="str">
        <f t="shared" si="623"/>
        <v/>
      </c>
      <c r="U5671" s="83" t="str">
        <f t="shared" si="618"/>
        <v/>
      </c>
      <c r="V5671" s="83" t="str">
        <f t="shared" si="619"/>
        <v/>
      </c>
      <c r="AA5671" s="60">
        <f t="shared" si="620"/>
        <v>0</v>
      </c>
      <c r="AB5671" s="49">
        <f t="shared" si="621"/>
        <v>0</v>
      </c>
      <c r="AC5671" s="60">
        <f t="shared" si="622"/>
        <v>0</v>
      </c>
    </row>
    <row r="5672" spans="1:29">
      <c r="A5672" s="83" t="str">
        <f t="shared" si="617"/>
        <v/>
      </c>
      <c r="B5672" s="83" t="str">
        <f t="shared" si="623"/>
        <v/>
      </c>
      <c r="U5672" s="83" t="str">
        <f t="shared" si="618"/>
        <v/>
      </c>
      <c r="V5672" s="83" t="str">
        <f t="shared" si="619"/>
        <v/>
      </c>
      <c r="AA5672" s="60">
        <f t="shared" si="620"/>
        <v>0</v>
      </c>
      <c r="AB5672" s="49">
        <f t="shared" si="621"/>
        <v>0</v>
      </c>
      <c r="AC5672" s="60">
        <f t="shared" si="622"/>
        <v>0</v>
      </c>
    </row>
    <row r="5673" spans="1:29">
      <c r="A5673" s="83" t="str">
        <f t="shared" si="617"/>
        <v/>
      </c>
      <c r="B5673" s="83" t="str">
        <f t="shared" si="623"/>
        <v/>
      </c>
      <c r="U5673" s="83" t="str">
        <f t="shared" si="618"/>
        <v/>
      </c>
      <c r="V5673" s="83" t="str">
        <f t="shared" si="619"/>
        <v/>
      </c>
      <c r="AA5673" s="60">
        <f t="shared" si="620"/>
        <v>0</v>
      </c>
      <c r="AB5673" s="49">
        <f t="shared" si="621"/>
        <v>0</v>
      </c>
      <c r="AC5673" s="60">
        <f t="shared" si="622"/>
        <v>0</v>
      </c>
    </row>
    <row r="5674" spans="1:29">
      <c r="A5674" s="83" t="str">
        <f t="shared" si="617"/>
        <v/>
      </c>
      <c r="B5674" s="83" t="str">
        <f t="shared" si="623"/>
        <v/>
      </c>
      <c r="U5674" s="83" t="str">
        <f t="shared" si="618"/>
        <v/>
      </c>
      <c r="V5674" s="83" t="str">
        <f t="shared" si="619"/>
        <v/>
      </c>
      <c r="AA5674" s="60">
        <f t="shared" si="620"/>
        <v>0</v>
      </c>
      <c r="AB5674" s="49">
        <f t="shared" si="621"/>
        <v>0</v>
      </c>
      <c r="AC5674" s="60">
        <f t="shared" si="622"/>
        <v>0</v>
      </c>
    </row>
    <row r="5675" spans="1:29">
      <c r="A5675" s="83" t="str">
        <f t="shared" si="617"/>
        <v/>
      </c>
      <c r="B5675" s="83" t="str">
        <f t="shared" si="623"/>
        <v/>
      </c>
      <c r="U5675" s="83" t="str">
        <f t="shared" si="618"/>
        <v/>
      </c>
      <c r="V5675" s="83" t="str">
        <f t="shared" si="619"/>
        <v/>
      </c>
      <c r="AA5675" s="60">
        <f t="shared" si="620"/>
        <v>0</v>
      </c>
      <c r="AB5675" s="49">
        <f t="shared" si="621"/>
        <v>0</v>
      </c>
      <c r="AC5675" s="60">
        <f t="shared" si="622"/>
        <v>0</v>
      </c>
    </row>
    <row r="5676" spans="1:29">
      <c r="A5676" s="83" t="str">
        <f t="shared" si="617"/>
        <v/>
      </c>
      <c r="B5676" s="83" t="str">
        <f t="shared" si="623"/>
        <v/>
      </c>
      <c r="U5676" s="83" t="str">
        <f t="shared" si="618"/>
        <v/>
      </c>
      <c r="V5676" s="83" t="str">
        <f t="shared" si="619"/>
        <v/>
      </c>
      <c r="AA5676" s="60">
        <f t="shared" si="620"/>
        <v>0</v>
      </c>
      <c r="AB5676" s="49">
        <f t="shared" si="621"/>
        <v>0</v>
      </c>
      <c r="AC5676" s="60">
        <f t="shared" si="622"/>
        <v>0</v>
      </c>
    </row>
    <row r="5677" spans="1:29">
      <c r="A5677" s="83" t="str">
        <f t="shared" si="617"/>
        <v/>
      </c>
      <c r="B5677" s="83" t="str">
        <f t="shared" si="623"/>
        <v/>
      </c>
      <c r="U5677" s="83" t="str">
        <f t="shared" si="618"/>
        <v/>
      </c>
      <c r="V5677" s="83" t="str">
        <f t="shared" si="619"/>
        <v/>
      </c>
      <c r="AA5677" s="60">
        <f t="shared" si="620"/>
        <v>0</v>
      </c>
      <c r="AB5677" s="49">
        <f t="shared" si="621"/>
        <v>0</v>
      </c>
      <c r="AC5677" s="60">
        <f t="shared" si="622"/>
        <v>0</v>
      </c>
    </row>
    <row r="5678" spans="1:29">
      <c r="A5678" s="83" t="str">
        <f t="shared" si="617"/>
        <v/>
      </c>
      <c r="B5678" s="83" t="str">
        <f t="shared" si="623"/>
        <v/>
      </c>
      <c r="U5678" s="83" t="str">
        <f t="shared" si="618"/>
        <v/>
      </c>
      <c r="V5678" s="83" t="str">
        <f t="shared" si="619"/>
        <v/>
      </c>
      <c r="AA5678" s="60">
        <f t="shared" si="620"/>
        <v>0</v>
      </c>
      <c r="AB5678" s="49">
        <f t="shared" si="621"/>
        <v>0</v>
      </c>
      <c r="AC5678" s="60">
        <f t="shared" si="622"/>
        <v>0</v>
      </c>
    </row>
    <row r="5679" spans="1:29">
      <c r="A5679" s="83" t="str">
        <f t="shared" si="617"/>
        <v/>
      </c>
      <c r="B5679" s="83" t="str">
        <f t="shared" si="623"/>
        <v/>
      </c>
      <c r="U5679" s="83" t="str">
        <f t="shared" si="618"/>
        <v/>
      </c>
      <c r="V5679" s="83" t="str">
        <f t="shared" si="619"/>
        <v/>
      </c>
      <c r="AA5679" s="60">
        <f t="shared" si="620"/>
        <v>0</v>
      </c>
      <c r="AB5679" s="49">
        <f t="shared" si="621"/>
        <v>0</v>
      </c>
      <c r="AC5679" s="60">
        <f t="shared" si="622"/>
        <v>0</v>
      </c>
    </row>
    <row r="5680" spans="1:29">
      <c r="A5680" s="83" t="str">
        <f t="shared" si="617"/>
        <v/>
      </c>
      <c r="B5680" s="83" t="str">
        <f t="shared" si="623"/>
        <v/>
      </c>
      <c r="U5680" s="83" t="str">
        <f t="shared" si="618"/>
        <v/>
      </c>
      <c r="V5680" s="83" t="str">
        <f t="shared" si="619"/>
        <v/>
      </c>
      <c r="AA5680" s="60">
        <f t="shared" si="620"/>
        <v>0</v>
      </c>
      <c r="AB5680" s="49">
        <f t="shared" si="621"/>
        <v>0</v>
      </c>
      <c r="AC5680" s="60">
        <f t="shared" si="622"/>
        <v>0</v>
      </c>
    </row>
    <row r="5681" spans="1:29">
      <c r="A5681" s="83" t="str">
        <f t="shared" si="617"/>
        <v/>
      </c>
      <c r="B5681" s="83" t="str">
        <f t="shared" si="623"/>
        <v/>
      </c>
      <c r="U5681" s="83" t="str">
        <f t="shared" si="618"/>
        <v/>
      </c>
      <c r="V5681" s="83" t="str">
        <f t="shared" si="619"/>
        <v/>
      </c>
      <c r="AA5681" s="60">
        <f t="shared" si="620"/>
        <v>0</v>
      </c>
      <c r="AB5681" s="49">
        <f t="shared" si="621"/>
        <v>0</v>
      </c>
      <c r="AC5681" s="60">
        <f t="shared" si="622"/>
        <v>0</v>
      </c>
    </row>
    <row r="5682" spans="1:29">
      <c r="A5682" s="83" t="str">
        <f t="shared" si="617"/>
        <v/>
      </c>
      <c r="B5682" s="83" t="str">
        <f t="shared" si="623"/>
        <v/>
      </c>
      <c r="U5682" s="83" t="str">
        <f t="shared" si="618"/>
        <v/>
      </c>
      <c r="V5682" s="83" t="str">
        <f t="shared" si="619"/>
        <v/>
      </c>
      <c r="AA5682" s="60">
        <f t="shared" si="620"/>
        <v>0</v>
      </c>
      <c r="AB5682" s="49">
        <f t="shared" si="621"/>
        <v>0</v>
      </c>
      <c r="AC5682" s="60">
        <f t="shared" si="622"/>
        <v>0</v>
      </c>
    </row>
    <row r="5683" spans="1:29">
      <c r="A5683" s="83" t="str">
        <f t="shared" si="617"/>
        <v/>
      </c>
      <c r="B5683" s="83" t="str">
        <f t="shared" si="623"/>
        <v/>
      </c>
      <c r="U5683" s="83" t="str">
        <f t="shared" si="618"/>
        <v/>
      </c>
      <c r="V5683" s="83" t="str">
        <f t="shared" si="619"/>
        <v/>
      </c>
      <c r="AA5683" s="60">
        <f t="shared" si="620"/>
        <v>0</v>
      </c>
      <c r="AB5683" s="49">
        <f t="shared" si="621"/>
        <v>0</v>
      </c>
      <c r="AC5683" s="60">
        <f t="shared" si="622"/>
        <v>0</v>
      </c>
    </row>
    <row r="5684" spans="1:29">
      <c r="A5684" s="83" t="str">
        <f t="shared" si="617"/>
        <v/>
      </c>
      <c r="B5684" s="83" t="str">
        <f t="shared" si="623"/>
        <v/>
      </c>
      <c r="U5684" s="83" t="str">
        <f t="shared" si="618"/>
        <v/>
      </c>
      <c r="V5684" s="83" t="str">
        <f t="shared" si="619"/>
        <v/>
      </c>
      <c r="AA5684" s="60">
        <f t="shared" si="620"/>
        <v>0</v>
      </c>
      <c r="AB5684" s="49">
        <f t="shared" si="621"/>
        <v>0</v>
      </c>
      <c r="AC5684" s="60">
        <f t="shared" si="622"/>
        <v>0</v>
      </c>
    </row>
    <row r="5685" spans="1:29">
      <c r="A5685" s="83" t="str">
        <f t="shared" si="617"/>
        <v/>
      </c>
      <c r="B5685" s="83" t="str">
        <f t="shared" si="623"/>
        <v/>
      </c>
      <c r="U5685" s="83" t="str">
        <f t="shared" si="618"/>
        <v/>
      </c>
      <c r="V5685" s="83" t="str">
        <f t="shared" si="619"/>
        <v/>
      </c>
      <c r="AA5685" s="60">
        <f t="shared" si="620"/>
        <v>0</v>
      </c>
      <c r="AB5685" s="49">
        <f t="shared" si="621"/>
        <v>0</v>
      </c>
      <c r="AC5685" s="60">
        <f t="shared" si="622"/>
        <v>0</v>
      </c>
    </row>
    <row r="5686" spans="1:29">
      <c r="A5686" s="83" t="str">
        <f t="shared" si="617"/>
        <v/>
      </c>
      <c r="B5686" s="83" t="str">
        <f t="shared" si="623"/>
        <v/>
      </c>
      <c r="U5686" s="83" t="str">
        <f t="shared" si="618"/>
        <v/>
      </c>
      <c r="V5686" s="83" t="str">
        <f t="shared" si="619"/>
        <v/>
      </c>
      <c r="AA5686" s="60">
        <f t="shared" si="620"/>
        <v>0</v>
      </c>
      <c r="AB5686" s="49">
        <f t="shared" si="621"/>
        <v>0</v>
      </c>
      <c r="AC5686" s="60">
        <f t="shared" si="622"/>
        <v>0</v>
      </c>
    </row>
    <row r="5687" spans="1:29">
      <c r="A5687" s="83" t="str">
        <f t="shared" si="617"/>
        <v/>
      </c>
      <c r="B5687" s="83" t="str">
        <f t="shared" si="623"/>
        <v/>
      </c>
      <c r="U5687" s="83" t="str">
        <f t="shared" si="618"/>
        <v/>
      </c>
      <c r="V5687" s="83" t="str">
        <f t="shared" si="619"/>
        <v/>
      </c>
      <c r="AA5687" s="60">
        <f t="shared" si="620"/>
        <v>0</v>
      </c>
      <c r="AB5687" s="49">
        <f t="shared" si="621"/>
        <v>0</v>
      </c>
      <c r="AC5687" s="60">
        <f t="shared" si="622"/>
        <v>0</v>
      </c>
    </row>
    <row r="5688" spans="1:29">
      <c r="A5688" s="83" t="str">
        <f t="shared" si="617"/>
        <v/>
      </c>
      <c r="B5688" s="83" t="str">
        <f t="shared" si="623"/>
        <v/>
      </c>
      <c r="U5688" s="83" t="str">
        <f t="shared" si="618"/>
        <v/>
      </c>
      <c r="V5688" s="83" t="str">
        <f t="shared" si="619"/>
        <v/>
      </c>
      <c r="AA5688" s="60">
        <f t="shared" si="620"/>
        <v>0</v>
      </c>
      <c r="AB5688" s="49">
        <f t="shared" si="621"/>
        <v>0</v>
      </c>
      <c r="AC5688" s="60">
        <f t="shared" si="622"/>
        <v>0</v>
      </c>
    </row>
    <row r="5689" spans="1:29">
      <c r="A5689" s="83" t="str">
        <f t="shared" si="617"/>
        <v/>
      </c>
      <c r="B5689" s="83" t="str">
        <f t="shared" si="623"/>
        <v/>
      </c>
      <c r="U5689" s="83" t="str">
        <f t="shared" si="618"/>
        <v/>
      </c>
      <c r="V5689" s="83" t="str">
        <f t="shared" si="619"/>
        <v/>
      </c>
      <c r="AA5689" s="60">
        <f t="shared" si="620"/>
        <v>0</v>
      </c>
      <c r="AB5689" s="49">
        <f t="shared" si="621"/>
        <v>0</v>
      </c>
      <c r="AC5689" s="60">
        <f t="shared" si="622"/>
        <v>0</v>
      </c>
    </row>
    <row r="5690" spans="1:29">
      <c r="A5690" s="83" t="str">
        <f t="shared" si="617"/>
        <v/>
      </c>
      <c r="B5690" s="83" t="str">
        <f t="shared" si="623"/>
        <v/>
      </c>
      <c r="U5690" s="83" t="str">
        <f t="shared" si="618"/>
        <v/>
      </c>
      <c r="V5690" s="83" t="str">
        <f t="shared" si="619"/>
        <v/>
      </c>
      <c r="AA5690" s="60">
        <f t="shared" si="620"/>
        <v>0</v>
      </c>
      <c r="AB5690" s="49">
        <f t="shared" si="621"/>
        <v>0</v>
      </c>
      <c r="AC5690" s="60">
        <f t="shared" si="622"/>
        <v>0</v>
      </c>
    </row>
    <row r="5691" spans="1:29">
      <c r="A5691" s="83" t="str">
        <f t="shared" si="617"/>
        <v/>
      </c>
      <c r="B5691" s="83" t="str">
        <f t="shared" si="623"/>
        <v/>
      </c>
      <c r="U5691" s="83" t="str">
        <f t="shared" si="618"/>
        <v/>
      </c>
      <c r="V5691" s="83" t="str">
        <f t="shared" si="619"/>
        <v/>
      </c>
      <c r="AA5691" s="60">
        <f t="shared" si="620"/>
        <v>0</v>
      </c>
      <c r="AB5691" s="49">
        <f t="shared" si="621"/>
        <v>0</v>
      </c>
      <c r="AC5691" s="60">
        <f t="shared" si="622"/>
        <v>0</v>
      </c>
    </row>
    <row r="5692" spans="1:29">
      <c r="A5692" s="83" t="str">
        <f t="shared" si="617"/>
        <v/>
      </c>
      <c r="B5692" s="83" t="str">
        <f t="shared" si="623"/>
        <v/>
      </c>
      <c r="U5692" s="83" t="str">
        <f t="shared" si="618"/>
        <v/>
      </c>
      <c r="V5692" s="83" t="str">
        <f t="shared" si="619"/>
        <v/>
      </c>
      <c r="AA5692" s="60">
        <f t="shared" si="620"/>
        <v>0</v>
      </c>
      <c r="AB5692" s="49">
        <f t="shared" si="621"/>
        <v>0</v>
      </c>
      <c r="AC5692" s="60">
        <f t="shared" si="622"/>
        <v>0</v>
      </c>
    </row>
    <row r="5693" spans="1:29">
      <c r="A5693" s="83" t="str">
        <f t="shared" si="617"/>
        <v/>
      </c>
      <c r="B5693" s="83" t="str">
        <f t="shared" si="623"/>
        <v/>
      </c>
      <c r="U5693" s="83" t="str">
        <f t="shared" si="618"/>
        <v/>
      </c>
      <c r="V5693" s="83" t="str">
        <f t="shared" si="619"/>
        <v/>
      </c>
      <c r="AA5693" s="60">
        <f t="shared" si="620"/>
        <v>0</v>
      </c>
      <c r="AB5693" s="49">
        <f t="shared" si="621"/>
        <v>0</v>
      </c>
      <c r="AC5693" s="60">
        <f t="shared" si="622"/>
        <v>0</v>
      </c>
    </row>
    <row r="5694" spans="1:29">
      <c r="A5694" s="83" t="str">
        <f t="shared" si="617"/>
        <v/>
      </c>
      <c r="B5694" s="83" t="str">
        <f t="shared" si="623"/>
        <v/>
      </c>
      <c r="U5694" s="83" t="str">
        <f t="shared" si="618"/>
        <v/>
      </c>
      <c r="V5694" s="83" t="str">
        <f t="shared" si="619"/>
        <v/>
      </c>
      <c r="AA5694" s="60">
        <f t="shared" si="620"/>
        <v>0</v>
      </c>
      <c r="AB5694" s="49">
        <f t="shared" si="621"/>
        <v>0</v>
      </c>
      <c r="AC5694" s="60">
        <f t="shared" si="622"/>
        <v>0</v>
      </c>
    </row>
    <row r="5695" spans="1:29">
      <c r="A5695" s="83" t="str">
        <f t="shared" si="617"/>
        <v/>
      </c>
      <c r="B5695" s="83" t="str">
        <f t="shared" si="623"/>
        <v/>
      </c>
      <c r="U5695" s="83" t="str">
        <f t="shared" si="618"/>
        <v/>
      </c>
      <c r="V5695" s="83" t="str">
        <f t="shared" si="619"/>
        <v/>
      </c>
      <c r="AA5695" s="60">
        <f t="shared" si="620"/>
        <v>0</v>
      </c>
      <c r="AB5695" s="49">
        <f t="shared" si="621"/>
        <v>0</v>
      </c>
      <c r="AC5695" s="60">
        <f t="shared" si="622"/>
        <v>0</v>
      </c>
    </row>
    <row r="5696" spans="1:29">
      <c r="A5696" s="83" t="str">
        <f t="shared" si="617"/>
        <v/>
      </c>
      <c r="B5696" s="83" t="str">
        <f t="shared" si="623"/>
        <v/>
      </c>
      <c r="U5696" s="83" t="str">
        <f t="shared" si="618"/>
        <v/>
      </c>
      <c r="V5696" s="83" t="str">
        <f t="shared" si="619"/>
        <v/>
      </c>
      <c r="AA5696" s="60">
        <f t="shared" si="620"/>
        <v>0</v>
      </c>
      <c r="AB5696" s="49">
        <f t="shared" si="621"/>
        <v>0</v>
      </c>
      <c r="AC5696" s="60">
        <f t="shared" si="622"/>
        <v>0</v>
      </c>
    </row>
    <row r="5697" spans="1:29">
      <c r="A5697" s="83" t="str">
        <f t="shared" si="617"/>
        <v/>
      </c>
      <c r="B5697" s="83" t="str">
        <f t="shared" si="623"/>
        <v/>
      </c>
      <c r="U5697" s="83" t="str">
        <f t="shared" si="618"/>
        <v/>
      </c>
      <c r="V5697" s="83" t="str">
        <f t="shared" si="619"/>
        <v/>
      </c>
      <c r="AA5697" s="60">
        <f t="shared" si="620"/>
        <v>0</v>
      </c>
      <c r="AB5697" s="49">
        <f t="shared" si="621"/>
        <v>0</v>
      </c>
      <c r="AC5697" s="60">
        <f t="shared" si="622"/>
        <v>0</v>
      </c>
    </row>
    <row r="5698" spans="1:29">
      <c r="A5698" s="83" t="str">
        <f t="shared" si="617"/>
        <v/>
      </c>
      <c r="B5698" s="83" t="str">
        <f t="shared" si="623"/>
        <v/>
      </c>
      <c r="U5698" s="83" t="str">
        <f t="shared" si="618"/>
        <v/>
      </c>
      <c r="V5698" s="83" t="str">
        <f t="shared" si="619"/>
        <v/>
      </c>
      <c r="AA5698" s="60">
        <f t="shared" si="620"/>
        <v>0</v>
      </c>
      <c r="AB5698" s="49">
        <f t="shared" si="621"/>
        <v>0</v>
      </c>
      <c r="AC5698" s="60">
        <f t="shared" si="622"/>
        <v>0</v>
      </c>
    </row>
    <row r="5699" spans="1:29">
      <c r="A5699" s="83" t="str">
        <f t="shared" ref="A5699:A5762" si="624">IF(G5699&amp;Q5699&lt;&gt;"",U5699&amp;Q5699,"")</f>
        <v/>
      </c>
      <c r="B5699" s="83" t="str">
        <f t="shared" si="623"/>
        <v/>
      </c>
      <c r="U5699" s="83" t="str">
        <f t="shared" ref="U5699:U5762" si="625">IF(G5699&lt;&gt;"",IF(StyleSpaceSplit,IFERROR(IF(FIND(" ",G5699)&gt;=1,MID(G5699,1,FIND(" ",G5699)-1),G5699),G5699),G5699),"")</f>
        <v/>
      </c>
      <c r="V5699" s="83" t="str">
        <f t="shared" ref="V5699:V5762" si="626">IF(A5699&lt;&gt;"",IFERROR(IF(FIND(" ",G5699)&gt;=1,MID(G5699,FIND(" ",G5699)+1,LEN(G5699)),""),G5699),"")</f>
        <v/>
      </c>
      <c r="AA5699" s="60">
        <f t="shared" ref="AA5699:AA5762" si="627">IFERROR(VALUE(MID($C5699,1,2)),0)</f>
        <v>0</v>
      </c>
      <c r="AB5699" s="49">
        <f t="shared" ref="AB5699:AB5762" si="628">IFERROR(VALUE(MID($C5699,4,3)),0)</f>
        <v>0</v>
      </c>
      <c r="AC5699" s="60">
        <f t="shared" ref="AC5699:AC5762" si="629">VALUE(RIGHT("00"&amp;AA5699,2)&amp;RIGHT("000"&amp;AB5699,3))</f>
        <v>0</v>
      </c>
    </row>
    <row r="5700" spans="1:29">
      <c r="A5700" s="83" t="str">
        <f t="shared" si="624"/>
        <v/>
      </c>
      <c r="B5700" s="83" t="str">
        <f t="shared" si="623"/>
        <v/>
      </c>
      <c r="U5700" s="83" t="str">
        <f t="shared" si="625"/>
        <v/>
      </c>
      <c r="V5700" s="83" t="str">
        <f t="shared" si="626"/>
        <v/>
      </c>
      <c r="AA5700" s="60">
        <f t="shared" si="627"/>
        <v>0</v>
      </c>
      <c r="AB5700" s="49">
        <f t="shared" si="628"/>
        <v>0</v>
      </c>
      <c r="AC5700" s="60">
        <f t="shared" si="629"/>
        <v>0</v>
      </c>
    </row>
    <row r="5701" spans="1:29">
      <c r="A5701" s="83" t="str">
        <f t="shared" si="624"/>
        <v/>
      </c>
      <c r="B5701" s="83" t="str">
        <f t="shared" si="623"/>
        <v/>
      </c>
      <c r="U5701" s="83" t="str">
        <f t="shared" si="625"/>
        <v/>
      </c>
      <c r="V5701" s="83" t="str">
        <f t="shared" si="626"/>
        <v/>
      </c>
      <c r="AA5701" s="60">
        <f t="shared" si="627"/>
        <v>0</v>
      </c>
      <c r="AB5701" s="49">
        <f t="shared" si="628"/>
        <v>0</v>
      </c>
      <c r="AC5701" s="60">
        <f t="shared" si="629"/>
        <v>0</v>
      </c>
    </row>
    <row r="5702" spans="1:29">
      <c r="A5702" s="83" t="str">
        <f t="shared" si="624"/>
        <v/>
      </c>
      <c r="B5702" s="83" t="str">
        <f t="shared" si="623"/>
        <v/>
      </c>
      <c r="U5702" s="83" t="str">
        <f t="shared" si="625"/>
        <v/>
      </c>
      <c r="V5702" s="83" t="str">
        <f t="shared" si="626"/>
        <v/>
      </c>
      <c r="AA5702" s="60">
        <f t="shared" si="627"/>
        <v>0</v>
      </c>
      <c r="AB5702" s="49">
        <f t="shared" si="628"/>
        <v>0</v>
      </c>
      <c r="AC5702" s="60">
        <f t="shared" si="629"/>
        <v>0</v>
      </c>
    </row>
    <row r="5703" spans="1:29">
      <c r="A5703" s="83" t="str">
        <f t="shared" si="624"/>
        <v/>
      </c>
      <c r="B5703" s="83" t="str">
        <f t="shared" si="623"/>
        <v/>
      </c>
      <c r="U5703" s="83" t="str">
        <f t="shared" si="625"/>
        <v/>
      </c>
      <c r="V5703" s="83" t="str">
        <f t="shared" si="626"/>
        <v/>
      </c>
      <c r="AA5703" s="60">
        <f t="shared" si="627"/>
        <v>0</v>
      </c>
      <c r="AB5703" s="49">
        <f t="shared" si="628"/>
        <v>0</v>
      </c>
      <c r="AC5703" s="60">
        <f t="shared" si="629"/>
        <v>0</v>
      </c>
    </row>
    <row r="5704" spans="1:29">
      <c r="A5704" s="83" t="str">
        <f t="shared" si="624"/>
        <v/>
      </c>
      <c r="B5704" s="83" t="str">
        <f t="shared" si="623"/>
        <v/>
      </c>
      <c r="U5704" s="83" t="str">
        <f t="shared" si="625"/>
        <v/>
      </c>
      <c r="V5704" s="83" t="str">
        <f t="shared" si="626"/>
        <v/>
      </c>
      <c r="AA5704" s="60">
        <f t="shared" si="627"/>
        <v>0</v>
      </c>
      <c r="AB5704" s="49">
        <f t="shared" si="628"/>
        <v>0</v>
      </c>
      <c r="AC5704" s="60">
        <f t="shared" si="629"/>
        <v>0</v>
      </c>
    </row>
    <row r="5705" spans="1:29">
      <c r="A5705" s="83" t="str">
        <f t="shared" si="624"/>
        <v/>
      </c>
      <c r="B5705" s="83" t="str">
        <f t="shared" si="623"/>
        <v/>
      </c>
      <c r="U5705" s="83" t="str">
        <f t="shared" si="625"/>
        <v/>
      </c>
      <c r="V5705" s="83" t="str">
        <f t="shared" si="626"/>
        <v/>
      </c>
      <c r="AA5705" s="60">
        <f t="shared" si="627"/>
        <v>0</v>
      </c>
      <c r="AB5705" s="49">
        <f t="shared" si="628"/>
        <v>0</v>
      </c>
      <c r="AC5705" s="60">
        <f t="shared" si="629"/>
        <v>0</v>
      </c>
    </row>
    <row r="5706" spans="1:29">
      <c r="A5706" s="83" t="str">
        <f t="shared" si="624"/>
        <v/>
      </c>
      <c r="B5706" s="83" t="str">
        <f t="shared" si="623"/>
        <v/>
      </c>
      <c r="U5706" s="83" t="str">
        <f t="shared" si="625"/>
        <v/>
      </c>
      <c r="V5706" s="83" t="str">
        <f t="shared" si="626"/>
        <v/>
      </c>
      <c r="AA5706" s="60">
        <f t="shared" si="627"/>
        <v>0</v>
      </c>
      <c r="AB5706" s="49">
        <f t="shared" si="628"/>
        <v>0</v>
      </c>
      <c r="AC5706" s="60">
        <f t="shared" si="629"/>
        <v>0</v>
      </c>
    </row>
    <row r="5707" spans="1:29">
      <c r="A5707" s="83" t="str">
        <f t="shared" si="624"/>
        <v/>
      </c>
      <c r="B5707" s="83" t="str">
        <f t="shared" si="623"/>
        <v/>
      </c>
      <c r="U5707" s="83" t="str">
        <f t="shared" si="625"/>
        <v/>
      </c>
      <c r="V5707" s="83" t="str">
        <f t="shared" si="626"/>
        <v/>
      </c>
      <c r="AA5707" s="60">
        <f t="shared" si="627"/>
        <v>0</v>
      </c>
      <c r="AB5707" s="49">
        <f t="shared" si="628"/>
        <v>0</v>
      </c>
      <c r="AC5707" s="60">
        <f t="shared" si="629"/>
        <v>0</v>
      </c>
    </row>
    <row r="5708" spans="1:29">
      <c r="A5708" s="83" t="str">
        <f t="shared" si="624"/>
        <v/>
      </c>
      <c r="B5708" s="83" t="str">
        <f t="shared" si="623"/>
        <v/>
      </c>
      <c r="U5708" s="83" t="str">
        <f t="shared" si="625"/>
        <v/>
      </c>
      <c r="V5708" s="83" t="str">
        <f t="shared" si="626"/>
        <v/>
      </c>
      <c r="AA5708" s="60">
        <f t="shared" si="627"/>
        <v>0</v>
      </c>
      <c r="AB5708" s="49">
        <f t="shared" si="628"/>
        <v>0</v>
      </c>
      <c r="AC5708" s="60">
        <f t="shared" si="629"/>
        <v>0</v>
      </c>
    </row>
    <row r="5709" spans="1:29">
      <c r="A5709" s="83" t="str">
        <f t="shared" si="624"/>
        <v/>
      </c>
      <c r="B5709" s="83" t="str">
        <f t="shared" si="623"/>
        <v/>
      </c>
      <c r="U5709" s="83" t="str">
        <f t="shared" si="625"/>
        <v/>
      </c>
      <c r="V5709" s="83" t="str">
        <f t="shared" si="626"/>
        <v/>
      </c>
      <c r="AA5709" s="60">
        <f t="shared" si="627"/>
        <v>0</v>
      </c>
      <c r="AB5709" s="49">
        <f t="shared" si="628"/>
        <v>0</v>
      </c>
      <c r="AC5709" s="60">
        <f t="shared" si="629"/>
        <v>0</v>
      </c>
    </row>
    <row r="5710" spans="1:29">
      <c r="A5710" s="83" t="str">
        <f t="shared" si="624"/>
        <v/>
      </c>
      <c r="B5710" s="83" t="str">
        <f t="shared" si="623"/>
        <v/>
      </c>
      <c r="U5710" s="83" t="str">
        <f t="shared" si="625"/>
        <v/>
      </c>
      <c r="V5710" s="83" t="str">
        <f t="shared" si="626"/>
        <v/>
      </c>
      <c r="AA5710" s="60">
        <f t="shared" si="627"/>
        <v>0</v>
      </c>
      <c r="AB5710" s="49">
        <f t="shared" si="628"/>
        <v>0</v>
      </c>
      <c r="AC5710" s="60">
        <f t="shared" si="629"/>
        <v>0</v>
      </c>
    </row>
    <row r="5711" spans="1:29">
      <c r="A5711" s="83" t="str">
        <f t="shared" si="624"/>
        <v/>
      </c>
      <c r="B5711" s="83" t="str">
        <f t="shared" si="623"/>
        <v/>
      </c>
      <c r="U5711" s="83" t="str">
        <f t="shared" si="625"/>
        <v/>
      </c>
      <c r="V5711" s="83" t="str">
        <f t="shared" si="626"/>
        <v/>
      </c>
      <c r="AA5711" s="60">
        <f t="shared" si="627"/>
        <v>0</v>
      </c>
      <c r="AB5711" s="49">
        <f t="shared" si="628"/>
        <v>0</v>
      </c>
      <c r="AC5711" s="60">
        <f t="shared" si="629"/>
        <v>0</v>
      </c>
    </row>
    <row r="5712" spans="1:29">
      <c r="A5712" s="83" t="str">
        <f t="shared" si="624"/>
        <v/>
      </c>
      <c r="B5712" s="83" t="str">
        <f t="shared" si="623"/>
        <v/>
      </c>
      <c r="U5712" s="83" t="str">
        <f t="shared" si="625"/>
        <v/>
      </c>
      <c r="V5712" s="83" t="str">
        <f t="shared" si="626"/>
        <v/>
      </c>
      <c r="AA5712" s="60">
        <f t="shared" si="627"/>
        <v>0</v>
      </c>
      <c r="AB5712" s="49">
        <f t="shared" si="628"/>
        <v>0</v>
      </c>
      <c r="AC5712" s="60">
        <f t="shared" si="629"/>
        <v>0</v>
      </c>
    </row>
    <row r="5713" spans="1:29">
      <c r="A5713" s="83" t="str">
        <f t="shared" si="624"/>
        <v/>
      </c>
      <c r="B5713" s="83" t="str">
        <f t="shared" si="623"/>
        <v/>
      </c>
      <c r="U5713" s="83" t="str">
        <f t="shared" si="625"/>
        <v/>
      </c>
      <c r="V5713" s="83" t="str">
        <f t="shared" si="626"/>
        <v/>
      </c>
      <c r="AA5713" s="60">
        <f t="shared" si="627"/>
        <v>0</v>
      </c>
      <c r="AB5713" s="49">
        <f t="shared" si="628"/>
        <v>0</v>
      </c>
      <c r="AC5713" s="60">
        <f t="shared" si="629"/>
        <v>0</v>
      </c>
    </row>
    <row r="5714" spans="1:29">
      <c r="A5714" s="83" t="str">
        <f t="shared" si="624"/>
        <v/>
      </c>
      <c r="B5714" s="83" t="str">
        <f t="shared" si="623"/>
        <v/>
      </c>
      <c r="U5714" s="83" t="str">
        <f t="shared" si="625"/>
        <v/>
      </c>
      <c r="V5714" s="83" t="str">
        <f t="shared" si="626"/>
        <v/>
      </c>
      <c r="AA5714" s="60">
        <f t="shared" si="627"/>
        <v>0</v>
      </c>
      <c r="AB5714" s="49">
        <f t="shared" si="628"/>
        <v>0</v>
      </c>
      <c r="AC5714" s="60">
        <f t="shared" si="629"/>
        <v>0</v>
      </c>
    </row>
    <row r="5715" spans="1:29">
      <c r="A5715" s="83" t="str">
        <f t="shared" si="624"/>
        <v/>
      </c>
      <c r="B5715" s="83" t="str">
        <f t="shared" si="623"/>
        <v/>
      </c>
      <c r="U5715" s="83" t="str">
        <f t="shared" si="625"/>
        <v/>
      </c>
      <c r="V5715" s="83" t="str">
        <f t="shared" si="626"/>
        <v/>
      </c>
      <c r="AA5715" s="60">
        <f t="shared" si="627"/>
        <v>0</v>
      </c>
      <c r="AB5715" s="49">
        <f t="shared" si="628"/>
        <v>0</v>
      </c>
      <c r="AC5715" s="60">
        <f t="shared" si="629"/>
        <v>0</v>
      </c>
    </row>
    <row r="5716" spans="1:29">
      <c r="A5716" s="83" t="str">
        <f t="shared" si="624"/>
        <v/>
      </c>
      <c r="B5716" s="83" t="str">
        <f t="shared" si="623"/>
        <v/>
      </c>
      <c r="U5716" s="83" t="str">
        <f t="shared" si="625"/>
        <v/>
      </c>
      <c r="V5716" s="83" t="str">
        <f t="shared" si="626"/>
        <v/>
      </c>
      <c r="AA5716" s="60">
        <f t="shared" si="627"/>
        <v>0</v>
      </c>
      <c r="AB5716" s="49">
        <f t="shared" si="628"/>
        <v>0</v>
      </c>
      <c r="AC5716" s="60">
        <f t="shared" si="629"/>
        <v>0</v>
      </c>
    </row>
    <row r="5717" spans="1:29">
      <c r="A5717" s="83" t="str">
        <f t="shared" si="624"/>
        <v/>
      </c>
      <c r="B5717" s="83" t="str">
        <f t="shared" si="623"/>
        <v/>
      </c>
      <c r="U5717" s="83" t="str">
        <f t="shared" si="625"/>
        <v/>
      </c>
      <c r="V5717" s="83" t="str">
        <f t="shared" si="626"/>
        <v/>
      </c>
      <c r="AA5717" s="60">
        <f t="shared" si="627"/>
        <v>0</v>
      </c>
      <c r="AB5717" s="49">
        <f t="shared" si="628"/>
        <v>0</v>
      </c>
      <c r="AC5717" s="60">
        <f t="shared" si="629"/>
        <v>0</v>
      </c>
    </row>
    <row r="5718" spans="1:29">
      <c r="A5718" s="83" t="str">
        <f t="shared" si="624"/>
        <v/>
      </c>
      <c r="B5718" s="83" t="str">
        <f t="shared" si="623"/>
        <v/>
      </c>
      <c r="U5718" s="83" t="str">
        <f t="shared" si="625"/>
        <v/>
      </c>
      <c r="V5718" s="83" t="str">
        <f t="shared" si="626"/>
        <v/>
      </c>
      <c r="AA5718" s="60">
        <f t="shared" si="627"/>
        <v>0</v>
      </c>
      <c r="AB5718" s="49">
        <f t="shared" si="628"/>
        <v>0</v>
      </c>
      <c r="AC5718" s="60">
        <f t="shared" si="629"/>
        <v>0</v>
      </c>
    </row>
    <row r="5719" spans="1:29">
      <c r="A5719" s="83" t="str">
        <f t="shared" si="624"/>
        <v/>
      </c>
      <c r="B5719" s="83" t="str">
        <f t="shared" si="623"/>
        <v/>
      </c>
      <c r="U5719" s="83" t="str">
        <f t="shared" si="625"/>
        <v/>
      </c>
      <c r="V5719" s="83" t="str">
        <f t="shared" si="626"/>
        <v/>
      </c>
      <c r="AA5719" s="60">
        <f t="shared" si="627"/>
        <v>0</v>
      </c>
      <c r="AB5719" s="49">
        <f t="shared" si="628"/>
        <v>0</v>
      </c>
      <c r="AC5719" s="60">
        <f t="shared" si="629"/>
        <v>0</v>
      </c>
    </row>
    <row r="5720" spans="1:29">
      <c r="A5720" s="83" t="str">
        <f t="shared" si="624"/>
        <v/>
      </c>
      <c r="B5720" s="83" t="str">
        <f t="shared" si="623"/>
        <v/>
      </c>
      <c r="U5720" s="83" t="str">
        <f t="shared" si="625"/>
        <v/>
      </c>
      <c r="V5720" s="83" t="str">
        <f t="shared" si="626"/>
        <v/>
      </c>
      <c r="AA5720" s="60">
        <f t="shared" si="627"/>
        <v>0</v>
      </c>
      <c r="AB5720" s="49">
        <f t="shared" si="628"/>
        <v>0</v>
      </c>
      <c r="AC5720" s="60">
        <f t="shared" si="629"/>
        <v>0</v>
      </c>
    </row>
    <row r="5721" spans="1:29">
      <c r="A5721" s="83" t="str">
        <f t="shared" si="624"/>
        <v/>
      </c>
      <c r="B5721" s="83" t="str">
        <f t="shared" si="623"/>
        <v/>
      </c>
      <c r="U5721" s="83" t="str">
        <f t="shared" si="625"/>
        <v/>
      </c>
      <c r="V5721" s="83" t="str">
        <f t="shared" si="626"/>
        <v/>
      </c>
      <c r="AA5721" s="60">
        <f t="shared" si="627"/>
        <v>0</v>
      </c>
      <c r="AB5721" s="49">
        <f t="shared" si="628"/>
        <v>0</v>
      </c>
      <c r="AC5721" s="60">
        <f t="shared" si="629"/>
        <v>0</v>
      </c>
    </row>
    <row r="5722" spans="1:29">
      <c r="A5722" s="83" t="str">
        <f t="shared" si="624"/>
        <v/>
      </c>
      <c r="B5722" s="83" t="str">
        <f t="shared" si="623"/>
        <v/>
      </c>
      <c r="U5722" s="83" t="str">
        <f t="shared" si="625"/>
        <v/>
      </c>
      <c r="V5722" s="83" t="str">
        <f t="shared" si="626"/>
        <v/>
      </c>
      <c r="AA5722" s="60">
        <f t="shared" si="627"/>
        <v>0</v>
      </c>
      <c r="AB5722" s="49">
        <f t="shared" si="628"/>
        <v>0</v>
      </c>
      <c r="AC5722" s="60">
        <f t="shared" si="629"/>
        <v>0</v>
      </c>
    </row>
    <row r="5723" spans="1:29">
      <c r="A5723" s="83" t="str">
        <f t="shared" si="624"/>
        <v/>
      </c>
      <c r="B5723" s="83" t="str">
        <f t="shared" si="623"/>
        <v/>
      </c>
      <c r="U5723" s="83" t="str">
        <f t="shared" si="625"/>
        <v/>
      </c>
      <c r="V5723" s="83" t="str">
        <f t="shared" si="626"/>
        <v/>
      </c>
      <c r="AA5723" s="60">
        <f t="shared" si="627"/>
        <v>0</v>
      </c>
      <c r="AB5723" s="49">
        <f t="shared" si="628"/>
        <v>0</v>
      </c>
      <c r="AC5723" s="60">
        <f t="shared" si="629"/>
        <v>0</v>
      </c>
    </row>
    <row r="5724" spans="1:29">
      <c r="A5724" s="83" t="str">
        <f t="shared" si="624"/>
        <v/>
      </c>
      <c r="B5724" s="83" t="str">
        <f t="shared" si="623"/>
        <v/>
      </c>
      <c r="U5724" s="83" t="str">
        <f t="shared" si="625"/>
        <v/>
      </c>
      <c r="V5724" s="83" t="str">
        <f t="shared" si="626"/>
        <v/>
      </c>
      <c r="AA5724" s="60">
        <f t="shared" si="627"/>
        <v>0</v>
      </c>
      <c r="AB5724" s="49">
        <f t="shared" si="628"/>
        <v>0</v>
      </c>
      <c r="AC5724" s="60">
        <f t="shared" si="629"/>
        <v>0</v>
      </c>
    </row>
    <row r="5725" spans="1:29">
      <c r="A5725" s="83" t="str">
        <f t="shared" si="624"/>
        <v/>
      </c>
      <c r="B5725" s="83" t="str">
        <f t="shared" si="623"/>
        <v/>
      </c>
      <c r="U5725" s="83" t="str">
        <f t="shared" si="625"/>
        <v/>
      </c>
      <c r="V5725" s="83" t="str">
        <f t="shared" si="626"/>
        <v/>
      </c>
      <c r="AA5725" s="60">
        <f t="shared" si="627"/>
        <v>0</v>
      </c>
      <c r="AB5725" s="49">
        <f t="shared" si="628"/>
        <v>0</v>
      </c>
      <c r="AC5725" s="60">
        <f t="shared" si="629"/>
        <v>0</v>
      </c>
    </row>
    <row r="5726" spans="1:29">
      <c r="A5726" s="83" t="str">
        <f t="shared" si="624"/>
        <v/>
      </c>
      <c r="B5726" s="83" t="str">
        <f t="shared" si="623"/>
        <v/>
      </c>
      <c r="U5726" s="83" t="str">
        <f t="shared" si="625"/>
        <v/>
      </c>
      <c r="V5726" s="83" t="str">
        <f t="shared" si="626"/>
        <v/>
      </c>
      <c r="AA5726" s="60">
        <f t="shared" si="627"/>
        <v>0</v>
      </c>
      <c r="AB5726" s="49">
        <f t="shared" si="628"/>
        <v>0</v>
      </c>
      <c r="AC5726" s="60">
        <f t="shared" si="629"/>
        <v>0</v>
      </c>
    </row>
    <row r="5727" spans="1:29">
      <c r="A5727" s="83" t="str">
        <f t="shared" si="624"/>
        <v/>
      </c>
      <c r="B5727" s="83" t="str">
        <f t="shared" si="623"/>
        <v/>
      </c>
      <c r="U5727" s="83" t="str">
        <f t="shared" si="625"/>
        <v/>
      </c>
      <c r="V5727" s="83" t="str">
        <f t="shared" si="626"/>
        <v/>
      </c>
      <c r="AA5727" s="60">
        <f t="shared" si="627"/>
        <v>0</v>
      </c>
      <c r="AB5727" s="49">
        <f t="shared" si="628"/>
        <v>0</v>
      </c>
      <c r="AC5727" s="60">
        <f t="shared" si="629"/>
        <v>0</v>
      </c>
    </row>
    <row r="5728" spans="1:29">
      <c r="A5728" s="83" t="str">
        <f t="shared" si="624"/>
        <v/>
      </c>
      <c r="B5728" s="83" t="str">
        <f t="shared" si="623"/>
        <v/>
      </c>
      <c r="U5728" s="83" t="str">
        <f t="shared" si="625"/>
        <v/>
      </c>
      <c r="V5728" s="83" t="str">
        <f t="shared" si="626"/>
        <v/>
      </c>
      <c r="AA5728" s="60">
        <f t="shared" si="627"/>
        <v>0</v>
      </c>
      <c r="AB5728" s="49">
        <f t="shared" si="628"/>
        <v>0</v>
      </c>
      <c r="AC5728" s="60">
        <f t="shared" si="629"/>
        <v>0</v>
      </c>
    </row>
    <row r="5729" spans="1:29">
      <c r="A5729" s="83" t="str">
        <f t="shared" si="624"/>
        <v/>
      </c>
      <c r="B5729" s="83" t="str">
        <f t="shared" ref="B5729:B5792" si="630">IF(C5729&lt;&gt;"",LEFT(C5729,9),"")</f>
        <v/>
      </c>
      <c r="U5729" s="83" t="str">
        <f t="shared" si="625"/>
        <v/>
      </c>
      <c r="V5729" s="83" t="str">
        <f t="shared" si="626"/>
        <v/>
      </c>
      <c r="AA5729" s="60">
        <f t="shared" si="627"/>
        <v>0</v>
      </c>
      <c r="AB5729" s="49">
        <f t="shared" si="628"/>
        <v>0</v>
      </c>
      <c r="AC5729" s="60">
        <f t="shared" si="629"/>
        <v>0</v>
      </c>
    </row>
    <row r="5730" spans="1:29">
      <c r="A5730" s="83" t="str">
        <f t="shared" si="624"/>
        <v/>
      </c>
      <c r="B5730" s="83" t="str">
        <f t="shared" si="630"/>
        <v/>
      </c>
      <c r="U5730" s="83" t="str">
        <f t="shared" si="625"/>
        <v/>
      </c>
      <c r="V5730" s="83" t="str">
        <f t="shared" si="626"/>
        <v/>
      </c>
      <c r="AA5730" s="60">
        <f t="shared" si="627"/>
        <v>0</v>
      </c>
      <c r="AB5730" s="49">
        <f t="shared" si="628"/>
        <v>0</v>
      </c>
      <c r="AC5730" s="60">
        <f t="shared" si="629"/>
        <v>0</v>
      </c>
    </row>
    <row r="5731" spans="1:29">
      <c r="A5731" s="83" t="str">
        <f t="shared" si="624"/>
        <v/>
      </c>
      <c r="B5731" s="83" t="str">
        <f t="shared" si="630"/>
        <v/>
      </c>
      <c r="U5731" s="83" t="str">
        <f t="shared" si="625"/>
        <v/>
      </c>
      <c r="V5731" s="83" t="str">
        <f t="shared" si="626"/>
        <v/>
      </c>
      <c r="AA5731" s="60">
        <f t="shared" si="627"/>
        <v>0</v>
      </c>
      <c r="AB5731" s="49">
        <f t="shared" si="628"/>
        <v>0</v>
      </c>
      <c r="AC5731" s="60">
        <f t="shared" si="629"/>
        <v>0</v>
      </c>
    </row>
    <row r="5732" spans="1:29">
      <c r="A5732" s="83" t="str">
        <f t="shared" si="624"/>
        <v/>
      </c>
      <c r="B5732" s="83" t="str">
        <f t="shared" si="630"/>
        <v/>
      </c>
      <c r="U5732" s="83" t="str">
        <f t="shared" si="625"/>
        <v/>
      </c>
      <c r="V5732" s="83" t="str">
        <f t="shared" si="626"/>
        <v/>
      </c>
      <c r="AA5732" s="60">
        <f t="shared" si="627"/>
        <v>0</v>
      </c>
      <c r="AB5732" s="49">
        <f t="shared" si="628"/>
        <v>0</v>
      </c>
      <c r="AC5732" s="60">
        <f t="shared" si="629"/>
        <v>0</v>
      </c>
    </row>
    <row r="5733" spans="1:29">
      <c r="A5733" s="83" t="str">
        <f t="shared" si="624"/>
        <v/>
      </c>
      <c r="B5733" s="83" t="str">
        <f t="shared" si="630"/>
        <v/>
      </c>
      <c r="U5733" s="83" t="str">
        <f t="shared" si="625"/>
        <v/>
      </c>
      <c r="V5733" s="83" t="str">
        <f t="shared" si="626"/>
        <v/>
      </c>
      <c r="AA5733" s="60">
        <f t="shared" si="627"/>
        <v>0</v>
      </c>
      <c r="AB5733" s="49">
        <f t="shared" si="628"/>
        <v>0</v>
      </c>
      <c r="AC5733" s="60">
        <f t="shared" si="629"/>
        <v>0</v>
      </c>
    </row>
    <row r="5734" spans="1:29">
      <c r="A5734" s="83" t="str">
        <f t="shared" si="624"/>
        <v/>
      </c>
      <c r="B5734" s="83" t="str">
        <f t="shared" si="630"/>
        <v/>
      </c>
      <c r="U5734" s="83" t="str">
        <f t="shared" si="625"/>
        <v/>
      </c>
      <c r="V5734" s="83" t="str">
        <f t="shared" si="626"/>
        <v/>
      </c>
      <c r="AA5734" s="60">
        <f t="shared" si="627"/>
        <v>0</v>
      </c>
      <c r="AB5734" s="49">
        <f t="shared" si="628"/>
        <v>0</v>
      </c>
      <c r="AC5734" s="60">
        <f t="shared" si="629"/>
        <v>0</v>
      </c>
    </row>
    <row r="5735" spans="1:29">
      <c r="A5735" s="83" t="str">
        <f t="shared" si="624"/>
        <v/>
      </c>
      <c r="B5735" s="83" t="str">
        <f t="shared" si="630"/>
        <v/>
      </c>
      <c r="U5735" s="83" t="str">
        <f t="shared" si="625"/>
        <v/>
      </c>
      <c r="V5735" s="83" t="str">
        <f t="shared" si="626"/>
        <v/>
      </c>
      <c r="AA5735" s="60">
        <f t="shared" si="627"/>
        <v>0</v>
      </c>
      <c r="AB5735" s="49">
        <f t="shared" si="628"/>
        <v>0</v>
      </c>
      <c r="AC5735" s="60">
        <f t="shared" si="629"/>
        <v>0</v>
      </c>
    </row>
    <row r="5736" spans="1:29">
      <c r="A5736" s="83" t="str">
        <f t="shared" si="624"/>
        <v/>
      </c>
      <c r="B5736" s="83" t="str">
        <f t="shared" si="630"/>
        <v/>
      </c>
      <c r="U5736" s="83" t="str">
        <f t="shared" si="625"/>
        <v/>
      </c>
      <c r="V5736" s="83" t="str">
        <f t="shared" si="626"/>
        <v/>
      </c>
      <c r="AA5736" s="60">
        <f t="shared" si="627"/>
        <v>0</v>
      </c>
      <c r="AB5736" s="49">
        <f t="shared" si="628"/>
        <v>0</v>
      </c>
      <c r="AC5736" s="60">
        <f t="shared" si="629"/>
        <v>0</v>
      </c>
    </row>
    <row r="5737" spans="1:29">
      <c r="A5737" s="83" t="str">
        <f t="shared" si="624"/>
        <v/>
      </c>
      <c r="B5737" s="83" t="str">
        <f t="shared" si="630"/>
        <v/>
      </c>
      <c r="U5737" s="83" t="str">
        <f t="shared" si="625"/>
        <v/>
      </c>
      <c r="V5737" s="83" t="str">
        <f t="shared" si="626"/>
        <v/>
      </c>
      <c r="AA5737" s="60">
        <f t="shared" si="627"/>
        <v>0</v>
      </c>
      <c r="AB5737" s="49">
        <f t="shared" si="628"/>
        <v>0</v>
      </c>
      <c r="AC5737" s="60">
        <f t="shared" si="629"/>
        <v>0</v>
      </c>
    </row>
    <row r="5738" spans="1:29">
      <c r="A5738" s="83" t="str">
        <f t="shared" si="624"/>
        <v/>
      </c>
      <c r="B5738" s="83" t="str">
        <f t="shared" si="630"/>
        <v/>
      </c>
      <c r="U5738" s="83" t="str">
        <f t="shared" si="625"/>
        <v/>
      </c>
      <c r="V5738" s="83" t="str">
        <f t="shared" si="626"/>
        <v/>
      </c>
      <c r="AA5738" s="60">
        <f t="shared" si="627"/>
        <v>0</v>
      </c>
      <c r="AB5738" s="49">
        <f t="shared" si="628"/>
        <v>0</v>
      </c>
      <c r="AC5738" s="60">
        <f t="shared" si="629"/>
        <v>0</v>
      </c>
    </row>
    <row r="5739" spans="1:29">
      <c r="A5739" s="83" t="str">
        <f t="shared" si="624"/>
        <v/>
      </c>
      <c r="B5739" s="83" t="str">
        <f t="shared" si="630"/>
        <v/>
      </c>
      <c r="U5739" s="83" t="str">
        <f t="shared" si="625"/>
        <v/>
      </c>
      <c r="V5739" s="83" t="str">
        <f t="shared" si="626"/>
        <v/>
      </c>
      <c r="AA5739" s="60">
        <f t="shared" si="627"/>
        <v>0</v>
      </c>
      <c r="AB5739" s="49">
        <f t="shared" si="628"/>
        <v>0</v>
      </c>
      <c r="AC5739" s="60">
        <f t="shared" si="629"/>
        <v>0</v>
      </c>
    </row>
    <row r="5740" spans="1:29">
      <c r="A5740" s="83" t="str">
        <f t="shared" si="624"/>
        <v/>
      </c>
      <c r="B5740" s="83" t="str">
        <f t="shared" si="630"/>
        <v/>
      </c>
      <c r="U5740" s="83" t="str">
        <f t="shared" si="625"/>
        <v/>
      </c>
      <c r="V5740" s="83" t="str">
        <f t="shared" si="626"/>
        <v/>
      </c>
      <c r="AA5740" s="60">
        <f t="shared" si="627"/>
        <v>0</v>
      </c>
      <c r="AB5740" s="49">
        <f t="shared" si="628"/>
        <v>0</v>
      </c>
      <c r="AC5740" s="60">
        <f t="shared" si="629"/>
        <v>0</v>
      </c>
    </row>
    <row r="5741" spans="1:29">
      <c r="A5741" s="83" t="str">
        <f t="shared" si="624"/>
        <v/>
      </c>
      <c r="B5741" s="83" t="str">
        <f t="shared" si="630"/>
        <v/>
      </c>
      <c r="U5741" s="83" t="str">
        <f t="shared" si="625"/>
        <v/>
      </c>
      <c r="V5741" s="83" t="str">
        <f t="shared" si="626"/>
        <v/>
      </c>
      <c r="AA5741" s="60">
        <f t="shared" si="627"/>
        <v>0</v>
      </c>
      <c r="AB5741" s="49">
        <f t="shared" si="628"/>
        <v>0</v>
      </c>
      <c r="AC5741" s="60">
        <f t="shared" si="629"/>
        <v>0</v>
      </c>
    </row>
    <row r="5742" spans="1:29">
      <c r="A5742" s="83" t="str">
        <f t="shared" si="624"/>
        <v/>
      </c>
      <c r="B5742" s="83" t="str">
        <f t="shared" si="630"/>
        <v/>
      </c>
      <c r="U5742" s="83" t="str">
        <f t="shared" si="625"/>
        <v/>
      </c>
      <c r="V5742" s="83" t="str">
        <f t="shared" si="626"/>
        <v/>
      </c>
      <c r="AA5742" s="60">
        <f t="shared" si="627"/>
        <v>0</v>
      </c>
      <c r="AB5742" s="49">
        <f t="shared" si="628"/>
        <v>0</v>
      </c>
      <c r="AC5742" s="60">
        <f t="shared" si="629"/>
        <v>0</v>
      </c>
    </row>
    <row r="5743" spans="1:29">
      <c r="A5743" s="83" t="str">
        <f t="shared" si="624"/>
        <v/>
      </c>
      <c r="B5743" s="83" t="str">
        <f t="shared" si="630"/>
        <v/>
      </c>
      <c r="U5743" s="83" t="str">
        <f t="shared" si="625"/>
        <v/>
      </c>
      <c r="V5743" s="83" t="str">
        <f t="shared" si="626"/>
        <v/>
      </c>
      <c r="AA5743" s="60">
        <f t="shared" si="627"/>
        <v>0</v>
      </c>
      <c r="AB5743" s="49">
        <f t="shared" si="628"/>
        <v>0</v>
      </c>
      <c r="AC5743" s="60">
        <f t="shared" si="629"/>
        <v>0</v>
      </c>
    </row>
    <row r="5744" spans="1:29">
      <c r="A5744" s="83" t="str">
        <f t="shared" si="624"/>
        <v/>
      </c>
      <c r="B5744" s="83" t="str">
        <f t="shared" si="630"/>
        <v/>
      </c>
      <c r="U5744" s="83" t="str">
        <f t="shared" si="625"/>
        <v/>
      </c>
      <c r="V5744" s="83" t="str">
        <f t="shared" si="626"/>
        <v/>
      </c>
      <c r="AA5744" s="60">
        <f t="shared" si="627"/>
        <v>0</v>
      </c>
      <c r="AB5744" s="49">
        <f t="shared" si="628"/>
        <v>0</v>
      </c>
      <c r="AC5744" s="60">
        <f t="shared" si="629"/>
        <v>0</v>
      </c>
    </row>
    <row r="5745" spans="1:29">
      <c r="A5745" s="83" t="str">
        <f t="shared" si="624"/>
        <v/>
      </c>
      <c r="B5745" s="83" t="str">
        <f t="shared" si="630"/>
        <v/>
      </c>
      <c r="U5745" s="83" t="str">
        <f t="shared" si="625"/>
        <v/>
      </c>
      <c r="V5745" s="83" t="str">
        <f t="shared" si="626"/>
        <v/>
      </c>
      <c r="AA5745" s="60">
        <f t="shared" si="627"/>
        <v>0</v>
      </c>
      <c r="AB5745" s="49">
        <f t="shared" si="628"/>
        <v>0</v>
      </c>
      <c r="AC5745" s="60">
        <f t="shared" si="629"/>
        <v>0</v>
      </c>
    </row>
    <row r="5746" spans="1:29">
      <c r="A5746" s="83" t="str">
        <f t="shared" si="624"/>
        <v/>
      </c>
      <c r="B5746" s="83" t="str">
        <f t="shared" si="630"/>
        <v/>
      </c>
      <c r="U5746" s="83" t="str">
        <f t="shared" si="625"/>
        <v/>
      </c>
      <c r="V5746" s="83" t="str">
        <f t="shared" si="626"/>
        <v/>
      </c>
      <c r="AA5746" s="60">
        <f t="shared" si="627"/>
        <v>0</v>
      </c>
      <c r="AB5746" s="49">
        <f t="shared" si="628"/>
        <v>0</v>
      </c>
      <c r="AC5746" s="60">
        <f t="shared" si="629"/>
        <v>0</v>
      </c>
    </row>
    <row r="5747" spans="1:29">
      <c r="A5747" s="83" t="str">
        <f t="shared" si="624"/>
        <v/>
      </c>
      <c r="B5747" s="83" t="str">
        <f t="shared" si="630"/>
        <v/>
      </c>
      <c r="U5747" s="83" t="str">
        <f t="shared" si="625"/>
        <v/>
      </c>
      <c r="V5747" s="83" t="str">
        <f t="shared" si="626"/>
        <v/>
      </c>
      <c r="AA5747" s="60">
        <f t="shared" si="627"/>
        <v>0</v>
      </c>
      <c r="AB5747" s="49">
        <f t="shared" si="628"/>
        <v>0</v>
      </c>
      <c r="AC5747" s="60">
        <f t="shared" si="629"/>
        <v>0</v>
      </c>
    </row>
    <row r="5748" spans="1:29">
      <c r="A5748" s="83" t="str">
        <f t="shared" si="624"/>
        <v/>
      </c>
      <c r="B5748" s="83" t="str">
        <f t="shared" si="630"/>
        <v/>
      </c>
      <c r="U5748" s="83" t="str">
        <f t="shared" si="625"/>
        <v/>
      </c>
      <c r="V5748" s="83" t="str">
        <f t="shared" si="626"/>
        <v/>
      </c>
      <c r="AA5748" s="60">
        <f t="shared" si="627"/>
        <v>0</v>
      </c>
      <c r="AB5748" s="49">
        <f t="shared" si="628"/>
        <v>0</v>
      </c>
      <c r="AC5748" s="60">
        <f t="shared" si="629"/>
        <v>0</v>
      </c>
    </row>
    <row r="5749" spans="1:29">
      <c r="A5749" s="83" t="str">
        <f t="shared" si="624"/>
        <v/>
      </c>
      <c r="B5749" s="83" t="str">
        <f t="shared" si="630"/>
        <v/>
      </c>
      <c r="U5749" s="83" t="str">
        <f t="shared" si="625"/>
        <v/>
      </c>
      <c r="V5749" s="83" t="str">
        <f t="shared" si="626"/>
        <v/>
      </c>
      <c r="AA5749" s="60">
        <f t="shared" si="627"/>
        <v>0</v>
      </c>
      <c r="AB5749" s="49">
        <f t="shared" si="628"/>
        <v>0</v>
      </c>
      <c r="AC5749" s="60">
        <f t="shared" si="629"/>
        <v>0</v>
      </c>
    </row>
    <row r="5750" spans="1:29">
      <c r="A5750" s="83" t="str">
        <f t="shared" si="624"/>
        <v/>
      </c>
      <c r="B5750" s="83" t="str">
        <f t="shared" si="630"/>
        <v/>
      </c>
      <c r="U5750" s="83" t="str">
        <f t="shared" si="625"/>
        <v/>
      </c>
      <c r="V5750" s="83" t="str">
        <f t="shared" si="626"/>
        <v/>
      </c>
      <c r="AA5750" s="60">
        <f t="shared" si="627"/>
        <v>0</v>
      </c>
      <c r="AB5750" s="49">
        <f t="shared" si="628"/>
        <v>0</v>
      </c>
      <c r="AC5750" s="60">
        <f t="shared" si="629"/>
        <v>0</v>
      </c>
    </row>
    <row r="5751" spans="1:29">
      <c r="A5751" s="83" t="str">
        <f t="shared" si="624"/>
        <v/>
      </c>
      <c r="B5751" s="83" t="str">
        <f t="shared" si="630"/>
        <v/>
      </c>
      <c r="U5751" s="83" t="str">
        <f t="shared" si="625"/>
        <v/>
      </c>
      <c r="V5751" s="83" t="str">
        <f t="shared" si="626"/>
        <v/>
      </c>
      <c r="AA5751" s="60">
        <f t="shared" si="627"/>
        <v>0</v>
      </c>
      <c r="AB5751" s="49">
        <f t="shared" si="628"/>
        <v>0</v>
      </c>
      <c r="AC5751" s="60">
        <f t="shared" si="629"/>
        <v>0</v>
      </c>
    </row>
    <row r="5752" spans="1:29">
      <c r="A5752" s="83" t="str">
        <f t="shared" si="624"/>
        <v/>
      </c>
      <c r="B5752" s="83" t="str">
        <f t="shared" si="630"/>
        <v/>
      </c>
      <c r="U5752" s="83" t="str">
        <f t="shared" si="625"/>
        <v/>
      </c>
      <c r="V5752" s="83" t="str">
        <f t="shared" si="626"/>
        <v/>
      </c>
      <c r="AA5752" s="60">
        <f t="shared" si="627"/>
        <v>0</v>
      </c>
      <c r="AB5752" s="49">
        <f t="shared" si="628"/>
        <v>0</v>
      </c>
      <c r="AC5752" s="60">
        <f t="shared" si="629"/>
        <v>0</v>
      </c>
    </row>
    <row r="5753" spans="1:29">
      <c r="A5753" s="83" t="str">
        <f t="shared" si="624"/>
        <v/>
      </c>
      <c r="B5753" s="83" t="str">
        <f t="shared" si="630"/>
        <v/>
      </c>
      <c r="U5753" s="83" t="str">
        <f t="shared" si="625"/>
        <v/>
      </c>
      <c r="V5753" s="83" t="str">
        <f t="shared" si="626"/>
        <v/>
      </c>
      <c r="AA5753" s="60">
        <f t="shared" si="627"/>
        <v>0</v>
      </c>
      <c r="AB5753" s="49">
        <f t="shared" si="628"/>
        <v>0</v>
      </c>
      <c r="AC5753" s="60">
        <f t="shared" si="629"/>
        <v>0</v>
      </c>
    </row>
    <row r="5754" spans="1:29">
      <c r="A5754" s="83" t="str">
        <f t="shared" si="624"/>
        <v/>
      </c>
      <c r="B5754" s="83" t="str">
        <f t="shared" si="630"/>
        <v/>
      </c>
      <c r="U5754" s="83" t="str">
        <f t="shared" si="625"/>
        <v/>
      </c>
      <c r="V5754" s="83" t="str">
        <f t="shared" si="626"/>
        <v/>
      </c>
      <c r="AA5754" s="60">
        <f t="shared" si="627"/>
        <v>0</v>
      </c>
      <c r="AB5754" s="49">
        <f t="shared" si="628"/>
        <v>0</v>
      </c>
      <c r="AC5754" s="60">
        <f t="shared" si="629"/>
        <v>0</v>
      </c>
    </row>
    <row r="5755" spans="1:29">
      <c r="A5755" s="83" t="str">
        <f t="shared" si="624"/>
        <v/>
      </c>
      <c r="B5755" s="83" t="str">
        <f t="shared" si="630"/>
        <v/>
      </c>
      <c r="U5755" s="83" t="str">
        <f t="shared" si="625"/>
        <v/>
      </c>
      <c r="V5755" s="83" t="str">
        <f t="shared" si="626"/>
        <v/>
      </c>
      <c r="AA5755" s="60">
        <f t="shared" si="627"/>
        <v>0</v>
      </c>
      <c r="AB5755" s="49">
        <f t="shared" si="628"/>
        <v>0</v>
      </c>
      <c r="AC5755" s="60">
        <f t="shared" si="629"/>
        <v>0</v>
      </c>
    </row>
    <row r="5756" spans="1:29">
      <c r="A5756" s="83" t="str">
        <f t="shared" si="624"/>
        <v/>
      </c>
      <c r="B5756" s="83" t="str">
        <f t="shared" si="630"/>
        <v/>
      </c>
      <c r="U5756" s="83" t="str">
        <f t="shared" si="625"/>
        <v/>
      </c>
      <c r="V5756" s="83" t="str">
        <f t="shared" si="626"/>
        <v/>
      </c>
      <c r="AA5756" s="60">
        <f t="shared" si="627"/>
        <v>0</v>
      </c>
      <c r="AB5756" s="49">
        <f t="shared" si="628"/>
        <v>0</v>
      </c>
      <c r="AC5756" s="60">
        <f t="shared" si="629"/>
        <v>0</v>
      </c>
    </row>
    <row r="5757" spans="1:29">
      <c r="A5757" s="83" t="str">
        <f t="shared" si="624"/>
        <v/>
      </c>
      <c r="B5757" s="83" t="str">
        <f t="shared" si="630"/>
        <v/>
      </c>
      <c r="U5757" s="83" t="str">
        <f t="shared" si="625"/>
        <v/>
      </c>
      <c r="V5757" s="83" t="str">
        <f t="shared" si="626"/>
        <v/>
      </c>
      <c r="AA5757" s="60">
        <f t="shared" si="627"/>
        <v>0</v>
      </c>
      <c r="AB5757" s="49">
        <f t="shared" si="628"/>
        <v>0</v>
      </c>
      <c r="AC5757" s="60">
        <f t="shared" si="629"/>
        <v>0</v>
      </c>
    </row>
    <row r="5758" spans="1:29">
      <c r="A5758" s="83" t="str">
        <f t="shared" si="624"/>
        <v/>
      </c>
      <c r="B5758" s="83" t="str">
        <f t="shared" si="630"/>
        <v/>
      </c>
      <c r="U5758" s="83" t="str">
        <f t="shared" si="625"/>
        <v/>
      </c>
      <c r="V5758" s="83" t="str">
        <f t="shared" si="626"/>
        <v/>
      </c>
      <c r="AA5758" s="60">
        <f t="shared" si="627"/>
        <v>0</v>
      </c>
      <c r="AB5758" s="49">
        <f t="shared" si="628"/>
        <v>0</v>
      </c>
      <c r="AC5758" s="60">
        <f t="shared" si="629"/>
        <v>0</v>
      </c>
    </row>
    <row r="5759" spans="1:29">
      <c r="A5759" s="83" t="str">
        <f t="shared" si="624"/>
        <v/>
      </c>
      <c r="B5759" s="83" t="str">
        <f t="shared" si="630"/>
        <v/>
      </c>
      <c r="U5759" s="83" t="str">
        <f t="shared" si="625"/>
        <v/>
      </c>
      <c r="V5759" s="83" t="str">
        <f t="shared" si="626"/>
        <v/>
      </c>
      <c r="AA5759" s="60">
        <f t="shared" si="627"/>
        <v>0</v>
      </c>
      <c r="AB5759" s="49">
        <f t="shared" si="628"/>
        <v>0</v>
      </c>
      <c r="AC5759" s="60">
        <f t="shared" si="629"/>
        <v>0</v>
      </c>
    </row>
    <row r="5760" spans="1:29">
      <c r="A5760" s="83" t="str">
        <f t="shared" si="624"/>
        <v/>
      </c>
      <c r="B5760" s="83" t="str">
        <f t="shared" si="630"/>
        <v/>
      </c>
      <c r="U5760" s="83" t="str">
        <f t="shared" si="625"/>
        <v/>
      </c>
      <c r="V5760" s="83" t="str">
        <f t="shared" si="626"/>
        <v/>
      </c>
      <c r="AA5760" s="60">
        <f t="shared" si="627"/>
        <v>0</v>
      </c>
      <c r="AB5760" s="49">
        <f t="shared" si="628"/>
        <v>0</v>
      </c>
      <c r="AC5760" s="60">
        <f t="shared" si="629"/>
        <v>0</v>
      </c>
    </row>
    <row r="5761" spans="1:29">
      <c r="A5761" s="83" t="str">
        <f t="shared" si="624"/>
        <v/>
      </c>
      <c r="B5761" s="83" t="str">
        <f t="shared" si="630"/>
        <v/>
      </c>
      <c r="U5761" s="83" t="str">
        <f t="shared" si="625"/>
        <v/>
      </c>
      <c r="V5761" s="83" t="str">
        <f t="shared" si="626"/>
        <v/>
      </c>
      <c r="AA5761" s="60">
        <f t="shared" si="627"/>
        <v>0</v>
      </c>
      <c r="AB5761" s="49">
        <f t="shared" si="628"/>
        <v>0</v>
      </c>
      <c r="AC5761" s="60">
        <f t="shared" si="629"/>
        <v>0</v>
      </c>
    </row>
    <row r="5762" spans="1:29">
      <c r="A5762" s="83" t="str">
        <f t="shared" si="624"/>
        <v/>
      </c>
      <c r="B5762" s="83" t="str">
        <f t="shared" si="630"/>
        <v/>
      </c>
      <c r="U5762" s="83" t="str">
        <f t="shared" si="625"/>
        <v/>
      </c>
      <c r="V5762" s="83" t="str">
        <f t="shared" si="626"/>
        <v/>
      </c>
      <c r="AA5762" s="60">
        <f t="shared" si="627"/>
        <v>0</v>
      </c>
      <c r="AB5762" s="49">
        <f t="shared" si="628"/>
        <v>0</v>
      </c>
      <c r="AC5762" s="60">
        <f t="shared" si="629"/>
        <v>0</v>
      </c>
    </row>
    <row r="5763" spans="1:29">
      <c r="A5763" s="83" t="str">
        <f t="shared" ref="A5763:A5826" si="631">IF(G5763&amp;Q5763&lt;&gt;"",U5763&amp;Q5763,"")</f>
        <v/>
      </c>
      <c r="B5763" s="83" t="str">
        <f t="shared" si="630"/>
        <v/>
      </c>
      <c r="U5763" s="83" t="str">
        <f t="shared" ref="U5763:U5826" si="632">IF(G5763&lt;&gt;"",IF(StyleSpaceSplit,IFERROR(IF(FIND(" ",G5763)&gt;=1,MID(G5763,1,FIND(" ",G5763)-1),G5763),G5763),G5763),"")</f>
        <v/>
      </c>
      <c r="V5763" s="83" t="str">
        <f t="shared" ref="V5763:V5826" si="633">IF(A5763&lt;&gt;"",IFERROR(IF(FIND(" ",G5763)&gt;=1,MID(G5763,FIND(" ",G5763)+1,LEN(G5763)),""),G5763),"")</f>
        <v/>
      </c>
      <c r="AA5763" s="60">
        <f t="shared" ref="AA5763:AA5826" si="634">IFERROR(VALUE(MID($C5763,1,2)),0)</f>
        <v>0</v>
      </c>
      <c r="AB5763" s="49">
        <f t="shared" ref="AB5763:AB5826" si="635">IFERROR(VALUE(MID($C5763,4,3)),0)</f>
        <v>0</v>
      </c>
      <c r="AC5763" s="60">
        <f t="shared" ref="AC5763:AC5826" si="636">VALUE(RIGHT("00"&amp;AA5763,2)&amp;RIGHT("000"&amp;AB5763,3))</f>
        <v>0</v>
      </c>
    </row>
    <row r="5764" spans="1:29">
      <c r="A5764" s="83" t="str">
        <f t="shared" si="631"/>
        <v/>
      </c>
      <c r="B5764" s="83" t="str">
        <f t="shared" si="630"/>
        <v/>
      </c>
      <c r="U5764" s="83" t="str">
        <f t="shared" si="632"/>
        <v/>
      </c>
      <c r="V5764" s="83" t="str">
        <f t="shared" si="633"/>
        <v/>
      </c>
      <c r="AA5764" s="60">
        <f t="shared" si="634"/>
        <v>0</v>
      </c>
      <c r="AB5764" s="49">
        <f t="shared" si="635"/>
        <v>0</v>
      </c>
      <c r="AC5764" s="60">
        <f t="shared" si="636"/>
        <v>0</v>
      </c>
    </row>
    <row r="5765" spans="1:29">
      <c r="A5765" s="83" t="str">
        <f t="shared" si="631"/>
        <v/>
      </c>
      <c r="B5765" s="83" t="str">
        <f t="shared" si="630"/>
        <v/>
      </c>
      <c r="U5765" s="83" t="str">
        <f t="shared" si="632"/>
        <v/>
      </c>
      <c r="V5765" s="83" t="str">
        <f t="shared" si="633"/>
        <v/>
      </c>
      <c r="AA5765" s="60">
        <f t="shared" si="634"/>
        <v>0</v>
      </c>
      <c r="AB5765" s="49">
        <f t="shared" si="635"/>
        <v>0</v>
      </c>
      <c r="AC5765" s="60">
        <f t="shared" si="636"/>
        <v>0</v>
      </c>
    </row>
    <row r="5766" spans="1:29">
      <c r="A5766" s="83" t="str">
        <f t="shared" si="631"/>
        <v/>
      </c>
      <c r="B5766" s="83" t="str">
        <f t="shared" si="630"/>
        <v/>
      </c>
      <c r="U5766" s="83" t="str">
        <f t="shared" si="632"/>
        <v/>
      </c>
      <c r="V5766" s="83" t="str">
        <f t="shared" si="633"/>
        <v/>
      </c>
      <c r="AA5766" s="60">
        <f t="shared" si="634"/>
        <v>0</v>
      </c>
      <c r="AB5766" s="49">
        <f t="shared" si="635"/>
        <v>0</v>
      </c>
      <c r="AC5766" s="60">
        <f t="shared" si="636"/>
        <v>0</v>
      </c>
    </row>
    <row r="5767" spans="1:29">
      <c r="A5767" s="83" t="str">
        <f t="shared" si="631"/>
        <v/>
      </c>
      <c r="B5767" s="83" t="str">
        <f t="shared" si="630"/>
        <v/>
      </c>
      <c r="U5767" s="83" t="str">
        <f t="shared" si="632"/>
        <v/>
      </c>
      <c r="V5767" s="83" t="str">
        <f t="shared" si="633"/>
        <v/>
      </c>
      <c r="AA5767" s="60">
        <f t="shared" si="634"/>
        <v>0</v>
      </c>
      <c r="AB5767" s="49">
        <f t="shared" si="635"/>
        <v>0</v>
      </c>
      <c r="AC5767" s="60">
        <f t="shared" si="636"/>
        <v>0</v>
      </c>
    </row>
    <row r="5768" spans="1:29">
      <c r="A5768" s="83" t="str">
        <f t="shared" si="631"/>
        <v/>
      </c>
      <c r="B5768" s="83" t="str">
        <f t="shared" si="630"/>
        <v/>
      </c>
      <c r="U5768" s="83" t="str">
        <f t="shared" si="632"/>
        <v/>
      </c>
      <c r="V5768" s="83" t="str">
        <f t="shared" si="633"/>
        <v/>
      </c>
      <c r="AA5768" s="60">
        <f t="shared" si="634"/>
        <v>0</v>
      </c>
      <c r="AB5768" s="49">
        <f t="shared" si="635"/>
        <v>0</v>
      </c>
      <c r="AC5768" s="60">
        <f t="shared" si="636"/>
        <v>0</v>
      </c>
    </row>
    <row r="5769" spans="1:29">
      <c r="A5769" s="83" t="str">
        <f t="shared" si="631"/>
        <v/>
      </c>
      <c r="B5769" s="83" t="str">
        <f t="shared" si="630"/>
        <v/>
      </c>
      <c r="U5769" s="83" t="str">
        <f t="shared" si="632"/>
        <v/>
      </c>
      <c r="V5769" s="83" t="str">
        <f t="shared" si="633"/>
        <v/>
      </c>
      <c r="AA5769" s="60">
        <f t="shared" si="634"/>
        <v>0</v>
      </c>
      <c r="AB5769" s="49">
        <f t="shared" si="635"/>
        <v>0</v>
      </c>
      <c r="AC5769" s="60">
        <f t="shared" si="636"/>
        <v>0</v>
      </c>
    </row>
    <row r="5770" spans="1:29">
      <c r="A5770" s="83" t="str">
        <f t="shared" si="631"/>
        <v/>
      </c>
      <c r="B5770" s="83" t="str">
        <f t="shared" si="630"/>
        <v/>
      </c>
      <c r="U5770" s="83" t="str">
        <f t="shared" si="632"/>
        <v/>
      </c>
      <c r="V5770" s="83" t="str">
        <f t="shared" si="633"/>
        <v/>
      </c>
      <c r="AA5770" s="60">
        <f t="shared" si="634"/>
        <v>0</v>
      </c>
      <c r="AB5770" s="49">
        <f t="shared" si="635"/>
        <v>0</v>
      </c>
      <c r="AC5770" s="60">
        <f t="shared" si="636"/>
        <v>0</v>
      </c>
    </row>
    <row r="5771" spans="1:29">
      <c r="A5771" s="83" t="str">
        <f t="shared" si="631"/>
        <v/>
      </c>
      <c r="B5771" s="83" t="str">
        <f t="shared" si="630"/>
        <v/>
      </c>
      <c r="U5771" s="83" t="str">
        <f t="shared" si="632"/>
        <v/>
      </c>
      <c r="V5771" s="83" t="str">
        <f t="shared" si="633"/>
        <v/>
      </c>
      <c r="AA5771" s="60">
        <f t="shared" si="634"/>
        <v>0</v>
      </c>
      <c r="AB5771" s="49">
        <f t="shared" si="635"/>
        <v>0</v>
      </c>
      <c r="AC5771" s="60">
        <f t="shared" si="636"/>
        <v>0</v>
      </c>
    </row>
    <row r="5772" spans="1:29">
      <c r="A5772" s="83" t="str">
        <f t="shared" si="631"/>
        <v/>
      </c>
      <c r="B5772" s="83" t="str">
        <f t="shared" si="630"/>
        <v/>
      </c>
      <c r="U5772" s="83" t="str">
        <f t="shared" si="632"/>
        <v/>
      </c>
      <c r="V5772" s="83" t="str">
        <f t="shared" si="633"/>
        <v/>
      </c>
      <c r="AA5772" s="60">
        <f t="shared" si="634"/>
        <v>0</v>
      </c>
      <c r="AB5772" s="49">
        <f t="shared" si="635"/>
        <v>0</v>
      </c>
      <c r="AC5772" s="60">
        <f t="shared" si="636"/>
        <v>0</v>
      </c>
    </row>
    <row r="5773" spans="1:29">
      <c r="A5773" s="83" t="str">
        <f t="shared" si="631"/>
        <v/>
      </c>
      <c r="B5773" s="83" t="str">
        <f t="shared" si="630"/>
        <v/>
      </c>
      <c r="U5773" s="83" t="str">
        <f t="shared" si="632"/>
        <v/>
      </c>
      <c r="V5773" s="83" t="str">
        <f t="shared" si="633"/>
        <v/>
      </c>
      <c r="AA5773" s="60">
        <f t="shared" si="634"/>
        <v>0</v>
      </c>
      <c r="AB5773" s="49">
        <f t="shared" si="635"/>
        <v>0</v>
      </c>
      <c r="AC5773" s="60">
        <f t="shared" si="636"/>
        <v>0</v>
      </c>
    </row>
    <row r="5774" spans="1:29">
      <c r="A5774" s="83" t="str">
        <f t="shared" si="631"/>
        <v/>
      </c>
      <c r="B5774" s="83" t="str">
        <f t="shared" si="630"/>
        <v/>
      </c>
      <c r="U5774" s="83" t="str">
        <f t="shared" si="632"/>
        <v/>
      </c>
      <c r="V5774" s="83" t="str">
        <f t="shared" si="633"/>
        <v/>
      </c>
      <c r="AA5774" s="60">
        <f t="shared" si="634"/>
        <v>0</v>
      </c>
      <c r="AB5774" s="49">
        <f t="shared" si="635"/>
        <v>0</v>
      </c>
      <c r="AC5774" s="60">
        <f t="shared" si="636"/>
        <v>0</v>
      </c>
    </row>
    <row r="5775" spans="1:29">
      <c r="A5775" s="83" t="str">
        <f t="shared" si="631"/>
        <v/>
      </c>
      <c r="B5775" s="83" t="str">
        <f t="shared" si="630"/>
        <v/>
      </c>
      <c r="U5775" s="83" t="str">
        <f t="shared" si="632"/>
        <v/>
      </c>
      <c r="V5775" s="83" t="str">
        <f t="shared" si="633"/>
        <v/>
      </c>
      <c r="AA5775" s="60">
        <f t="shared" si="634"/>
        <v>0</v>
      </c>
      <c r="AB5775" s="49">
        <f t="shared" si="635"/>
        <v>0</v>
      </c>
      <c r="AC5775" s="60">
        <f t="shared" si="636"/>
        <v>0</v>
      </c>
    </row>
    <row r="5776" spans="1:29">
      <c r="A5776" s="83" t="str">
        <f t="shared" si="631"/>
        <v/>
      </c>
      <c r="B5776" s="83" t="str">
        <f t="shared" si="630"/>
        <v/>
      </c>
      <c r="U5776" s="83" t="str">
        <f t="shared" si="632"/>
        <v/>
      </c>
      <c r="V5776" s="83" t="str">
        <f t="shared" si="633"/>
        <v/>
      </c>
      <c r="AA5776" s="60">
        <f t="shared" si="634"/>
        <v>0</v>
      </c>
      <c r="AB5776" s="49">
        <f t="shared" si="635"/>
        <v>0</v>
      </c>
      <c r="AC5776" s="60">
        <f t="shared" si="636"/>
        <v>0</v>
      </c>
    </row>
    <row r="5777" spans="1:29">
      <c r="A5777" s="83" t="str">
        <f t="shared" si="631"/>
        <v/>
      </c>
      <c r="B5777" s="83" t="str">
        <f t="shared" si="630"/>
        <v/>
      </c>
      <c r="U5777" s="83" t="str">
        <f t="shared" si="632"/>
        <v/>
      </c>
      <c r="V5777" s="83" t="str">
        <f t="shared" si="633"/>
        <v/>
      </c>
      <c r="AA5777" s="60">
        <f t="shared" si="634"/>
        <v>0</v>
      </c>
      <c r="AB5777" s="49">
        <f t="shared" si="635"/>
        <v>0</v>
      </c>
      <c r="AC5777" s="60">
        <f t="shared" si="636"/>
        <v>0</v>
      </c>
    </row>
    <row r="5778" spans="1:29">
      <c r="A5778" s="83" t="str">
        <f t="shared" si="631"/>
        <v/>
      </c>
      <c r="B5778" s="83" t="str">
        <f t="shared" si="630"/>
        <v/>
      </c>
      <c r="U5778" s="83" t="str">
        <f t="shared" si="632"/>
        <v/>
      </c>
      <c r="V5778" s="83" t="str">
        <f t="shared" si="633"/>
        <v/>
      </c>
      <c r="AA5778" s="60">
        <f t="shared" si="634"/>
        <v>0</v>
      </c>
      <c r="AB5778" s="49">
        <f t="shared" si="635"/>
        <v>0</v>
      </c>
      <c r="AC5778" s="60">
        <f t="shared" si="636"/>
        <v>0</v>
      </c>
    </row>
    <row r="5779" spans="1:29">
      <c r="A5779" s="83" t="str">
        <f t="shared" si="631"/>
        <v/>
      </c>
      <c r="B5779" s="83" t="str">
        <f t="shared" si="630"/>
        <v/>
      </c>
      <c r="U5779" s="83" t="str">
        <f t="shared" si="632"/>
        <v/>
      </c>
      <c r="V5779" s="83" t="str">
        <f t="shared" si="633"/>
        <v/>
      </c>
      <c r="AA5779" s="60">
        <f t="shared" si="634"/>
        <v>0</v>
      </c>
      <c r="AB5779" s="49">
        <f t="shared" si="635"/>
        <v>0</v>
      </c>
      <c r="AC5779" s="60">
        <f t="shared" si="636"/>
        <v>0</v>
      </c>
    </row>
    <row r="5780" spans="1:29">
      <c r="A5780" s="83" t="str">
        <f t="shared" si="631"/>
        <v/>
      </c>
      <c r="B5780" s="83" t="str">
        <f t="shared" si="630"/>
        <v/>
      </c>
      <c r="U5780" s="83" t="str">
        <f t="shared" si="632"/>
        <v/>
      </c>
      <c r="V5780" s="83" t="str">
        <f t="shared" si="633"/>
        <v/>
      </c>
      <c r="AA5780" s="60">
        <f t="shared" si="634"/>
        <v>0</v>
      </c>
      <c r="AB5780" s="49">
        <f t="shared" si="635"/>
        <v>0</v>
      </c>
      <c r="AC5780" s="60">
        <f t="shared" si="636"/>
        <v>0</v>
      </c>
    </row>
    <row r="5781" spans="1:29">
      <c r="A5781" s="83" t="str">
        <f t="shared" si="631"/>
        <v/>
      </c>
      <c r="B5781" s="83" t="str">
        <f t="shared" si="630"/>
        <v/>
      </c>
      <c r="U5781" s="83" t="str">
        <f t="shared" si="632"/>
        <v/>
      </c>
      <c r="V5781" s="83" t="str">
        <f t="shared" si="633"/>
        <v/>
      </c>
      <c r="AA5781" s="60">
        <f t="shared" si="634"/>
        <v>0</v>
      </c>
      <c r="AB5781" s="49">
        <f t="shared" si="635"/>
        <v>0</v>
      </c>
      <c r="AC5781" s="60">
        <f t="shared" si="636"/>
        <v>0</v>
      </c>
    </row>
    <row r="5782" spans="1:29">
      <c r="A5782" s="83" t="str">
        <f t="shared" si="631"/>
        <v/>
      </c>
      <c r="B5782" s="83" t="str">
        <f t="shared" si="630"/>
        <v/>
      </c>
      <c r="U5782" s="83" t="str">
        <f t="shared" si="632"/>
        <v/>
      </c>
      <c r="V5782" s="83" t="str">
        <f t="shared" si="633"/>
        <v/>
      </c>
      <c r="AA5782" s="60">
        <f t="shared" si="634"/>
        <v>0</v>
      </c>
      <c r="AB5782" s="49">
        <f t="shared" si="635"/>
        <v>0</v>
      </c>
      <c r="AC5782" s="60">
        <f t="shared" si="636"/>
        <v>0</v>
      </c>
    </row>
    <row r="5783" spans="1:29">
      <c r="A5783" s="83" t="str">
        <f t="shared" si="631"/>
        <v/>
      </c>
      <c r="B5783" s="83" t="str">
        <f t="shared" si="630"/>
        <v/>
      </c>
      <c r="U5783" s="83" t="str">
        <f t="shared" si="632"/>
        <v/>
      </c>
      <c r="V5783" s="83" t="str">
        <f t="shared" si="633"/>
        <v/>
      </c>
      <c r="AA5783" s="60">
        <f t="shared" si="634"/>
        <v>0</v>
      </c>
      <c r="AB5783" s="49">
        <f t="shared" si="635"/>
        <v>0</v>
      </c>
      <c r="AC5783" s="60">
        <f t="shared" si="636"/>
        <v>0</v>
      </c>
    </row>
    <row r="5784" spans="1:29">
      <c r="A5784" s="83" t="str">
        <f t="shared" si="631"/>
        <v/>
      </c>
      <c r="B5784" s="83" t="str">
        <f t="shared" si="630"/>
        <v/>
      </c>
      <c r="U5784" s="83" t="str">
        <f t="shared" si="632"/>
        <v/>
      </c>
      <c r="V5784" s="83" t="str">
        <f t="shared" si="633"/>
        <v/>
      </c>
      <c r="AA5784" s="60">
        <f t="shared" si="634"/>
        <v>0</v>
      </c>
      <c r="AB5784" s="49">
        <f t="shared" si="635"/>
        <v>0</v>
      </c>
      <c r="AC5784" s="60">
        <f t="shared" si="636"/>
        <v>0</v>
      </c>
    </row>
    <row r="5785" spans="1:29">
      <c r="A5785" s="83" t="str">
        <f t="shared" si="631"/>
        <v/>
      </c>
      <c r="B5785" s="83" t="str">
        <f t="shared" si="630"/>
        <v/>
      </c>
      <c r="U5785" s="83" t="str">
        <f t="shared" si="632"/>
        <v/>
      </c>
      <c r="V5785" s="83" t="str">
        <f t="shared" si="633"/>
        <v/>
      </c>
      <c r="AA5785" s="60">
        <f t="shared" si="634"/>
        <v>0</v>
      </c>
      <c r="AB5785" s="49">
        <f t="shared" si="635"/>
        <v>0</v>
      </c>
      <c r="AC5785" s="60">
        <f t="shared" si="636"/>
        <v>0</v>
      </c>
    </row>
    <row r="5786" spans="1:29">
      <c r="A5786" s="83" t="str">
        <f t="shared" si="631"/>
        <v/>
      </c>
      <c r="B5786" s="83" t="str">
        <f t="shared" si="630"/>
        <v/>
      </c>
      <c r="U5786" s="83" t="str">
        <f t="shared" si="632"/>
        <v/>
      </c>
      <c r="V5786" s="83" t="str">
        <f t="shared" si="633"/>
        <v/>
      </c>
      <c r="AA5786" s="60">
        <f t="shared" si="634"/>
        <v>0</v>
      </c>
      <c r="AB5786" s="49">
        <f t="shared" si="635"/>
        <v>0</v>
      </c>
      <c r="AC5786" s="60">
        <f t="shared" si="636"/>
        <v>0</v>
      </c>
    </row>
    <row r="5787" spans="1:29">
      <c r="A5787" s="83" t="str">
        <f t="shared" si="631"/>
        <v/>
      </c>
      <c r="B5787" s="83" t="str">
        <f t="shared" si="630"/>
        <v/>
      </c>
      <c r="U5787" s="83" t="str">
        <f t="shared" si="632"/>
        <v/>
      </c>
      <c r="V5787" s="83" t="str">
        <f t="shared" si="633"/>
        <v/>
      </c>
      <c r="AA5787" s="60">
        <f t="shared" si="634"/>
        <v>0</v>
      </c>
      <c r="AB5787" s="49">
        <f t="shared" si="635"/>
        <v>0</v>
      </c>
      <c r="AC5787" s="60">
        <f t="shared" si="636"/>
        <v>0</v>
      </c>
    </row>
    <row r="5788" spans="1:29">
      <c r="A5788" s="83" t="str">
        <f t="shared" si="631"/>
        <v/>
      </c>
      <c r="B5788" s="83" t="str">
        <f t="shared" si="630"/>
        <v/>
      </c>
      <c r="U5788" s="83" t="str">
        <f t="shared" si="632"/>
        <v/>
      </c>
      <c r="V5788" s="83" t="str">
        <f t="shared" si="633"/>
        <v/>
      </c>
      <c r="AA5788" s="60">
        <f t="shared" si="634"/>
        <v>0</v>
      </c>
      <c r="AB5788" s="49">
        <f t="shared" si="635"/>
        <v>0</v>
      </c>
      <c r="AC5788" s="60">
        <f t="shared" si="636"/>
        <v>0</v>
      </c>
    </row>
    <row r="5789" spans="1:29">
      <c r="A5789" s="83" t="str">
        <f t="shared" si="631"/>
        <v/>
      </c>
      <c r="B5789" s="83" t="str">
        <f t="shared" si="630"/>
        <v/>
      </c>
      <c r="U5789" s="83" t="str">
        <f t="shared" si="632"/>
        <v/>
      </c>
      <c r="V5789" s="83" t="str">
        <f t="shared" si="633"/>
        <v/>
      </c>
      <c r="AA5789" s="60">
        <f t="shared" si="634"/>
        <v>0</v>
      </c>
      <c r="AB5789" s="49">
        <f t="shared" si="635"/>
        <v>0</v>
      </c>
      <c r="AC5789" s="60">
        <f t="shared" si="636"/>
        <v>0</v>
      </c>
    </row>
    <row r="5790" spans="1:29">
      <c r="A5790" s="83" t="str">
        <f t="shared" si="631"/>
        <v/>
      </c>
      <c r="B5790" s="83" t="str">
        <f t="shared" si="630"/>
        <v/>
      </c>
      <c r="U5790" s="83" t="str">
        <f t="shared" si="632"/>
        <v/>
      </c>
      <c r="V5790" s="83" t="str">
        <f t="shared" si="633"/>
        <v/>
      </c>
      <c r="AA5790" s="60">
        <f t="shared" si="634"/>
        <v>0</v>
      </c>
      <c r="AB5790" s="49">
        <f t="shared" si="635"/>
        <v>0</v>
      </c>
      <c r="AC5790" s="60">
        <f t="shared" si="636"/>
        <v>0</v>
      </c>
    </row>
    <row r="5791" spans="1:29">
      <c r="A5791" s="83" t="str">
        <f t="shared" si="631"/>
        <v/>
      </c>
      <c r="B5791" s="83" t="str">
        <f t="shared" si="630"/>
        <v/>
      </c>
      <c r="U5791" s="83" t="str">
        <f t="shared" si="632"/>
        <v/>
      </c>
      <c r="V5791" s="83" t="str">
        <f t="shared" si="633"/>
        <v/>
      </c>
      <c r="AA5791" s="60">
        <f t="shared" si="634"/>
        <v>0</v>
      </c>
      <c r="AB5791" s="49">
        <f t="shared" si="635"/>
        <v>0</v>
      </c>
      <c r="AC5791" s="60">
        <f t="shared" si="636"/>
        <v>0</v>
      </c>
    </row>
    <row r="5792" spans="1:29">
      <c r="A5792" s="83" t="str">
        <f t="shared" si="631"/>
        <v/>
      </c>
      <c r="B5792" s="83" t="str">
        <f t="shared" si="630"/>
        <v/>
      </c>
      <c r="U5792" s="83" t="str">
        <f t="shared" si="632"/>
        <v/>
      </c>
      <c r="V5792" s="83" t="str">
        <f t="shared" si="633"/>
        <v/>
      </c>
      <c r="AA5792" s="60">
        <f t="shared" si="634"/>
        <v>0</v>
      </c>
      <c r="AB5792" s="49">
        <f t="shared" si="635"/>
        <v>0</v>
      </c>
      <c r="AC5792" s="60">
        <f t="shared" si="636"/>
        <v>0</v>
      </c>
    </row>
    <row r="5793" spans="1:29">
      <c r="A5793" s="83" t="str">
        <f t="shared" si="631"/>
        <v/>
      </c>
      <c r="B5793" s="83" t="str">
        <f t="shared" ref="B5793:B5856" si="637">IF(C5793&lt;&gt;"",LEFT(C5793,9),"")</f>
        <v/>
      </c>
      <c r="U5793" s="83" t="str">
        <f t="shared" si="632"/>
        <v/>
      </c>
      <c r="V5793" s="83" t="str">
        <f t="shared" si="633"/>
        <v/>
      </c>
      <c r="AA5793" s="60">
        <f t="shared" si="634"/>
        <v>0</v>
      </c>
      <c r="AB5793" s="49">
        <f t="shared" si="635"/>
        <v>0</v>
      </c>
      <c r="AC5793" s="60">
        <f t="shared" si="636"/>
        <v>0</v>
      </c>
    </row>
    <row r="5794" spans="1:29">
      <c r="A5794" s="83" t="str">
        <f t="shared" si="631"/>
        <v/>
      </c>
      <c r="B5794" s="83" t="str">
        <f t="shared" si="637"/>
        <v/>
      </c>
      <c r="U5794" s="83" t="str">
        <f t="shared" si="632"/>
        <v/>
      </c>
      <c r="V5794" s="83" t="str">
        <f t="shared" si="633"/>
        <v/>
      </c>
      <c r="AA5794" s="60">
        <f t="shared" si="634"/>
        <v>0</v>
      </c>
      <c r="AB5794" s="49">
        <f t="shared" si="635"/>
        <v>0</v>
      </c>
      <c r="AC5794" s="60">
        <f t="shared" si="636"/>
        <v>0</v>
      </c>
    </row>
    <row r="5795" spans="1:29">
      <c r="A5795" s="83" t="str">
        <f t="shared" si="631"/>
        <v/>
      </c>
      <c r="B5795" s="83" t="str">
        <f t="shared" si="637"/>
        <v/>
      </c>
      <c r="U5795" s="83" t="str">
        <f t="shared" si="632"/>
        <v/>
      </c>
      <c r="V5795" s="83" t="str">
        <f t="shared" si="633"/>
        <v/>
      </c>
      <c r="AA5795" s="60">
        <f t="shared" si="634"/>
        <v>0</v>
      </c>
      <c r="AB5795" s="49">
        <f t="shared" si="635"/>
        <v>0</v>
      </c>
      <c r="AC5795" s="60">
        <f t="shared" si="636"/>
        <v>0</v>
      </c>
    </row>
    <row r="5796" spans="1:29">
      <c r="A5796" s="83" t="str">
        <f t="shared" si="631"/>
        <v/>
      </c>
      <c r="B5796" s="83" t="str">
        <f t="shared" si="637"/>
        <v/>
      </c>
      <c r="U5796" s="83" t="str">
        <f t="shared" si="632"/>
        <v/>
      </c>
      <c r="V5796" s="83" t="str">
        <f t="shared" si="633"/>
        <v/>
      </c>
      <c r="AA5796" s="60">
        <f t="shared" si="634"/>
        <v>0</v>
      </c>
      <c r="AB5796" s="49">
        <f t="shared" si="635"/>
        <v>0</v>
      </c>
      <c r="AC5796" s="60">
        <f t="shared" si="636"/>
        <v>0</v>
      </c>
    </row>
    <row r="5797" spans="1:29">
      <c r="A5797" s="83" t="str">
        <f t="shared" si="631"/>
        <v/>
      </c>
      <c r="B5797" s="83" t="str">
        <f t="shared" si="637"/>
        <v/>
      </c>
      <c r="U5797" s="83" t="str">
        <f t="shared" si="632"/>
        <v/>
      </c>
      <c r="V5797" s="83" t="str">
        <f t="shared" si="633"/>
        <v/>
      </c>
      <c r="AA5797" s="60">
        <f t="shared" si="634"/>
        <v>0</v>
      </c>
      <c r="AB5797" s="49">
        <f t="shared" si="635"/>
        <v>0</v>
      </c>
      <c r="AC5797" s="60">
        <f t="shared" si="636"/>
        <v>0</v>
      </c>
    </row>
    <row r="5798" spans="1:29">
      <c r="A5798" s="83" t="str">
        <f t="shared" si="631"/>
        <v/>
      </c>
      <c r="B5798" s="83" t="str">
        <f t="shared" si="637"/>
        <v/>
      </c>
      <c r="U5798" s="83" t="str">
        <f t="shared" si="632"/>
        <v/>
      </c>
      <c r="V5798" s="83" t="str">
        <f t="shared" si="633"/>
        <v/>
      </c>
      <c r="AA5798" s="60">
        <f t="shared" si="634"/>
        <v>0</v>
      </c>
      <c r="AB5798" s="49">
        <f t="shared" si="635"/>
        <v>0</v>
      </c>
      <c r="AC5798" s="60">
        <f t="shared" si="636"/>
        <v>0</v>
      </c>
    </row>
    <row r="5799" spans="1:29">
      <c r="A5799" s="83" t="str">
        <f t="shared" si="631"/>
        <v/>
      </c>
      <c r="B5799" s="83" t="str">
        <f t="shared" si="637"/>
        <v/>
      </c>
      <c r="U5799" s="83" t="str">
        <f t="shared" si="632"/>
        <v/>
      </c>
      <c r="V5799" s="83" t="str">
        <f t="shared" si="633"/>
        <v/>
      </c>
      <c r="AA5799" s="60">
        <f t="shared" si="634"/>
        <v>0</v>
      </c>
      <c r="AB5799" s="49">
        <f t="shared" si="635"/>
        <v>0</v>
      </c>
      <c r="AC5799" s="60">
        <f t="shared" si="636"/>
        <v>0</v>
      </c>
    </row>
    <row r="5800" spans="1:29">
      <c r="A5800" s="83" t="str">
        <f t="shared" si="631"/>
        <v/>
      </c>
      <c r="B5800" s="83" t="str">
        <f t="shared" si="637"/>
        <v/>
      </c>
      <c r="U5800" s="83" t="str">
        <f t="shared" si="632"/>
        <v/>
      </c>
      <c r="V5800" s="83" t="str">
        <f t="shared" si="633"/>
        <v/>
      </c>
      <c r="AA5800" s="60">
        <f t="shared" si="634"/>
        <v>0</v>
      </c>
      <c r="AB5800" s="49">
        <f t="shared" si="635"/>
        <v>0</v>
      </c>
      <c r="AC5800" s="60">
        <f t="shared" si="636"/>
        <v>0</v>
      </c>
    </row>
    <row r="5801" spans="1:29">
      <c r="A5801" s="83" t="str">
        <f t="shared" si="631"/>
        <v/>
      </c>
      <c r="B5801" s="83" t="str">
        <f t="shared" si="637"/>
        <v/>
      </c>
      <c r="U5801" s="83" t="str">
        <f t="shared" si="632"/>
        <v/>
      </c>
      <c r="V5801" s="83" t="str">
        <f t="shared" si="633"/>
        <v/>
      </c>
      <c r="AA5801" s="60">
        <f t="shared" si="634"/>
        <v>0</v>
      </c>
      <c r="AB5801" s="49">
        <f t="shared" si="635"/>
        <v>0</v>
      </c>
      <c r="AC5801" s="60">
        <f t="shared" si="636"/>
        <v>0</v>
      </c>
    </row>
    <row r="5802" spans="1:29">
      <c r="A5802" s="83" t="str">
        <f t="shared" si="631"/>
        <v/>
      </c>
      <c r="B5802" s="83" t="str">
        <f t="shared" si="637"/>
        <v/>
      </c>
      <c r="U5802" s="83" t="str">
        <f t="shared" si="632"/>
        <v/>
      </c>
      <c r="V5802" s="83" t="str">
        <f t="shared" si="633"/>
        <v/>
      </c>
      <c r="AA5802" s="60">
        <f t="shared" si="634"/>
        <v>0</v>
      </c>
      <c r="AB5802" s="49">
        <f t="shared" si="635"/>
        <v>0</v>
      </c>
      <c r="AC5802" s="60">
        <f t="shared" si="636"/>
        <v>0</v>
      </c>
    </row>
    <row r="5803" spans="1:29">
      <c r="A5803" s="83" t="str">
        <f t="shared" si="631"/>
        <v/>
      </c>
      <c r="B5803" s="83" t="str">
        <f t="shared" si="637"/>
        <v/>
      </c>
      <c r="U5803" s="83" t="str">
        <f t="shared" si="632"/>
        <v/>
      </c>
      <c r="V5803" s="83" t="str">
        <f t="shared" si="633"/>
        <v/>
      </c>
      <c r="AA5803" s="60">
        <f t="shared" si="634"/>
        <v>0</v>
      </c>
      <c r="AB5803" s="49">
        <f t="shared" si="635"/>
        <v>0</v>
      </c>
      <c r="AC5803" s="60">
        <f t="shared" si="636"/>
        <v>0</v>
      </c>
    </row>
    <row r="5804" spans="1:29">
      <c r="A5804" s="83" t="str">
        <f t="shared" si="631"/>
        <v/>
      </c>
      <c r="B5804" s="83" t="str">
        <f t="shared" si="637"/>
        <v/>
      </c>
      <c r="U5804" s="83" t="str">
        <f t="shared" si="632"/>
        <v/>
      </c>
      <c r="V5804" s="83" t="str">
        <f t="shared" si="633"/>
        <v/>
      </c>
      <c r="AA5804" s="60">
        <f t="shared" si="634"/>
        <v>0</v>
      </c>
      <c r="AB5804" s="49">
        <f t="shared" si="635"/>
        <v>0</v>
      </c>
      <c r="AC5804" s="60">
        <f t="shared" si="636"/>
        <v>0</v>
      </c>
    </row>
    <row r="5805" spans="1:29">
      <c r="A5805" s="83" t="str">
        <f t="shared" si="631"/>
        <v/>
      </c>
      <c r="B5805" s="83" t="str">
        <f t="shared" si="637"/>
        <v/>
      </c>
      <c r="U5805" s="83" t="str">
        <f t="shared" si="632"/>
        <v/>
      </c>
      <c r="V5805" s="83" t="str">
        <f t="shared" si="633"/>
        <v/>
      </c>
      <c r="AA5805" s="60">
        <f t="shared" si="634"/>
        <v>0</v>
      </c>
      <c r="AB5805" s="49">
        <f t="shared" si="635"/>
        <v>0</v>
      </c>
      <c r="AC5805" s="60">
        <f t="shared" si="636"/>
        <v>0</v>
      </c>
    </row>
    <row r="5806" spans="1:29">
      <c r="A5806" s="83" t="str">
        <f t="shared" si="631"/>
        <v/>
      </c>
      <c r="B5806" s="83" t="str">
        <f t="shared" si="637"/>
        <v/>
      </c>
      <c r="U5806" s="83" t="str">
        <f t="shared" si="632"/>
        <v/>
      </c>
      <c r="V5806" s="83" t="str">
        <f t="shared" si="633"/>
        <v/>
      </c>
      <c r="AA5806" s="60">
        <f t="shared" si="634"/>
        <v>0</v>
      </c>
      <c r="AB5806" s="49">
        <f t="shared" si="635"/>
        <v>0</v>
      </c>
      <c r="AC5806" s="60">
        <f t="shared" si="636"/>
        <v>0</v>
      </c>
    </row>
    <row r="5807" spans="1:29">
      <c r="A5807" s="83" t="str">
        <f t="shared" si="631"/>
        <v/>
      </c>
      <c r="B5807" s="83" t="str">
        <f t="shared" si="637"/>
        <v/>
      </c>
      <c r="U5807" s="83" t="str">
        <f t="shared" si="632"/>
        <v/>
      </c>
      <c r="V5807" s="83" t="str">
        <f t="shared" si="633"/>
        <v/>
      </c>
      <c r="AA5807" s="60">
        <f t="shared" si="634"/>
        <v>0</v>
      </c>
      <c r="AB5807" s="49">
        <f t="shared" si="635"/>
        <v>0</v>
      </c>
      <c r="AC5807" s="60">
        <f t="shared" si="636"/>
        <v>0</v>
      </c>
    </row>
    <row r="5808" spans="1:29">
      <c r="A5808" s="83" t="str">
        <f t="shared" si="631"/>
        <v/>
      </c>
      <c r="B5808" s="83" t="str">
        <f t="shared" si="637"/>
        <v/>
      </c>
      <c r="U5808" s="83" t="str">
        <f t="shared" si="632"/>
        <v/>
      </c>
      <c r="V5808" s="83" t="str">
        <f t="shared" si="633"/>
        <v/>
      </c>
      <c r="AA5808" s="60">
        <f t="shared" si="634"/>
        <v>0</v>
      </c>
      <c r="AB5808" s="49">
        <f t="shared" si="635"/>
        <v>0</v>
      </c>
      <c r="AC5808" s="60">
        <f t="shared" si="636"/>
        <v>0</v>
      </c>
    </row>
    <row r="5809" spans="1:29">
      <c r="A5809" s="83" t="str">
        <f t="shared" si="631"/>
        <v/>
      </c>
      <c r="B5809" s="83" t="str">
        <f t="shared" si="637"/>
        <v/>
      </c>
      <c r="U5809" s="83" t="str">
        <f t="shared" si="632"/>
        <v/>
      </c>
      <c r="V5809" s="83" t="str">
        <f t="shared" si="633"/>
        <v/>
      </c>
      <c r="AA5809" s="60">
        <f t="shared" si="634"/>
        <v>0</v>
      </c>
      <c r="AB5809" s="49">
        <f t="shared" si="635"/>
        <v>0</v>
      </c>
      <c r="AC5809" s="60">
        <f t="shared" si="636"/>
        <v>0</v>
      </c>
    </row>
    <row r="5810" spans="1:29">
      <c r="A5810" s="83" t="str">
        <f t="shared" si="631"/>
        <v/>
      </c>
      <c r="B5810" s="83" t="str">
        <f t="shared" si="637"/>
        <v/>
      </c>
      <c r="U5810" s="83" t="str">
        <f t="shared" si="632"/>
        <v/>
      </c>
      <c r="V5810" s="83" t="str">
        <f t="shared" si="633"/>
        <v/>
      </c>
      <c r="AA5810" s="60">
        <f t="shared" si="634"/>
        <v>0</v>
      </c>
      <c r="AB5810" s="49">
        <f t="shared" si="635"/>
        <v>0</v>
      </c>
      <c r="AC5810" s="60">
        <f t="shared" si="636"/>
        <v>0</v>
      </c>
    </row>
    <row r="5811" spans="1:29">
      <c r="A5811" s="83" t="str">
        <f t="shared" si="631"/>
        <v/>
      </c>
      <c r="B5811" s="83" t="str">
        <f t="shared" si="637"/>
        <v/>
      </c>
      <c r="U5811" s="83" t="str">
        <f t="shared" si="632"/>
        <v/>
      </c>
      <c r="V5811" s="83" t="str">
        <f t="shared" si="633"/>
        <v/>
      </c>
      <c r="AA5811" s="60">
        <f t="shared" si="634"/>
        <v>0</v>
      </c>
      <c r="AB5811" s="49">
        <f t="shared" si="635"/>
        <v>0</v>
      </c>
      <c r="AC5811" s="60">
        <f t="shared" si="636"/>
        <v>0</v>
      </c>
    </row>
    <row r="5812" spans="1:29">
      <c r="A5812" s="83" t="str">
        <f t="shared" si="631"/>
        <v/>
      </c>
      <c r="B5812" s="83" t="str">
        <f t="shared" si="637"/>
        <v/>
      </c>
      <c r="U5812" s="83" t="str">
        <f t="shared" si="632"/>
        <v/>
      </c>
      <c r="V5812" s="83" t="str">
        <f t="shared" si="633"/>
        <v/>
      </c>
      <c r="AA5812" s="60">
        <f t="shared" si="634"/>
        <v>0</v>
      </c>
      <c r="AB5812" s="49">
        <f t="shared" si="635"/>
        <v>0</v>
      </c>
      <c r="AC5812" s="60">
        <f t="shared" si="636"/>
        <v>0</v>
      </c>
    </row>
    <row r="5813" spans="1:29">
      <c r="A5813" s="83" t="str">
        <f t="shared" si="631"/>
        <v/>
      </c>
      <c r="B5813" s="83" t="str">
        <f t="shared" si="637"/>
        <v/>
      </c>
      <c r="U5813" s="83" t="str">
        <f t="shared" si="632"/>
        <v/>
      </c>
      <c r="V5813" s="83" t="str">
        <f t="shared" si="633"/>
        <v/>
      </c>
      <c r="AA5813" s="60">
        <f t="shared" si="634"/>
        <v>0</v>
      </c>
      <c r="AB5813" s="49">
        <f t="shared" si="635"/>
        <v>0</v>
      </c>
      <c r="AC5813" s="60">
        <f t="shared" si="636"/>
        <v>0</v>
      </c>
    </row>
    <row r="5814" spans="1:29">
      <c r="A5814" s="83" t="str">
        <f t="shared" si="631"/>
        <v/>
      </c>
      <c r="B5814" s="83" t="str">
        <f t="shared" si="637"/>
        <v/>
      </c>
      <c r="U5814" s="83" t="str">
        <f t="shared" si="632"/>
        <v/>
      </c>
      <c r="V5814" s="83" t="str">
        <f t="shared" si="633"/>
        <v/>
      </c>
      <c r="AA5814" s="60">
        <f t="shared" si="634"/>
        <v>0</v>
      </c>
      <c r="AB5814" s="49">
        <f t="shared" si="635"/>
        <v>0</v>
      </c>
      <c r="AC5814" s="60">
        <f t="shared" si="636"/>
        <v>0</v>
      </c>
    </row>
    <row r="5815" spans="1:29">
      <c r="A5815" s="83" t="str">
        <f t="shared" si="631"/>
        <v/>
      </c>
      <c r="B5815" s="83" t="str">
        <f t="shared" si="637"/>
        <v/>
      </c>
      <c r="U5815" s="83" t="str">
        <f t="shared" si="632"/>
        <v/>
      </c>
      <c r="V5815" s="83" t="str">
        <f t="shared" si="633"/>
        <v/>
      </c>
      <c r="AA5815" s="60">
        <f t="shared" si="634"/>
        <v>0</v>
      </c>
      <c r="AB5815" s="49">
        <f t="shared" si="635"/>
        <v>0</v>
      </c>
      <c r="AC5815" s="60">
        <f t="shared" si="636"/>
        <v>0</v>
      </c>
    </row>
    <row r="5816" spans="1:29">
      <c r="A5816" s="83" t="str">
        <f t="shared" si="631"/>
        <v/>
      </c>
      <c r="B5816" s="83" t="str">
        <f t="shared" si="637"/>
        <v/>
      </c>
      <c r="U5816" s="83" t="str">
        <f t="shared" si="632"/>
        <v/>
      </c>
      <c r="V5816" s="83" t="str">
        <f t="shared" si="633"/>
        <v/>
      </c>
      <c r="AA5816" s="60">
        <f t="shared" si="634"/>
        <v>0</v>
      </c>
      <c r="AB5816" s="49">
        <f t="shared" si="635"/>
        <v>0</v>
      </c>
      <c r="AC5816" s="60">
        <f t="shared" si="636"/>
        <v>0</v>
      </c>
    </row>
    <row r="5817" spans="1:29">
      <c r="A5817" s="83" t="str">
        <f t="shared" si="631"/>
        <v/>
      </c>
      <c r="B5817" s="83" t="str">
        <f t="shared" si="637"/>
        <v/>
      </c>
      <c r="U5817" s="83" t="str">
        <f t="shared" si="632"/>
        <v/>
      </c>
      <c r="V5817" s="83" t="str">
        <f t="shared" si="633"/>
        <v/>
      </c>
      <c r="AA5817" s="60">
        <f t="shared" si="634"/>
        <v>0</v>
      </c>
      <c r="AB5817" s="49">
        <f t="shared" si="635"/>
        <v>0</v>
      </c>
      <c r="AC5817" s="60">
        <f t="shared" si="636"/>
        <v>0</v>
      </c>
    </row>
    <row r="5818" spans="1:29">
      <c r="A5818" s="83" t="str">
        <f t="shared" si="631"/>
        <v/>
      </c>
      <c r="B5818" s="83" t="str">
        <f t="shared" si="637"/>
        <v/>
      </c>
      <c r="U5818" s="83" t="str">
        <f t="shared" si="632"/>
        <v/>
      </c>
      <c r="V5818" s="83" t="str">
        <f t="shared" si="633"/>
        <v/>
      </c>
      <c r="AA5818" s="60">
        <f t="shared" si="634"/>
        <v>0</v>
      </c>
      <c r="AB5818" s="49">
        <f t="shared" si="635"/>
        <v>0</v>
      </c>
      <c r="AC5818" s="60">
        <f t="shared" si="636"/>
        <v>0</v>
      </c>
    </row>
    <row r="5819" spans="1:29">
      <c r="A5819" s="83" t="str">
        <f t="shared" si="631"/>
        <v/>
      </c>
      <c r="B5819" s="83" t="str">
        <f t="shared" si="637"/>
        <v/>
      </c>
      <c r="U5819" s="83" t="str">
        <f t="shared" si="632"/>
        <v/>
      </c>
      <c r="V5819" s="83" t="str">
        <f t="shared" si="633"/>
        <v/>
      </c>
      <c r="AA5819" s="60">
        <f t="shared" si="634"/>
        <v>0</v>
      </c>
      <c r="AB5819" s="49">
        <f t="shared" si="635"/>
        <v>0</v>
      </c>
      <c r="AC5819" s="60">
        <f t="shared" si="636"/>
        <v>0</v>
      </c>
    </row>
    <row r="5820" spans="1:29">
      <c r="A5820" s="83" t="str">
        <f t="shared" si="631"/>
        <v/>
      </c>
      <c r="B5820" s="83" t="str">
        <f t="shared" si="637"/>
        <v/>
      </c>
      <c r="U5820" s="83" t="str">
        <f t="shared" si="632"/>
        <v/>
      </c>
      <c r="V5820" s="83" t="str">
        <f t="shared" si="633"/>
        <v/>
      </c>
      <c r="AA5820" s="60">
        <f t="shared" si="634"/>
        <v>0</v>
      </c>
      <c r="AB5820" s="49">
        <f t="shared" si="635"/>
        <v>0</v>
      </c>
      <c r="AC5820" s="60">
        <f t="shared" si="636"/>
        <v>0</v>
      </c>
    </row>
    <row r="5821" spans="1:29">
      <c r="A5821" s="83" t="str">
        <f t="shared" si="631"/>
        <v/>
      </c>
      <c r="B5821" s="83" t="str">
        <f t="shared" si="637"/>
        <v/>
      </c>
      <c r="U5821" s="83" t="str">
        <f t="shared" si="632"/>
        <v/>
      </c>
      <c r="V5821" s="83" t="str">
        <f t="shared" si="633"/>
        <v/>
      </c>
      <c r="AA5821" s="60">
        <f t="shared" si="634"/>
        <v>0</v>
      </c>
      <c r="AB5821" s="49">
        <f t="shared" si="635"/>
        <v>0</v>
      </c>
      <c r="AC5821" s="60">
        <f t="shared" si="636"/>
        <v>0</v>
      </c>
    </row>
    <row r="5822" spans="1:29">
      <c r="A5822" s="83" t="str">
        <f t="shared" si="631"/>
        <v/>
      </c>
      <c r="B5822" s="83" t="str">
        <f t="shared" si="637"/>
        <v/>
      </c>
      <c r="U5822" s="83" t="str">
        <f t="shared" si="632"/>
        <v/>
      </c>
      <c r="V5822" s="83" t="str">
        <f t="shared" si="633"/>
        <v/>
      </c>
      <c r="AA5822" s="60">
        <f t="shared" si="634"/>
        <v>0</v>
      </c>
      <c r="AB5822" s="49">
        <f t="shared" si="635"/>
        <v>0</v>
      </c>
      <c r="AC5822" s="60">
        <f t="shared" si="636"/>
        <v>0</v>
      </c>
    </row>
    <row r="5823" spans="1:29">
      <c r="A5823" s="83" t="str">
        <f t="shared" si="631"/>
        <v/>
      </c>
      <c r="B5823" s="83" t="str">
        <f t="shared" si="637"/>
        <v/>
      </c>
      <c r="U5823" s="83" t="str">
        <f t="shared" si="632"/>
        <v/>
      </c>
      <c r="V5823" s="83" t="str">
        <f t="shared" si="633"/>
        <v/>
      </c>
      <c r="AA5823" s="60">
        <f t="shared" si="634"/>
        <v>0</v>
      </c>
      <c r="AB5823" s="49">
        <f t="shared" si="635"/>
        <v>0</v>
      </c>
      <c r="AC5823" s="60">
        <f t="shared" si="636"/>
        <v>0</v>
      </c>
    </row>
    <row r="5824" spans="1:29">
      <c r="A5824" s="83" t="str">
        <f t="shared" si="631"/>
        <v/>
      </c>
      <c r="B5824" s="83" t="str">
        <f t="shared" si="637"/>
        <v/>
      </c>
      <c r="U5824" s="83" t="str">
        <f t="shared" si="632"/>
        <v/>
      </c>
      <c r="V5824" s="83" t="str">
        <f t="shared" si="633"/>
        <v/>
      </c>
      <c r="AA5824" s="60">
        <f t="shared" si="634"/>
        <v>0</v>
      </c>
      <c r="AB5824" s="49">
        <f t="shared" si="635"/>
        <v>0</v>
      </c>
      <c r="AC5824" s="60">
        <f t="shared" si="636"/>
        <v>0</v>
      </c>
    </row>
    <row r="5825" spans="1:29">
      <c r="A5825" s="83" t="str">
        <f t="shared" si="631"/>
        <v/>
      </c>
      <c r="B5825" s="83" t="str">
        <f t="shared" si="637"/>
        <v/>
      </c>
      <c r="U5825" s="83" t="str">
        <f t="shared" si="632"/>
        <v/>
      </c>
      <c r="V5825" s="83" t="str">
        <f t="shared" si="633"/>
        <v/>
      </c>
      <c r="AA5825" s="60">
        <f t="shared" si="634"/>
        <v>0</v>
      </c>
      <c r="AB5825" s="49">
        <f t="shared" si="635"/>
        <v>0</v>
      </c>
      <c r="AC5825" s="60">
        <f t="shared" si="636"/>
        <v>0</v>
      </c>
    </row>
    <row r="5826" spans="1:29">
      <c r="A5826" s="83" t="str">
        <f t="shared" si="631"/>
        <v/>
      </c>
      <c r="B5826" s="83" t="str">
        <f t="shared" si="637"/>
        <v/>
      </c>
      <c r="U5826" s="83" t="str">
        <f t="shared" si="632"/>
        <v/>
      </c>
      <c r="V5826" s="83" t="str">
        <f t="shared" si="633"/>
        <v/>
      </c>
      <c r="AA5826" s="60">
        <f t="shared" si="634"/>
        <v>0</v>
      </c>
      <c r="AB5826" s="49">
        <f t="shared" si="635"/>
        <v>0</v>
      </c>
      <c r="AC5826" s="60">
        <f t="shared" si="636"/>
        <v>0</v>
      </c>
    </row>
    <row r="5827" spans="1:29">
      <c r="A5827" s="83" t="str">
        <f t="shared" ref="A5827:A5890" si="638">IF(G5827&amp;Q5827&lt;&gt;"",U5827&amp;Q5827,"")</f>
        <v/>
      </c>
      <c r="B5827" s="83" t="str">
        <f t="shared" si="637"/>
        <v/>
      </c>
      <c r="U5827" s="83" t="str">
        <f t="shared" ref="U5827:U5890" si="639">IF(G5827&lt;&gt;"",IF(StyleSpaceSplit,IFERROR(IF(FIND(" ",G5827)&gt;=1,MID(G5827,1,FIND(" ",G5827)-1),G5827),G5827),G5827),"")</f>
        <v/>
      </c>
      <c r="V5827" s="83" t="str">
        <f t="shared" ref="V5827:V5890" si="640">IF(A5827&lt;&gt;"",IFERROR(IF(FIND(" ",G5827)&gt;=1,MID(G5827,FIND(" ",G5827)+1,LEN(G5827)),""),G5827),"")</f>
        <v/>
      </c>
      <c r="AA5827" s="60">
        <f t="shared" ref="AA5827:AA5890" si="641">IFERROR(VALUE(MID($C5827,1,2)),0)</f>
        <v>0</v>
      </c>
      <c r="AB5827" s="49">
        <f t="shared" ref="AB5827:AB5890" si="642">IFERROR(VALUE(MID($C5827,4,3)),0)</f>
        <v>0</v>
      </c>
      <c r="AC5827" s="60">
        <f t="shared" ref="AC5827:AC5890" si="643">VALUE(RIGHT("00"&amp;AA5827,2)&amp;RIGHT("000"&amp;AB5827,3))</f>
        <v>0</v>
      </c>
    </row>
    <row r="5828" spans="1:29">
      <c r="A5828" s="83" t="str">
        <f t="shared" si="638"/>
        <v/>
      </c>
      <c r="B5828" s="83" t="str">
        <f t="shared" si="637"/>
        <v/>
      </c>
      <c r="U5828" s="83" t="str">
        <f t="shared" si="639"/>
        <v/>
      </c>
      <c r="V5828" s="83" t="str">
        <f t="shared" si="640"/>
        <v/>
      </c>
      <c r="AA5828" s="60">
        <f t="shared" si="641"/>
        <v>0</v>
      </c>
      <c r="AB5828" s="49">
        <f t="shared" si="642"/>
        <v>0</v>
      </c>
      <c r="AC5828" s="60">
        <f t="shared" si="643"/>
        <v>0</v>
      </c>
    </row>
    <row r="5829" spans="1:29">
      <c r="A5829" s="83" t="str">
        <f t="shared" si="638"/>
        <v/>
      </c>
      <c r="B5829" s="83" t="str">
        <f t="shared" si="637"/>
        <v/>
      </c>
      <c r="U5829" s="83" t="str">
        <f t="shared" si="639"/>
        <v/>
      </c>
      <c r="V5829" s="83" t="str">
        <f t="shared" si="640"/>
        <v/>
      </c>
      <c r="AA5829" s="60">
        <f t="shared" si="641"/>
        <v>0</v>
      </c>
      <c r="AB5829" s="49">
        <f t="shared" si="642"/>
        <v>0</v>
      </c>
      <c r="AC5829" s="60">
        <f t="shared" si="643"/>
        <v>0</v>
      </c>
    </row>
    <row r="5830" spans="1:29">
      <c r="A5830" s="83" t="str">
        <f t="shared" si="638"/>
        <v/>
      </c>
      <c r="B5830" s="83" t="str">
        <f t="shared" si="637"/>
        <v/>
      </c>
      <c r="U5830" s="83" t="str">
        <f t="shared" si="639"/>
        <v/>
      </c>
      <c r="V5830" s="83" t="str">
        <f t="shared" si="640"/>
        <v/>
      </c>
      <c r="AA5830" s="60">
        <f t="shared" si="641"/>
        <v>0</v>
      </c>
      <c r="AB5830" s="49">
        <f t="shared" si="642"/>
        <v>0</v>
      </c>
      <c r="AC5830" s="60">
        <f t="shared" si="643"/>
        <v>0</v>
      </c>
    </row>
    <row r="5831" spans="1:29">
      <c r="A5831" s="83" t="str">
        <f t="shared" si="638"/>
        <v/>
      </c>
      <c r="B5831" s="83" t="str">
        <f t="shared" si="637"/>
        <v/>
      </c>
      <c r="U5831" s="83" t="str">
        <f t="shared" si="639"/>
        <v/>
      </c>
      <c r="V5831" s="83" t="str">
        <f t="shared" si="640"/>
        <v/>
      </c>
      <c r="AA5831" s="60">
        <f t="shared" si="641"/>
        <v>0</v>
      </c>
      <c r="AB5831" s="49">
        <f t="shared" si="642"/>
        <v>0</v>
      </c>
      <c r="AC5831" s="60">
        <f t="shared" si="643"/>
        <v>0</v>
      </c>
    </row>
    <row r="5832" spans="1:29">
      <c r="A5832" s="83" t="str">
        <f t="shared" si="638"/>
        <v/>
      </c>
      <c r="B5832" s="83" t="str">
        <f t="shared" si="637"/>
        <v/>
      </c>
      <c r="U5832" s="83" t="str">
        <f t="shared" si="639"/>
        <v/>
      </c>
      <c r="V5832" s="83" t="str">
        <f t="shared" si="640"/>
        <v/>
      </c>
      <c r="AA5832" s="60">
        <f t="shared" si="641"/>
        <v>0</v>
      </c>
      <c r="AB5832" s="49">
        <f t="shared" si="642"/>
        <v>0</v>
      </c>
      <c r="AC5832" s="60">
        <f t="shared" si="643"/>
        <v>0</v>
      </c>
    </row>
    <row r="5833" spans="1:29">
      <c r="A5833" s="83" t="str">
        <f t="shared" si="638"/>
        <v/>
      </c>
      <c r="B5833" s="83" t="str">
        <f t="shared" si="637"/>
        <v/>
      </c>
      <c r="U5833" s="83" t="str">
        <f t="shared" si="639"/>
        <v/>
      </c>
      <c r="V5833" s="83" t="str">
        <f t="shared" si="640"/>
        <v/>
      </c>
      <c r="AA5833" s="60">
        <f t="shared" si="641"/>
        <v>0</v>
      </c>
      <c r="AB5833" s="49">
        <f t="shared" si="642"/>
        <v>0</v>
      </c>
      <c r="AC5833" s="60">
        <f t="shared" si="643"/>
        <v>0</v>
      </c>
    </row>
    <row r="5834" spans="1:29">
      <c r="A5834" s="83" t="str">
        <f t="shared" si="638"/>
        <v/>
      </c>
      <c r="B5834" s="83" t="str">
        <f t="shared" si="637"/>
        <v/>
      </c>
      <c r="U5834" s="83" t="str">
        <f t="shared" si="639"/>
        <v/>
      </c>
      <c r="V5834" s="83" t="str">
        <f t="shared" si="640"/>
        <v/>
      </c>
      <c r="AA5834" s="60">
        <f t="shared" si="641"/>
        <v>0</v>
      </c>
      <c r="AB5834" s="49">
        <f t="shared" si="642"/>
        <v>0</v>
      </c>
      <c r="AC5834" s="60">
        <f t="shared" si="643"/>
        <v>0</v>
      </c>
    </row>
    <row r="5835" spans="1:29">
      <c r="A5835" s="83" t="str">
        <f t="shared" si="638"/>
        <v/>
      </c>
      <c r="B5835" s="83" t="str">
        <f t="shared" si="637"/>
        <v/>
      </c>
      <c r="U5835" s="83" t="str">
        <f t="shared" si="639"/>
        <v/>
      </c>
      <c r="V5835" s="83" t="str">
        <f t="shared" si="640"/>
        <v/>
      </c>
      <c r="AA5835" s="60">
        <f t="shared" si="641"/>
        <v>0</v>
      </c>
      <c r="AB5835" s="49">
        <f t="shared" si="642"/>
        <v>0</v>
      </c>
      <c r="AC5835" s="60">
        <f t="shared" si="643"/>
        <v>0</v>
      </c>
    </row>
    <row r="5836" spans="1:29">
      <c r="A5836" s="83" t="str">
        <f t="shared" si="638"/>
        <v/>
      </c>
      <c r="B5836" s="83" t="str">
        <f t="shared" si="637"/>
        <v/>
      </c>
      <c r="U5836" s="83" t="str">
        <f t="shared" si="639"/>
        <v/>
      </c>
      <c r="V5836" s="83" t="str">
        <f t="shared" si="640"/>
        <v/>
      </c>
      <c r="AA5836" s="60">
        <f t="shared" si="641"/>
        <v>0</v>
      </c>
      <c r="AB5836" s="49">
        <f t="shared" si="642"/>
        <v>0</v>
      </c>
      <c r="AC5836" s="60">
        <f t="shared" si="643"/>
        <v>0</v>
      </c>
    </row>
    <row r="5837" spans="1:29">
      <c r="A5837" s="83" t="str">
        <f t="shared" si="638"/>
        <v/>
      </c>
      <c r="B5837" s="83" t="str">
        <f t="shared" si="637"/>
        <v/>
      </c>
      <c r="U5837" s="83" t="str">
        <f t="shared" si="639"/>
        <v/>
      </c>
      <c r="V5837" s="83" t="str">
        <f t="shared" si="640"/>
        <v/>
      </c>
      <c r="AA5837" s="60">
        <f t="shared" si="641"/>
        <v>0</v>
      </c>
      <c r="AB5837" s="49">
        <f t="shared" si="642"/>
        <v>0</v>
      </c>
      <c r="AC5837" s="60">
        <f t="shared" si="643"/>
        <v>0</v>
      </c>
    </row>
    <row r="5838" spans="1:29">
      <c r="A5838" s="83" t="str">
        <f t="shared" si="638"/>
        <v/>
      </c>
      <c r="B5838" s="83" t="str">
        <f t="shared" si="637"/>
        <v/>
      </c>
      <c r="U5838" s="83" t="str">
        <f t="shared" si="639"/>
        <v/>
      </c>
      <c r="V5838" s="83" t="str">
        <f t="shared" si="640"/>
        <v/>
      </c>
      <c r="AA5838" s="60">
        <f t="shared" si="641"/>
        <v>0</v>
      </c>
      <c r="AB5838" s="49">
        <f t="shared" si="642"/>
        <v>0</v>
      </c>
      <c r="AC5838" s="60">
        <f t="shared" si="643"/>
        <v>0</v>
      </c>
    </row>
    <row r="5839" spans="1:29">
      <c r="A5839" s="83" t="str">
        <f t="shared" si="638"/>
        <v/>
      </c>
      <c r="B5839" s="83" t="str">
        <f t="shared" si="637"/>
        <v/>
      </c>
      <c r="U5839" s="83" t="str">
        <f t="shared" si="639"/>
        <v/>
      </c>
      <c r="V5839" s="83" t="str">
        <f t="shared" si="640"/>
        <v/>
      </c>
      <c r="AA5839" s="60">
        <f t="shared" si="641"/>
        <v>0</v>
      </c>
      <c r="AB5839" s="49">
        <f t="shared" si="642"/>
        <v>0</v>
      </c>
      <c r="AC5839" s="60">
        <f t="shared" si="643"/>
        <v>0</v>
      </c>
    </row>
    <row r="5840" spans="1:29">
      <c r="A5840" s="83" t="str">
        <f t="shared" si="638"/>
        <v/>
      </c>
      <c r="B5840" s="83" t="str">
        <f t="shared" si="637"/>
        <v/>
      </c>
      <c r="U5840" s="83" t="str">
        <f t="shared" si="639"/>
        <v/>
      </c>
      <c r="V5840" s="83" t="str">
        <f t="shared" si="640"/>
        <v/>
      </c>
      <c r="AA5840" s="60">
        <f t="shared" si="641"/>
        <v>0</v>
      </c>
      <c r="AB5840" s="49">
        <f t="shared" si="642"/>
        <v>0</v>
      </c>
      <c r="AC5840" s="60">
        <f t="shared" si="643"/>
        <v>0</v>
      </c>
    </row>
    <row r="5841" spans="1:29">
      <c r="A5841" s="83" t="str">
        <f t="shared" si="638"/>
        <v/>
      </c>
      <c r="B5841" s="83" t="str">
        <f t="shared" si="637"/>
        <v/>
      </c>
      <c r="U5841" s="83" t="str">
        <f t="shared" si="639"/>
        <v/>
      </c>
      <c r="V5841" s="83" t="str">
        <f t="shared" si="640"/>
        <v/>
      </c>
      <c r="AA5841" s="60">
        <f t="shared" si="641"/>
        <v>0</v>
      </c>
      <c r="AB5841" s="49">
        <f t="shared" si="642"/>
        <v>0</v>
      </c>
      <c r="AC5841" s="60">
        <f t="shared" si="643"/>
        <v>0</v>
      </c>
    </row>
    <row r="5842" spans="1:29">
      <c r="A5842" s="83" t="str">
        <f t="shared" si="638"/>
        <v/>
      </c>
      <c r="B5842" s="83" t="str">
        <f t="shared" si="637"/>
        <v/>
      </c>
      <c r="U5842" s="83" t="str">
        <f t="shared" si="639"/>
        <v/>
      </c>
      <c r="V5842" s="83" t="str">
        <f t="shared" si="640"/>
        <v/>
      </c>
      <c r="AA5842" s="60">
        <f t="shared" si="641"/>
        <v>0</v>
      </c>
      <c r="AB5842" s="49">
        <f t="shared" si="642"/>
        <v>0</v>
      </c>
      <c r="AC5842" s="60">
        <f t="shared" si="643"/>
        <v>0</v>
      </c>
    </row>
    <row r="5843" spans="1:29">
      <c r="A5843" s="83" t="str">
        <f t="shared" si="638"/>
        <v/>
      </c>
      <c r="B5843" s="83" t="str">
        <f t="shared" si="637"/>
        <v/>
      </c>
      <c r="U5843" s="83" t="str">
        <f t="shared" si="639"/>
        <v/>
      </c>
      <c r="V5843" s="83" t="str">
        <f t="shared" si="640"/>
        <v/>
      </c>
      <c r="AA5843" s="60">
        <f t="shared" si="641"/>
        <v>0</v>
      </c>
      <c r="AB5843" s="49">
        <f t="shared" si="642"/>
        <v>0</v>
      </c>
      <c r="AC5843" s="60">
        <f t="shared" si="643"/>
        <v>0</v>
      </c>
    </row>
    <row r="5844" spans="1:29">
      <c r="A5844" s="83" t="str">
        <f t="shared" si="638"/>
        <v/>
      </c>
      <c r="B5844" s="83" t="str">
        <f t="shared" si="637"/>
        <v/>
      </c>
      <c r="U5844" s="83" t="str">
        <f t="shared" si="639"/>
        <v/>
      </c>
      <c r="V5844" s="83" t="str">
        <f t="shared" si="640"/>
        <v/>
      </c>
      <c r="AA5844" s="60">
        <f t="shared" si="641"/>
        <v>0</v>
      </c>
      <c r="AB5844" s="49">
        <f t="shared" si="642"/>
        <v>0</v>
      </c>
      <c r="AC5844" s="60">
        <f t="shared" si="643"/>
        <v>0</v>
      </c>
    </row>
    <row r="5845" spans="1:29">
      <c r="A5845" s="83" t="str">
        <f t="shared" si="638"/>
        <v/>
      </c>
      <c r="B5845" s="83" t="str">
        <f t="shared" si="637"/>
        <v/>
      </c>
      <c r="U5845" s="83" t="str">
        <f t="shared" si="639"/>
        <v/>
      </c>
      <c r="V5845" s="83" t="str">
        <f t="shared" si="640"/>
        <v/>
      </c>
      <c r="AA5845" s="60">
        <f t="shared" si="641"/>
        <v>0</v>
      </c>
      <c r="AB5845" s="49">
        <f t="shared" si="642"/>
        <v>0</v>
      </c>
      <c r="AC5845" s="60">
        <f t="shared" si="643"/>
        <v>0</v>
      </c>
    </row>
    <row r="5846" spans="1:29">
      <c r="A5846" s="83" t="str">
        <f t="shared" si="638"/>
        <v/>
      </c>
      <c r="B5846" s="83" t="str">
        <f t="shared" si="637"/>
        <v/>
      </c>
      <c r="U5846" s="83" t="str">
        <f t="shared" si="639"/>
        <v/>
      </c>
      <c r="V5846" s="83" t="str">
        <f t="shared" si="640"/>
        <v/>
      </c>
      <c r="AA5846" s="60">
        <f t="shared" si="641"/>
        <v>0</v>
      </c>
      <c r="AB5846" s="49">
        <f t="shared" si="642"/>
        <v>0</v>
      </c>
      <c r="AC5846" s="60">
        <f t="shared" si="643"/>
        <v>0</v>
      </c>
    </row>
    <row r="5847" spans="1:29">
      <c r="A5847" s="83" t="str">
        <f t="shared" si="638"/>
        <v/>
      </c>
      <c r="B5847" s="83" t="str">
        <f t="shared" si="637"/>
        <v/>
      </c>
      <c r="U5847" s="83" t="str">
        <f t="shared" si="639"/>
        <v/>
      </c>
      <c r="V5847" s="83" t="str">
        <f t="shared" si="640"/>
        <v/>
      </c>
      <c r="AA5847" s="60">
        <f t="shared" si="641"/>
        <v>0</v>
      </c>
      <c r="AB5847" s="49">
        <f t="shared" si="642"/>
        <v>0</v>
      </c>
      <c r="AC5847" s="60">
        <f t="shared" si="643"/>
        <v>0</v>
      </c>
    </row>
    <row r="5848" spans="1:29">
      <c r="A5848" s="83" t="str">
        <f t="shared" si="638"/>
        <v/>
      </c>
      <c r="B5848" s="83" t="str">
        <f t="shared" si="637"/>
        <v/>
      </c>
      <c r="U5848" s="83" t="str">
        <f t="shared" si="639"/>
        <v/>
      </c>
      <c r="V5848" s="83" t="str">
        <f t="shared" si="640"/>
        <v/>
      </c>
      <c r="AA5848" s="60">
        <f t="shared" si="641"/>
        <v>0</v>
      </c>
      <c r="AB5848" s="49">
        <f t="shared" si="642"/>
        <v>0</v>
      </c>
      <c r="AC5848" s="60">
        <f t="shared" si="643"/>
        <v>0</v>
      </c>
    </row>
    <row r="5849" spans="1:29">
      <c r="A5849" s="83" t="str">
        <f t="shared" si="638"/>
        <v/>
      </c>
      <c r="B5849" s="83" t="str">
        <f t="shared" si="637"/>
        <v/>
      </c>
      <c r="U5849" s="83" t="str">
        <f t="shared" si="639"/>
        <v/>
      </c>
      <c r="V5849" s="83" t="str">
        <f t="shared" si="640"/>
        <v/>
      </c>
      <c r="AA5849" s="60">
        <f t="shared" si="641"/>
        <v>0</v>
      </c>
      <c r="AB5849" s="49">
        <f t="shared" si="642"/>
        <v>0</v>
      </c>
      <c r="AC5849" s="60">
        <f t="shared" si="643"/>
        <v>0</v>
      </c>
    </row>
    <row r="5850" spans="1:29">
      <c r="A5850" s="83" t="str">
        <f t="shared" si="638"/>
        <v/>
      </c>
      <c r="B5850" s="83" t="str">
        <f t="shared" si="637"/>
        <v/>
      </c>
      <c r="U5850" s="83" t="str">
        <f t="shared" si="639"/>
        <v/>
      </c>
      <c r="V5850" s="83" t="str">
        <f t="shared" si="640"/>
        <v/>
      </c>
      <c r="AA5850" s="60">
        <f t="shared" si="641"/>
        <v>0</v>
      </c>
      <c r="AB5850" s="49">
        <f t="shared" si="642"/>
        <v>0</v>
      </c>
      <c r="AC5850" s="60">
        <f t="shared" si="643"/>
        <v>0</v>
      </c>
    </row>
    <row r="5851" spans="1:29">
      <c r="A5851" s="83" t="str">
        <f t="shared" si="638"/>
        <v/>
      </c>
      <c r="B5851" s="83" t="str">
        <f t="shared" si="637"/>
        <v/>
      </c>
      <c r="U5851" s="83" t="str">
        <f t="shared" si="639"/>
        <v/>
      </c>
      <c r="V5851" s="83" t="str">
        <f t="shared" si="640"/>
        <v/>
      </c>
      <c r="AA5851" s="60">
        <f t="shared" si="641"/>
        <v>0</v>
      </c>
      <c r="AB5851" s="49">
        <f t="shared" si="642"/>
        <v>0</v>
      </c>
      <c r="AC5851" s="60">
        <f t="shared" si="643"/>
        <v>0</v>
      </c>
    </row>
    <row r="5852" spans="1:29">
      <c r="A5852" s="83" t="str">
        <f t="shared" si="638"/>
        <v/>
      </c>
      <c r="B5852" s="83" t="str">
        <f t="shared" si="637"/>
        <v/>
      </c>
      <c r="U5852" s="83" t="str">
        <f t="shared" si="639"/>
        <v/>
      </c>
      <c r="V5852" s="83" t="str">
        <f t="shared" si="640"/>
        <v/>
      </c>
      <c r="AA5852" s="60">
        <f t="shared" si="641"/>
        <v>0</v>
      </c>
      <c r="AB5852" s="49">
        <f t="shared" si="642"/>
        <v>0</v>
      </c>
      <c r="AC5852" s="60">
        <f t="shared" si="643"/>
        <v>0</v>
      </c>
    </row>
    <row r="5853" spans="1:29">
      <c r="A5853" s="83" t="str">
        <f t="shared" si="638"/>
        <v/>
      </c>
      <c r="B5853" s="83" t="str">
        <f t="shared" si="637"/>
        <v/>
      </c>
      <c r="U5853" s="83" t="str">
        <f t="shared" si="639"/>
        <v/>
      </c>
      <c r="V5853" s="83" t="str">
        <f t="shared" si="640"/>
        <v/>
      </c>
      <c r="AA5853" s="60">
        <f t="shared" si="641"/>
        <v>0</v>
      </c>
      <c r="AB5853" s="49">
        <f t="shared" si="642"/>
        <v>0</v>
      </c>
      <c r="AC5853" s="60">
        <f t="shared" si="643"/>
        <v>0</v>
      </c>
    </row>
    <row r="5854" spans="1:29">
      <c r="A5854" s="83" t="str">
        <f t="shared" si="638"/>
        <v/>
      </c>
      <c r="B5854" s="83" t="str">
        <f t="shared" si="637"/>
        <v/>
      </c>
      <c r="U5854" s="83" t="str">
        <f t="shared" si="639"/>
        <v/>
      </c>
      <c r="V5854" s="83" t="str">
        <f t="shared" si="640"/>
        <v/>
      </c>
      <c r="AA5854" s="60">
        <f t="shared" si="641"/>
        <v>0</v>
      </c>
      <c r="AB5854" s="49">
        <f t="shared" si="642"/>
        <v>0</v>
      </c>
      <c r="AC5854" s="60">
        <f t="shared" si="643"/>
        <v>0</v>
      </c>
    </row>
    <row r="5855" spans="1:29">
      <c r="A5855" s="83" t="str">
        <f t="shared" si="638"/>
        <v/>
      </c>
      <c r="B5855" s="83" t="str">
        <f t="shared" si="637"/>
        <v/>
      </c>
      <c r="U5855" s="83" t="str">
        <f t="shared" si="639"/>
        <v/>
      </c>
      <c r="V5855" s="83" t="str">
        <f t="shared" si="640"/>
        <v/>
      </c>
      <c r="AA5855" s="60">
        <f t="shared" si="641"/>
        <v>0</v>
      </c>
      <c r="AB5855" s="49">
        <f t="shared" si="642"/>
        <v>0</v>
      </c>
      <c r="AC5855" s="60">
        <f t="shared" si="643"/>
        <v>0</v>
      </c>
    </row>
    <row r="5856" spans="1:29">
      <c r="A5856" s="83" t="str">
        <f t="shared" si="638"/>
        <v/>
      </c>
      <c r="B5856" s="83" t="str">
        <f t="shared" si="637"/>
        <v/>
      </c>
      <c r="U5856" s="83" t="str">
        <f t="shared" si="639"/>
        <v/>
      </c>
      <c r="V5856" s="83" t="str">
        <f t="shared" si="640"/>
        <v/>
      </c>
      <c r="AA5856" s="60">
        <f t="shared" si="641"/>
        <v>0</v>
      </c>
      <c r="AB5856" s="49">
        <f t="shared" si="642"/>
        <v>0</v>
      </c>
      <c r="AC5856" s="60">
        <f t="shared" si="643"/>
        <v>0</v>
      </c>
    </row>
    <row r="5857" spans="1:29">
      <c r="A5857" s="83" t="str">
        <f t="shared" si="638"/>
        <v/>
      </c>
      <c r="B5857" s="83" t="str">
        <f t="shared" ref="B5857:B5920" si="644">IF(C5857&lt;&gt;"",LEFT(C5857,9),"")</f>
        <v/>
      </c>
      <c r="U5857" s="83" t="str">
        <f t="shared" si="639"/>
        <v/>
      </c>
      <c r="V5857" s="83" t="str">
        <f t="shared" si="640"/>
        <v/>
      </c>
      <c r="AA5857" s="60">
        <f t="shared" si="641"/>
        <v>0</v>
      </c>
      <c r="AB5857" s="49">
        <f t="shared" si="642"/>
        <v>0</v>
      </c>
      <c r="AC5857" s="60">
        <f t="shared" si="643"/>
        <v>0</v>
      </c>
    </row>
    <row r="5858" spans="1:29">
      <c r="A5858" s="83" t="str">
        <f t="shared" si="638"/>
        <v/>
      </c>
      <c r="B5858" s="83" t="str">
        <f t="shared" si="644"/>
        <v/>
      </c>
      <c r="U5858" s="83" t="str">
        <f t="shared" si="639"/>
        <v/>
      </c>
      <c r="V5858" s="83" t="str">
        <f t="shared" si="640"/>
        <v/>
      </c>
      <c r="AA5858" s="60">
        <f t="shared" si="641"/>
        <v>0</v>
      </c>
      <c r="AB5858" s="49">
        <f t="shared" si="642"/>
        <v>0</v>
      </c>
      <c r="AC5858" s="60">
        <f t="shared" si="643"/>
        <v>0</v>
      </c>
    </row>
    <row r="5859" spans="1:29">
      <c r="A5859" s="83" t="str">
        <f t="shared" si="638"/>
        <v/>
      </c>
      <c r="B5859" s="83" t="str">
        <f t="shared" si="644"/>
        <v/>
      </c>
      <c r="U5859" s="83" t="str">
        <f t="shared" si="639"/>
        <v/>
      </c>
      <c r="V5859" s="83" t="str">
        <f t="shared" si="640"/>
        <v/>
      </c>
      <c r="AA5859" s="60">
        <f t="shared" si="641"/>
        <v>0</v>
      </c>
      <c r="AB5859" s="49">
        <f t="shared" si="642"/>
        <v>0</v>
      </c>
      <c r="AC5859" s="60">
        <f t="shared" si="643"/>
        <v>0</v>
      </c>
    </row>
    <row r="5860" spans="1:29">
      <c r="A5860" s="83" t="str">
        <f t="shared" si="638"/>
        <v/>
      </c>
      <c r="B5860" s="83" t="str">
        <f t="shared" si="644"/>
        <v/>
      </c>
      <c r="U5860" s="83" t="str">
        <f t="shared" si="639"/>
        <v/>
      </c>
      <c r="V5860" s="83" t="str">
        <f t="shared" si="640"/>
        <v/>
      </c>
      <c r="AA5860" s="60">
        <f t="shared" si="641"/>
        <v>0</v>
      </c>
      <c r="AB5860" s="49">
        <f t="shared" si="642"/>
        <v>0</v>
      </c>
      <c r="AC5860" s="60">
        <f t="shared" si="643"/>
        <v>0</v>
      </c>
    </row>
    <row r="5861" spans="1:29">
      <c r="A5861" s="83" t="str">
        <f t="shared" si="638"/>
        <v/>
      </c>
      <c r="B5861" s="83" t="str">
        <f t="shared" si="644"/>
        <v/>
      </c>
      <c r="U5861" s="83" t="str">
        <f t="shared" si="639"/>
        <v/>
      </c>
      <c r="V5861" s="83" t="str">
        <f t="shared" si="640"/>
        <v/>
      </c>
      <c r="AA5861" s="60">
        <f t="shared" si="641"/>
        <v>0</v>
      </c>
      <c r="AB5861" s="49">
        <f t="shared" si="642"/>
        <v>0</v>
      </c>
      <c r="AC5861" s="60">
        <f t="shared" si="643"/>
        <v>0</v>
      </c>
    </row>
    <row r="5862" spans="1:29">
      <c r="A5862" s="83" t="str">
        <f t="shared" si="638"/>
        <v/>
      </c>
      <c r="B5862" s="83" t="str">
        <f t="shared" si="644"/>
        <v/>
      </c>
      <c r="U5862" s="83" t="str">
        <f t="shared" si="639"/>
        <v/>
      </c>
      <c r="V5862" s="83" t="str">
        <f t="shared" si="640"/>
        <v/>
      </c>
      <c r="AA5862" s="60">
        <f t="shared" si="641"/>
        <v>0</v>
      </c>
      <c r="AB5862" s="49">
        <f t="shared" si="642"/>
        <v>0</v>
      </c>
      <c r="AC5862" s="60">
        <f t="shared" si="643"/>
        <v>0</v>
      </c>
    </row>
    <row r="5863" spans="1:29">
      <c r="A5863" s="83" t="str">
        <f t="shared" si="638"/>
        <v/>
      </c>
      <c r="B5863" s="83" t="str">
        <f t="shared" si="644"/>
        <v/>
      </c>
      <c r="U5863" s="83" t="str">
        <f t="shared" si="639"/>
        <v/>
      </c>
      <c r="V5863" s="83" t="str">
        <f t="shared" si="640"/>
        <v/>
      </c>
      <c r="AA5863" s="60">
        <f t="shared" si="641"/>
        <v>0</v>
      </c>
      <c r="AB5863" s="49">
        <f t="shared" si="642"/>
        <v>0</v>
      </c>
      <c r="AC5863" s="60">
        <f t="shared" si="643"/>
        <v>0</v>
      </c>
    </row>
    <row r="5864" spans="1:29">
      <c r="A5864" s="83" t="str">
        <f t="shared" si="638"/>
        <v/>
      </c>
      <c r="B5864" s="83" t="str">
        <f t="shared" si="644"/>
        <v/>
      </c>
      <c r="U5864" s="83" t="str">
        <f t="shared" si="639"/>
        <v/>
      </c>
      <c r="V5864" s="83" t="str">
        <f t="shared" si="640"/>
        <v/>
      </c>
      <c r="AA5864" s="60">
        <f t="shared" si="641"/>
        <v>0</v>
      </c>
      <c r="AB5864" s="49">
        <f t="shared" si="642"/>
        <v>0</v>
      </c>
      <c r="AC5864" s="60">
        <f t="shared" si="643"/>
        <v>0</v>
      </c>
    </row>
    <row r="5865" spans="1:29">
      <c r="A5865" s="83" t="str">
        <f t="shared" si="638"/>
        <v/>
      </c>
      <c r="B5865" s="83" t="str">
        <f t="shared" si="644"/>
        <v/>
      </c>
      <c r="U5865" s="83" t="str">
        <f t="shared" si="639"/>
        <v/>
      </c>
      <c r="V5865" s="83" t="str">
        <f t="shared" si="640"/>
        <v/>
      </c>
      <c r="AA5865" s="60">
        <f t="shared" si="641"/>
        <v>0</v>
      </c>
      <c r="AB5865" s="49">
        <f t="shared" si="642"/>
        <v>0</v>
      </c>
      <c r="AC5865" s="60">
        <f t="shared" si="643"/>
        <v>0</v>
      </c>
    </row>
    <row r="5866" spans="1:29">
      <c r="A5866" s="83" t="str">
        <f t="shared" si="638"/>
        <v/>
      </c>
      <c r="B5866" s="83" t="str">
        <f t="shared" si="644"/>
        <v/>
      </c>
      <c r="U5866" s="83" t="str">
        <f t="shared" si="639"/>
        <v/>
      </c>
      <c r="V5866" s="83" t="str">
        <f t="shared" si="640"/>
        <v/>
      </c>
      <c r="AA5866" s="60">
        <f t="shared" si="641"/>
        <v>0</v>
      </c>
      <c r="AB5866" s="49">
        <f t="shared" si="642"/>
        <v>0</v>
      </c>
      <c r="AC5866" s="60">
        <f t="shared" si="643"/>
        <v>0</v>
      </c>
    </row>
    <row r="5867" spans="1:29">
      <c r="A5867" s="83" t="str">
        <f t="shared" si="638"/>
        <v/>
      </c>
      <c r="B5867" s="83" t="str">
        <f t="shared" si="644"/>
        <v/>
      </c>
      <c r="U5867" s="83" t="str">
        <f t="shared" si="639"/>
        <v/>
      </c>
      <c r="V5867" s="83" t="str">
        <f t="shared" si="640"/>
        <v/>
      </c>
      <c r="AA5867" s="60">
        <f t="shared" si="641"/>
        <v>0</v>
      </c>
      <c r="AB5867" s="49">
        <f t="shared" si="642"/>
        <v>0</v>
      </c>
      <c r="AC5867" s="60">
        <f t="shared" si="643"/>
        <v>0</v>
      </c>
    </row>
    <row r="5868" spans="1:29">
      <c r="A5868" s="83" t="str">
        <f t="shared" si="638"/>
        <v/>
      </c>
      <c r="B5868" s="83" t="str">
        <f t="shared" si="644"/>
        <v/>
      </c>
      <c r="U5868" s="83" t="str">
        <f t="shared" si="639"/>
        <v/>
      </c>
      <c r="V5868" s="83" t="str">
        <f t="shared" si="640"/>
        <v/>
      </c>
      <c r="AA5868" s="60">
        <f t="shared" si="641"/>
        <v>0</v>
      </c>
      <c r="AB5868" s="49">
        <f t="shared" si="642"/>
        <v>0</v>
      </c>
      <c r="AC5868" s="60">
        <f t="shared" si="643"/>
        <v>0</v>
      </c>
    </row>
    <row r="5869" spans="1:29">
      <c r="A5869" s="83" t="str">
        <f t="shared" si="638"/>
        <v/>
      </c>
      <c r="B5869" s="83" t="str">
        <f t="shared" si="644"/>
        <v/>
      </c>
      <c r="U5869" s="83" t="str">
        <f t="shared" si="639"/>
        <v/>
      </c>
      <c r="V5869" s="83" t="str">
        <f t="shared" si="640"/>
        <v/>
      </c>
      <c r="AA5869" s="60">
        <f t="shared" si="641"/>
        <v>0</v>
      </c>
      <c r="AB5869" s="49">
        <f t="shared" si="642"/>
        <v>0</v>
      </c>
      <c r="AC5869" s="60">
        <f t="shared" si="643"/>
        <v>0</v>
      </c>
    </row>
    <row r="5870" spans="1:29">
      <c r="A5870" s="83" t="str">
        <f t="shared" si="638"/>
        <v/>
      </c>
      <c r="B5870" s="83" t="str">
        <f t="shared" si="644"/>
        <v/>
      </c>
      <c r="U5870" s="83" t="str">
        <f t="shared" si="639"/>
        <v/>
      </c>
      <c r="V5870" s="83" t="str">
        <f t="shared" si="640"/>
        <v/>
      </c>
      <c r="AA5870" s="60">
        <f t="shared" si="641"/>
        <v>0</v>
      </c>
      <c r="AB5870" s="49">
        <f t="shared" si="642"/>
        <v>0</v>
      </c>
      <c r="AC5870" s="60">
        <f t="shared" si="643"/>
        <v>0</v>
      </c>
    </row>
    <row r="5871" spans="1:29">
      <c r="A5871" s="83" t="str">
        <f t="shared" si="638"/>
        <v/>
      </c>
      <c r="B5871" s="83" t="str">
        <f t="shared" si="644"/>
        <v/>
      </c>
      <c r="U5871" s="83" t="str">
        <f t="shared" si="639"/>
        <v/>
      </c>
      <c r="V5871" s="83" t="str">
        <f t="shared" si="640"/>
        <v/>
      </c>
      <c r="AA5871" s="60">
        <f t="shared" si="641"/>
        <v>0</v>
      </c>
      <c r="AB5871" s="49">
        <f t="shared" si="642"/>
        <v>0</v>
      </c>
      <c r="AC5871" s="60">
        <f t="shared" si="643"/>
        <v>0</v>
      </c>
    </row>
    <row r="5872" spans="1:29">
      <c r="A5872" s="83" t="str">
        <f t="shared" si="638"/>
        <v/>
      </c>
      <c r="B5872" s="83" t="str">
        <f t="shared" si="644"/>
        <v/>
      </c>
      <c r="U5872" s="83" t="str">
        <f t="shared" si="639"/>
        <v/>
      </c>
      <c r="V5872" s="83" t="str">
        <f t="shared" si="640"/>
        <v/>
      </c>
      <c r="AA5872" s="60">
        <f t="shared" si="641"/>
        <v>0</v>
      </c>
      <c r="AB5872" s="49">
        <f t="shared" si="642"/>
        <v>0</v>
      </c>
      <c r="AC5872" s="60">
        <f t="shared" si="643"/>
        <v>0</v>
      </c>
    </row>
    <row r="5873" spans="1:29">
      <c r="A5873" s="83" t="str">
        <f t="shared" si="638"/>
        <v/>
      </c>
      <c r="B5873" s="83" t="str">
        <f t="shared" si="644"/>
        <v/>
      </c>
      <c r="U5873" s="83" t="str">
        <f t="shared" si="639"/>
        <v/>
      </c>
      <c r="V5873" s="83" t="str">
        <f t="shared" si="640"/>
        <v/>
      </c>
      <c r="AA5873" s="60">
        <f t="shared" si="641"/>
        <v>0</v>
      </c>
      <c r="AB5873" s="49">
        <f t="shared" si="642"/>
        <v>0</v>
      </c>
      <c r="AC5873" s="60">
        <f t="shared" si="643"/>
        <v>0</v>
      </c>
    </row>
    <row r="5874" spans="1:29">
      <c r="A5874" s="83" t="str">
        <f t="shared" si="638"/>
        <v/>
      </c>
      <c r="B5874" s="83" t="str">
        <f t="shared" si="644"/>
        <v/>
      </c>
      <c r="U5874" s="83" t="str">
        <f t="shared" si="639"/>
        <v/>
      </c>
      <c r="V5874" s="83" t="str">
        <f t="shared" si="640"/>
        <v/>
      </c>
      <c r="AA5874" s="60">
        <f t="shared" si="641"/>
        <v>0</v>
      </c>
      <c r="AB5874" s="49">
        <f t="shared" si="642"/>
        <v>0</v>
      </c>
      <c r="AC5874" s="60">
        <f t="shared" si="643"/>
        <v>0</v>
      </c>
    </row>
    <row r="5875" spans="1:29">
      <c r="A5875" s="83" t="str">
        <f t="shared" si="638"/>
        <v/>
      </c>
      <c r="B5875" s="83" t="str">
        <f t="shared" si="644"/>
        <v/>
      </c>
      <c r="U5875" s="83" t="str">
        <f t="shared" si="639"/>
        <v/>
      </c>
      <c r="V5875" s="83" t="str">
        <f t="shared" si="640"/>
        <v/>
      </c>
      <c r="AA5875" s="60">
        <f t="shared" si="641"/>
        <v>0</v>
      </c>
      <c r="AB5875" s="49">
        <f t="shared" si="642"/>
        <v>0</v>
      </c>
      <c r="AC5875" s="60">
        <f t="shared" si="643"/>
        <v>0</v>
      </c>
    </row>
    <row r="5876" spans="1:29">
      <c r="A5876" s="83" t="str">
        <f t="shared" si="638"/>
        <v/>
      </c>
      <c r="B5876" s="83" t="str">
        <f t="shared" si="644"/>
        <v/>
      </c>
      <c r="U5876" s="83" t="str">
        <f t="shared" si="639"/>
        <v/>
      </c>
      <c r="V5876" s="83" t="str">
        <f t="shared" si="640"/>
        <v/>
      </c>
      <c r="AA5876" s="60">
        <f t="shared" si="641"/>
        <v>0</v>
      </c>
      <c r="AB5876" s="49">
        <f t="shared" si="642"/>
        <v>0</v>
      </c>
      <c r="AC5876" s="60">
        <f t="shared" si="643"/>
        <v>0</v>
      </c>
    </row>
    <row r="5877" spans="1:29">
      <c r="A5877" s="83" t="str">
        <f t="shared" si="638"/>
        <v/>
      </c>
      <c r="B5877" s="83" t="str">
        <f t="shared" si="644"/>
        <v/>
      </c>
      <c r="U5877" s="83" t="str">
        <f t="shared" si="639"/>
        <v/>
      </c>
      <c r="V5877" s="83" t="str">
        <f t="shared" si="640"/>
        <v/>
      </c>
      <c r="AA5877" s="60">
        <f t="shared" si="641"/>
        <v>0</v>
      </c>
      <c r="AB5877" s="49">
        <f t="shared" si="642"/>
        <v>0</v>
      </c>
      <c r="AC5877" s="60">
        <f t="shared" si="643"/>
        <v>0</v>
      </c>
    </row>
    <row r="5878" spans="1:29">
      <c r="A5878" s="83" t="str">
        <f t="shared" si="638"/>
        <v/>
      </c>
      <c r="B5878" s="83" t="str">
        <f t="shared" si="644"/>
        <v/>
      </c>
      <c r="U5878" s="83" t="str">
        <f t="shared" si="639"/>
        <v/>
      </c>
      <c r="V5878" s="83" t="str">
        <f t="shared" si="640"/>
        <v/>
      </c>
      <c r="AA5878" s="60">
        <f t="shared" si="641"/>
        <v>0</v>
      </c>
      <c r="AB5878" s="49">
        <f t="shared" si="642"/>
        <v>0</v>
      </c>
      <c r="AC5878" s="60">
        <f t="shared" si="643"/>
        <v>0</v>
      </c>
    </row>
    <row r="5879" spans="1:29">
      <c r="A5879" s="83" t="str">
        <f t="shared" si="638"/>
        <v/>
      </c>
      <c r="B5879" s="83" t="str">
        <f t="shared" si="644"/>
        <v/>
      </c>
      <c r="U5879" s="83" t="str">
        <f t="shared" si="639"/>
        <v/>
      </c>
      <c r="V5879" s="83" t="str">
        <f t="shared" si="640"/>
        <v/>
      </c>
      <c r="AA5879" s="60">
        <f t="shared" si="641"/>
        <v>0</v>
      </c>
      <c r="AB5879" s="49">
        <f t="shared" si="642"/>
        <v>0</v>
      </c>
      <c r="AC5879" s="60">
        <f t="shared" si="643"/>
        <v>0</v>
      </c>
    </row>
    <row r="5880" spans="1:29">
      <c r="A5880" s="83" t="str">
        <f t="shared" si="638"/>
        <v/>
      </c>
      <c r="B5880" s="83" t="str">
        <f t="shared" si="644"/>
        <v/>
      </c>
      <c r="U5880" s="83" t="str">
        <f t="shared" si="639"/>
        <v/>
      </c>
      <c r="V5880" s="83" t="str">
        <f t="shared" si="640"/>
        <v/>
      </c>
      <c r="AA5880" s="60">
        <f t="shared" si="641"/>
        <v>0</v>
      </c>
      <c r="AB5880" s="49">
        <f t="shared" si="642"/>
        <v>0</v>
      </c>
      <c r="AC5880" s="60">
        <f t="shared" si="643"/>
        <v>0</v>
      </c>
    </row>
    <row r="5881" spans="1:29">
      <c r="A5881" s="83" t="str">
        <f t="shared" si="638"/>
        <v/>
      </c>
      <c r="B5881" s="83" t="str">
        <f t="shared" si="644"/>
        <v/>
      </c>
      <c r="U5881" s="83" t="str">
        <f t="shared" si="639"/>
        <v/>
      </c>
      <c r="V5881" s="83" t="str">
        <f t="shared" si="640"/>
        <v/>
      </c>
      <c r="AA5881" s="60">
        <f t="shared" si="641"/>
        <v>0</v>
      </c>
      <c r="AB5881" s="49">
        <f t="shared" si="642"/>
        <v>0</v>
      </c>
      <c r="AC5881" s="60">
        <f t="shared" si="643"/>
        <v>0</v>
      </c>
    </row>
    <row r="5882" spans="1:29">
      <c r="A5882" s="83" t="str">
        <f t="shared" si="638"/>
        <v/>
      </c>
      <c r="B5882" s="83" t="str">
        <f t="shared" si="644"/>
        <v/>
      </c>
      <c r="U5882" s="83" t="str">
        <f t="shared" si="639"/>
        <v/>
      </c>
      <c r="V5882" s="83" t="str">
        <f t="shared" si="640"/>
        <v/>
      </c>
      <c r="AA5882" s="60">
        <f t="shared" si="641"/>
        <v>0</v>
      </c>
      <c r="AB5882" s="49">
        <f t="shared" si="642"/>
        <v>0</v>
      </c>
      <c r="AC5882" s="60">
        <f t="shared" si="643"/>
        <v>0</v>
      </c>
    </row>
    <row r="5883" spans="1:29">
      <c r="A5883" s="83" t="str">
        <f t="shared" si="638"/>
        <v/>
      </c>
      <c r="B5883" s="83" t="str">
        <f t="shared" si="644"/>
        <v/>
      </c>
      <c r="U5883" s="83" t="str">
        <f t="shared" si="639"/>
        <v/>
      </c>
      <c r="V5883" s="83" t="str">
        <f t="shared" si="640"/>
        <v/>
      </c>
      <c r="AA5883" s="60">
        <f t="shared" si="641"/>
        <v>0</v>
      </c>
      <c r="AB5883" s="49">
        <f t="shared" si="642"/>
        <v>0</v>
      </c>
      <c r="AC5883" s="60">
        <f t="shared" si="643"/>
        <v>0</v>
      </c>
    </row>
    <row r="5884" spans="1:29">
      <c r="A5884" s="83" t="str">
        <f t="shared" si="638"/>
        <v/>
      </c>
      <c r="B5884" s="83" t="str">
        <f t="shared" si="644"/>
        <v/>
      </c>
      <c r="U5884" s="83" t="str">
        <f t="shared" si="639"/>
        <v/>
      </c>
      <c r="V5884" s="83" t="str">
        <f t="shared" si="640"/>
        <v/>
      </c>
      <c r="AA5884" s="60">
        <f t="shared" si="641"/>
        <v>0</v>
      </c>
      <c r="AB5884" s="49">
        <f t="shared" si="642"/>
        <v>0</v>
      </c>
      <c r="AC5884" s="60">
        <f t="shared" si="643"/>
        <v>0</v>
      </c>
    </row>
    <row r="5885" spans="1:29">
      <c r="A5885" s="83" t="str">
        <f t="shared" si="638"/>
        <v/>
      </c>
      <c r="B5885" s="83" t="str">
        <f t="shared" si="644"/>
        <v/>
      </c>
      <c r="U5885" s="83" t="str">
        <f t="shared" si="639"/>
        <v/>
      </c>
      <c r="V5885" s="83" t="str">
        <f t="shared" si="640"/>
        <v/>
      </c>
      <c r="AA5885" s="60">
        <f t="shared" si="641"/>
        <v>0</v>
      </c>
      <c r="AB5885" s="49">
        <f t="shared" si="642"/>
        <v>0</v>
      </c>
      <c r="AC5885" s="60">
        <f t="shared" si="643"/>
        <v>0</v>
      </c>
    </row>
    <row r="5886" spans="1:29">
      <c r="A5886" s="83" t="str">
        <f t="shared" si="638"/>
        <v/>
      </c>
      <c r="B5886" s="83" t="str">
        <f t="shared" si="644"/>
        <v/>
      </c>
      <c r="U5886" s="83" t="str">
        <f t="shared" si="639"/>
        <v/>
      </c>
      <c r="V5886" s="83" t="str">
        <f t="shared" si="640"/>
        <v/>
      </c>
      <c r="AA5886" s="60">
        <f t="shared" si="641"/>
        <v>0</v>
      </c>
      <c r="AB5886" s="49">
        <f t="shared" si="642"/>
        <v>0</v>
      </c>
      <c r="AC5886" s="60">
        <f t="shared" si="643"/>
        <v>0</v>
      </c>
    </row>
    <row r="5887" spans="1:29">
      <c r="A5887" s="83" t="str">
        <f t="shared" si="638"/>
        <v/>
      </c>
      <c r="B5887" s="83" t="str">
        <f t="shared" si="644"/>
        <v/>
      </c>
      <c r="U5887" s="83" t="str">
        <f t="shared" si="639"/>
        <v/>
      </c>
      <c r="V5887" s="83" t="str">
        <f t="shared" si="640"/>
        <v/>
      </c>
      <c r="AA5887" s="60">
        <f t="shared" si="641"/>
        <v>0</v>
      </c>
      <c r="AB5887" s="49">
        <f t="shared" si="642"/>
        <v>0</v>
      </c>
      <c r="AC5887" s="60">
        <f t="shared" si="643"/>
        <v>0</v>
      </c>
    </row>
    <row r="5888" spans="1:29">
      <c r="A5888" s="83" t="str">
        <f t="shared" si="638"/>
        <v/>
      </c>
      <c r="B5888" s="83" t="str">
        <f t="shared" si="644"/>
        <v/>
      </c>
      <c r="U5888" s="83" t="str">
        <f t="shared" si="639"/>
        <v/>
      </c>
      <c r="V5888" s="83" t="str">
        <f t="shared" si="640"/>
        <v/>
      </c>
      <c r="AA5888" s="60">
        <f t="shared" si="641"/>
        <v>0</v>
      </c>
      <c r="AB5888" s="49">
        <f t="shared" si="642"/>
        <v>0</v>
      </c>
      <c r="AC5888" s="60">
        <f t="shared" si="643"/>
        <v>0</v>
      </c>
    </row>
    <row r="5889" spans="1:29">
      <c r="A5889" s="83" t="str">
        <f t="shared" si="638"/>
        <v/>
      </c>
      <c r="B5889" s="83" t="str">
        <f t="shared" si="644"/>
        <v/>
      </c>
      <c r="U5889" s="83" t="str">
        <f t="shared" si="639"/>
        <v/>
      </c>
      <c r="V5889" s="83" t="str">
        <f t="shared" si="640"/>
        <v/>
      </c>
      <c r="AA5889" s="60">
        <f t="shared" si="641"/>
        <v>0</v>
      </c>
      <c r="AB5889" s="49">
        <f t="shared" si="642"/>
        <v>0</v>
      </c>
      <c r="AC5889" s="60">
        <f t="shared" si="643"/>
        <v>0</v>
      </c>
    </row>
    <row r="5890" spans="1:29">
      <c r="A5890" s="83" t="str">
        <f t="shared" si="638"/>
        <v/>
      </c>
      <c r="B5890" s="83" t="str">
        <f t="shared" si="644"/>
        <v/>
      </c>
      <c r="U5890" s="83" t="str">
        <f t="shared" si="639"/>
        <v/>
      </c>
      <c r="V5890" s="83" t="str">
        <f t="shared" si="640"/>
        <v/>
      </c>
      <c r="AA5890" s="60">
        <f t="shared" si="641"/>
        <v>0</v>
      </c>
      <c r="AB5890" s="49">
        <f t="shared" si="642"/>
        <v>0</v>
      </c>
      <c r="AC5890" s="60">
        <f t="shared" si="643"/>
        <v>0</v>
      </c>
    </row>
    <row r="5891" spans="1:29">
      <c r="A5891" s="83" t="str">
        <f t="shared" ref="A5891:A5954" si="645">IF(G5891&amp;Q5891&lt;&gt;"",U5891&amp;Q5891,"")</f>
        <v/>
      </c>
      <c r="B5891" s="83" t="str">
        <f t="shared" si="644"/>
        <v/>
      </c>
      <c r="U5891" s="83" t="str">
        <f t="shared" ref="U5891:U5954" si="646">IF(G5891&lt;&gt;"",IF(StyleSpaceSplit,IFERROR(IF(FIND(" ",G5891)&gt;=1,MID(G5891,1,FIND(" ",G5891)-1),G5891),G5891),G5891),"")</f>
        <v/>
      </c>
      <c r="V5891" s="83" t="str">
        <f t="shared" ref="V5891:V5954" si="647">IF(A5891&lt;&gt;"",IFERROR(IF(FIND(" ",G5891)&gt;=1,MID(G5891,FIND(" ",G5891)+1,LEN(G5891)),""),G5891),"")</f>
        <v/>
      </c>
      <c r="AA5891" s="60">
        <f t="shared" ref="AA5891:AA5954" si="648">IFERROR(VALUE(MID($C5891,1,2)),0)</f>
        <v>0</v>
      </c>
      <c r="AB5891" s="49">
        <f t="shared" ref="AB5891:AB5954" si="649">IFERROR(VALUE(MID($C5891,4,3)),0)</f>
        <v>0</v>
      </c>
      <c r="AC5891" s="60">
        <f t="shared" ref="AC5891:AC5954" si="650">VALUE(RIGHT("00"&amp;AA5891,2)&amp;RIGHT("000"&amp;AB5891,3))</f>
        <v>0</v>
      </c>
    </row>
    <row r="5892" spans="1:29">
      <c r="A5892" s="83" t="str">
        <f t="shared" si="645"/>
        <v/>
      </c>
      <c r="B5892" s="83" t="str">
        <f t="shared" si="644"/>
        <v/>
      </c>
      <c r="U5892" s="83" t="str">
        <f t="shared" si="646"/>
        <v/>
      </c>
      <c r="V5892" s="83" t="str">
        <f t="shared" si="647"/>
        <v/>
      </c>
      <c r="AA5892" s="60">
        <f t="shared" si="648"/>
        <v>0</v>
      </c>
      <c r="AB5892" s="49">
        <f t="shared" si="649"/>
        <v>0</v>
      </c>
      <c r="AC5892" s="60">
        <f t="shared" si="650"/>
        <v>0</v>
      </c>
    </row>
    <row r="5893" spans="1:29">
      <c r="A5893" s="83" t="str">
        <f t="shared" si="645"/>
        <v/>
      </c>
      <c r="B5893" s="83" t="str">
        <f t="shared" si="644"/>
        <v/>
      </c>
      <c r="U5893" s="83" t="str">
        <f t="shared" si="646"/>
        <v/>
      </c>
      <c r="V5893" s="83" t="str">
        <f t="shared" si="647"/>
        <v/>
      </c>
      <c r="AA5893" s="60">
        <f t="shared" si="648"/>
        <v>0</v>
      </c>
      <c r="AB5893" s="49">
        <f t="shared" si="649"/>
        <v>0</v>
      </c>
      <c r="AC5893" s="60">
        <f t="shared" si="650"/>
        <v>0</v>
      </c>
    </row>
    <row r="5894" spans="1:29">
      <c r="A5894" s="83" t="str">
        <f t="shared" si="645"/>
        <v/>
      </c>
      <c r="B5894" s="83" t="str">
        <f t="shared" si="644"/>
        <v/>
      </c>
      <c r="U5894" s="83" t="str">
        <f t="shared" si="646"/>
        <v/>
      </c>
      <c r="V5894" s="83" t="str">
        <f t="shared" si="647"/>
        <v/>
      </c>
      <c r="AA5894" s="60">
        <f t="shared" si="648"/>
        <v>0</v>
      </c>
      <c r="AB5894" s="49">
        <f t="shared" si="649"/>
        <v>0</v>
      </c>
      <c r="AC5894" s="60">
        <f t="shared" si="650"/>
        <v>0</v>
      </c>
    </row>
    <row r="5895" spans="1:29">
      <c r="A5895" s="83" t="str">
        <f t="shared" si="645"/>
        <v/>
      </c>
      <c r="B5895" s="83" t="str">
        <f t="shared" si="644"/>
        <v/>
      </c>
      <c r="U5895" s="83" t="str">
        <f t="shared" si="646"/>
        <v/>
      </c>
      <c r="V5895" s="83" t="str">
        <f t="shared" si="647"/>
        <v/>
      </c>
      <c r="AA5895" s="60">
        <f t="shared" si="648"/>
        <v>0</v>
      </c>
      <c r="AB5895" s="49">
        <f t="shared" si="649"/>
        <v>0</v>
      </c>
      <c r="AC5895" s="60">
        <f t="shared" si="650"/>
        <v>0</v>
      </c>
    </row>
    <row r="5896" spans="1:29">
      <c r="A5896" s="83" t="str">
        <f t="shared" si="645"/>
        <v/>
      </c>
      <c r="B5896" s="83" t="str">
        <f t="shared" si="644"/>
        <v/>
      </c>
      <c r="U5896" s="83" t="str">
        <f t="shared" si="646"/>
        <v/>
      </c>
      <c r="V5896" s="83" t="str">
        <f t="shared" si="647"/>
        <v/>
      </c>
      <c r="AA5896" s="60">
        <f t="shared" si="648"/>
        <v>0</v>
      </c>
      <c r="AB5896" s="49">
        <f t="shared" si="649"/>
        <v>0</v>
      </c>
      <c r="AC5896" s="60">
        <f t="shared" si="650"/>
        <v>0</v>
      </c>
    </row>
    <row r="5897" spans="1:29">
      <c r="A5897" s="83" t="str">
        <f t="shared" si="645"/>
        <v/>
      </c>
      <c r="B5897" s="83" t="str">
        <f t="shared" si="644"/>
        <v/>
      </c>
      <c r="U5897" s="83" t="str">
        <f t="shared" si="646"/>
        <v/>
      </c>
      <c r="V5897" s="83" t="str">
        <f t="shared" si="647"/>
        <v/>
      </c>
      <c r="AA5897" s="60">
        <f t="shared" si="648"/>
        <v>0</v>
      </c>
      <c r="AB5897" s="49">
        <f t="shared" si="649"/>
        <v>0</v>
      </c>
      <c r="AC5897" s="60">
        <f t="shared" si="650"/>
        <v>0</v>
      </c>
    </row>
    <row r="5898" spans="1:29">
      <c r="A5898" s="83" t="str">
        <f t="shared" si="645"/>
        <v/>
      </c>
      <c r="B5898" s="83" t="str">
        <f t="shared" si="644"/>
        <v/>
      </c>
      <c r="U5898" s="83" t="str">
        <f t="shared" si="646"/>
        <v/>
      </c>
      <c r="V5898" s="83" t="str">
        <f t="shared" si="647"/>
        <v/>
      </c>
      <c r="AA5898" s="60">
        <f t="shared" si="648"/>
        <v>0</v>
      </c>
      <c r="AB5898" s="49">
        <f t="shared" si="649"/>
        <v>0</v>
      </c>
      <c r="AC5898" s="60">
        <f t="shared" si="650"/>
        <v>0</v>
      </c>
    </row>
    <row r="5899" spans="1:29">
      <c r="A5899" s="83" t="str">
        <f t="shared" si="645"/>
        <v/>
      </c>
      <c r="B5899" s="83" t="str">
        <f t="shared" si="644"/>
        <v/>
      </c>
      <c r="U5899" s="83" t="str">
        <f t="shared" si="646"/>
        <v/>
      </c>
      <c r="V5899" s="83" t="str">
        <f t="shared" si="647"/>
        <v/>
      </c>
      <c r="AA5899" s="60">
        <f t="shared" si="648"/>
        <v>0</v>
      </c>
      <c r="AB5899" s="49">
        <f t="shared" si="649"/>
        <v>0</v>
      </c>
      <c r="AC5899" s="60">
        <f t="shared" si="650"/>
        <v>0</v>
      </c>
    </row>
    <row r="5900" spans="1:29">
      <c r="A5900" s="83" t="str">
        <f t="shared" si="645"/>
        <v/>
      </c>
      <c r="B5900" s="83" t="str">
        <f t="shared" si="644"/>
        <v/>
      </c>
      <c r="U5900" s="83" t="str">
        <f t="shared" si="646"/>
        <v/>
      </c>
      <c r="V5900" s="83" t="str">
        <f t="shared" si="647"/>
        <v/>
      </c>
      <c r="AA5900" s="60">
        <f t="shared" si="648"/>
        <v>0</v>
      </c>
      <c r="AB5900" s="49">
        <f t="shared" si="649"/>
        <v>0</v>
      </c>
      <c r="AC5900" s="60">
        <f t="shared" si="650"/>
        <v>0</v>
      </c>
    </row>
    <row r="5901" spans="1:29">
      <c r="A5901" s="83" t="str">
        <f t="shared" si="645"/>
        <v/>
      </c>
      <c r="B5901" s="83" t="str">
        <f t="shared" si="644"/>
        <v/>
      </c>
      <c r="U5901" s="83" t="str">
        <f t="shared" si="646"/>
        <v/>
      </c>
      <c r="V5901" s="83" t="str">
        <f t="shared" si="647"/>
        <v/>
      </c>
      <c r="AA5901" s="60">
        <f t="shared" si="648"/>
        <v>0</v>
      </c>
      <c r="AB5901" s="49">
        <f t="shared" si="649"/>
        <v>0</v>
      </c>
      <c r="AC5901" s="60">
        <f t="shared" si="650"/>
        <v>0</v>
      </c>
    </row>
    <row r="5902" spans="1:29">
      <c r="A5902" s="83" t="str">
        <f t="shared" si="645"/>
        <v/>
      </c>
      <c r="B5902" s="83" t="str">
        <f t="shared" si="644"/>
        <v/>
      </c>
      <c r="U5902" s="83" t="str">
        <f t="shared" si="646"/>
        <v/>
      </c>
      <c r="V5902" s="83" t="str">
        <f t="shared" si="647"/>
        <v/>
      </c>
      <c r="AA5902" s="60">
        <f t="shared" si="648"/>
        <v>0</v>
      </c>
      <c r="AB5902" s="49">
        <f t="shared" si="649"/>
        <v>0</v>
      </c>
      <c r="AC5902" s="60">
        <f t="shared" si="650"/>
        <v>0</v>
      </c>
    </row>
    <row r="5903" spans="1:29">
      <c r="A5903" s="83" t="str">
        <f t="shared" si="645"/>
        <v/>
      </c>
      <c r="B5903" s="83" t="str">
        <f t="shared" si="644"/>
        <v/>
      </c>
      <c r="U5903" s="83" t="str">
        <f t="shared" si="646"/>
        <v/>
      </c>
      <c r="V5903" s="83" t="str">
        <f t="shared" si="647"/>
        <v/>
      </c>
      <c r="AA5903" s="60">
        <f t="shared" si="648"/>
        <v>0</v>
      </c>
      <c r="AB5903" s="49">
        <f t="shared" si="649"/>
        <v>0</v>
      </c>
      <c r="AC5903" s="60">
        <f t="shared" si="650"/>
        <v>0</v>
      </c>
    </row>
    <row r="5904" spans="1:29">
      <c r="A5904" s="83" t="str">
        <f t="shared" si="645"/>
        <v/>
      </c>
      <c r="B5904" s="83" t="str">
        <f t="shared" si="644"/>
        <v/>
      </c>
      <c r="U5904" s="83" t="str">
        <f t="shared" si="646"/>
        <v/>
      </c>
      <c r="V5904" s="83" t="str">
        <f t="shared" si="647"/>
        <v/>
      </c>
      <c r="AA5904" s="60">
        <f t="shared" si="648"/>
        <v>0</v>
      </c>
      <c r="AB5904" s="49">
        <f t="shared" si="649"/>
        <v>0</v>
      </c>
      <c r="AC5904" s="60">
        <f t="shared" si="650"/>
        <v>0</v>
      </c>
    </row>
    <row r="5905" spans="1:29">
      <c r="A5905" s="83" t="str">
        <f t="shared" si="645"/>
        <v/>
      </c>
      <c r="B5905" s="83" t="str">
        <f t="shared" si="644"/>
        <v/>
      </c>
      <c r="U5905" s="83" t="str">
        <f t="shared" si="646"/>
        <v/>
      </c>
      <c r="V5905" s="83" t="str">
        <f t="shared" si="647"/>
        <v/>
      </c>
      <c r="AA5905" s="60">
        <f t="shared" si="648"/>
        <v>0</v>
      </c>
      <c r="AB5905" s="49">
        <f t="shared" si="649"/>
        <v>0</v>
      </c>
      <c r="AC5905" s="60">
        <f t="shared" si="650"/>
        <v>0</v>
      </c>
    </row>
    <row r="5906" spans="1:29">
      <c r="A5906" s="83" t="str">
        <f t="shared" si="645"/>
        <v/>
      </c>
      <c r="B5906" s="83" t="str">
        <f t="shared" si="644"/>
        <v/>
      </c>
      <c r="U5906" s="83" t="str">
        <f t="shared" si="646"/>
        <v/>
      </c>
      <c r="V5906" s="83" t="str">
        <f t="shared" si="647"/>
        <v/>
      </c>
      <c r="AA5906" s="60">
        <f t="shared" si="648"/>
        <v>0</v>
      </c>
      <c r="AB5906" s="49">
        <f t="shared" si="649"/>
        <v>0</v>
      </c>
      <c r="AC5906" s="60">
        <f t="shared" si="650"/>
        <v>0</v>
      </c>
    </row>
    <row r="5907" spans="1:29">
      <c r="A5907" s="83" t="str">
        <f t="shared" si="645"/>
        <v/>
      </c>
      <c r="B5907" s="83" t="str">
        <f t="shared" si="644"/>
        <v/>
      </c>
      <c r="U5907" s="83" t="str">
        <f t="shared" si="646"/>
        <v/>
      </c>
      <c r="V5907" s="83" t="str">
        <f t="shared" si="647"/>
        <v/>
      </c>
      <c r="AA5907" s="60">
        <f t="shared" si="648"/>
        <v>0</v>
      </c>
      <c r="AB5907" s="49">
        <f t="shared" si="649"/>
        <v>0</v>
      </c>
      <c r="AC5907" s="60">
        <f t="shared" si="650"/>
        <v>0</v>
      </c>
    </row>
    <row r="5908" spans="1:29">
      <c r="A5908" s="83" t="str">
        <f t="shared" si="645"/>
        <v/>
      </c>
      <c r="B5908" s="83" t="str">
        <f t="shared" si="644"/>
        <v/>
      </c>
      <c r="U5908" s="83" t="str">
        <f t="shared" si="646"/>
        <v/>
      </c>
      <c r="V5908" s="83" t="str">
        <f t="shared" si="647"/>
        <v/>
      </c>
      <c r="AA5908" s="60">
        <f t="shared" si="648"/>
        <v>0</v>
      </c>
      <c r="AB5908" s="49">
        <f t="shared" si="649"/>
        <v>0</v>
      </c>
      <c r="AC5908" s="60">
        <f t="shared" si="650"/>
        <v>0</v>
      </c>
    </row>
    <row r="5909" spans="1:29">
      <c r="A5909" s="83" t="str">
        <f t="shared" si="645"/>
        <v/>
      </c>
      <c r="B5909" s="83" t="str">
        <f t="shared" si="644"/>
        <v/>
      </c>
      <c r="U5909" s="83" t="str">
        <f t="shared" si="646"/>
        <v/>
      </c>
      <c r="V5909" s="83" t="str">
        <f t="shared" si="647"/>
        <v/>
      </c>
      <c r="AA5909" s="60">
        <f t="shared" si="648"/>
        <v>0</v>
      </c>
      <c r="AB5909" s="49">
        <f t="shared" si="649"/>
        <v>0</v>
      </c>
      <c r="AC5909" s="60">
        <f t="shared" si="650"/>
        <v>0</v>
      </c>
    </row>
    <row r="5910" spans="1:29">
      <c r="A5910" s="83" t="str">
        <f t="shared" si="645"/>
        <v/>
      </c>
      <c r="B5910" s="83" t="str">
        <f t="shared" si="644"/>
        <v/>
      </c>
      <c r="U5910" s="83" t="str">
        <f t="shared" si="646"/>
        <v/>
      </c>
      <c r="V5910" s="83" t="str">
        <f t="shared" si="647"/>
        <v/>
      </c>
      <c r="AA5910" s="60">
        <f t="shared" si="648"/>
        <v>0</v>
      </c>
      <c r="AB5910" s="49">
        <f t="shared" si="649"/>
        <v>0</v>
      </c>
      <c r="AC5910" s="60">
        <f t="shared" si="650"/>
        <v>0</v>
      </c>
    </row>
    <row r="5911" spans="1:29">
      <c r="A5911" s="83" t="str">
        <f t="shared" si="645"/>
        <v/>
      </c>
      <c r="B5911" s="83" t="str">
        <f t="shared" si="644"/>
        <v/>
      </c>
      <c r="U5911" s="83" t="str">
        <f t="shared" si="646"/>
        <v/>
      </c>
      <c r="V5911" s="83" t="str">
        <f t="shared" si="647"/>
        <v/>
      </c>
      <c r="AA5911" s="60">
        <f t="shared" si="648"/>
        <v>0</v>
      </c>
      <c r="AB5911" s="49">
        <f t="shared" si="649"/>
        <v>0</v>
      </c>
      <c r="AC5911" s="60">
        <f t="shared" si="650"/>
        <v>0</v>
      </c>
    </row>
    <row r="5912" spans="1:29">
      <c r="A5912" s="83" t="str">
        <f t="shared" si="645"/>
        <v/>
      </c>
      <c r="B5912" s="83" t="str">
        <f t="shared" si="644"/>
        <v/>
      </c>
      <c r="U5912" s="83" t="str">
        <f t="shared" si="646"/>
        <v/>
      </c>
      <c r="V5912" s="83" t="str">
        <f t="shared" si="647"/>
        <v/>
      </c>
      <c r="AA5912" s="60">
        <f t="shared" si="648"/>
        <v>0</v>
      </c>
      <c r="AB5912" s="49">
        <f t="shared" si="649"/>
        <v>0</v>
      </c>
      <c r="AC5912" s="60">
        <f t="shared" si="650"/>
        <v>0</v>
      </c>
    </row>
    <row r="5913" spans="1:29">
      <c r="A5913" s="83" t="str">
        <f t="shared" si="645"/>
        <v/>
      </c>
      <c r="B5913" s="83" t="str">
        <f t="shared" si="644"/>
        <v/>
      </c>
      <c r="U5913" s="83" t="str">
        <f t="shared" si="646"/>
        <v/>
      </c>
      <c r="V5913" s="83" t="str">
        <f t="shared" si="647"/>
        <v/>
      </c>
      <c r="AA5913" s="60">
        <f t="shared" si="648"/>
        <v>0</v>
      </c>
      <c r="AB5913" s="49">
        <f t="shared" si="649"/>
        <v>0</v>
      </c>
      <c r="AC5913" s="60">
        <f t="shared" si="650"/>
        <v>0</v>
      </c>
    </row>
    <row r="5914" spans="1:29">
      <c r="A5914" s="83" t="str">
        <f t="shared" si="645"/>
        <v/>
      </c>
      <c r="B5914" s="83" t="str">
        <f t="shared" si="644"/>
        <v/>
      </c>
      <c r="U5914" s="83" t="str">
        <f t="shared" si="646"/>
        <v/>
      </c>
      <c r="V5914" s="83" t="str">
        <f t="shared" si="647"/>
        <v/>
      </c>
      <c r="AA5914" s="60">
        <f t="shared" si="648"/>
        <v>0</v>
      </c>
      <c r="AB5914" s="49">
        <f t="shared" si="649"/>
        <v>0</v>
      </c>
      <c r="AC5914" s="60">
        <f t="shared" si="650"/>
        <v>0</v>
      </c>
    </row>
    <row r="5915" spans="1:29">
      <c r="A5915" s="83" t="str">
        <f t="shared" si="645"/>
        <v/>
      </c>
      <c r="B5915" s="83" t="str">
        <f t="shared" si="644"/>
        <v/>
      </c>
      <c r="U5915" s="83" t="str">
        <f t="shared" si="646"/>
        <v/>
      </c>
      <c r="V5915" s="83" t="str">
        <f t="shared" si="647"/>
        <v/>
      </c>
      <c r="AA5915" s="60">
        <f t="shared" si="648"/>
        <v>0</v>
      </c>
      <c r="AB5915" s="49">
        <f t="shared" si="649"/>
        <v>0</v>
      </c>
      <c r="AC5915" s="60">
        <f t="shared" si="650"/>
        <v>0</v>
      </c>
    </row>
    <row r="5916" spans="1:29">
      <c r="A5916" s="83" t="str">
        <f t="shared" si="645"/>
        <v/>
      </c>
      <c r="B5916" s="83" t="str">
        <f t="shared" si="644"/>
        <v/>
      </c>
      <c r="U5916" s="83" t="str">
        <f t="shared" si="646"/>
        <v/>
      </c>
      <c r="V5916" s="83" t="str">
        <f t="shared" si="647"/>
        <v/>
      </c>
      <c r="AA5916" s="60">
        <f t="shared" si="648"/>
        <v>0</v>
      </c>
      <c r="AB5916" s="49">
        <f t="shared" si="649"/>
        <v>0</v>
      </c>
      <c r="AC5916" s="60">
        <f t="shared" si="650"/>
        <v>0</v>
      </c>
    </row>
    <row r="5917" spans="1:29">
      <c r="A5917" s="83" t="str">
        <f t="shared" si="645"/>
        <v/>
      </c>
      <c r="B5917" s="83" t="str">
        <f t="shared" si="644"/>
        <v/>
      </c>
      <c r="U5917" s="83" t="str">
        <f t="shared" si="646"/>
        <v/>
      </c>
      <c r="V5917" s="83" t="str">
        <f t="shared" si="647"/>
        <v/>
      </c>
      <c r="AA5917" s="60">
        <f t="shared" si="648"/>
        <v>0</v>
      </c>
      <c r="AB5917" s="49">
        <f t="shared" si="649"/>
        <v>0</v>
      </c>
      <c r="AC5917" s="60">
        <f t="shared" si="650"/>
        <v>0</v>
      </c>
    </row>
    <row r="5918" spans="1:29">
      <c r="A5918" s="83" t="str">
        <f t="shared" si="645"/>
        <v/>
      </c>
      <c r="B5918" s="83" t="str">
        <f t="shared" si="644"/>
        <v/>
      </c>
      <c r="U5918" s="83" t="str">
        <f t="shared" si="646"/>
        <v/>
      </c>
      <c r="V5918" s="83" t="str">
        <f t="shared" si="647"/>
        <v/>
      </c>
      <c r="AA5918" s="60">
        <f t="shared" si="648"/>
        <v>0</v>
      </c>
      <c r="AB5918" s="49">
        <f t="shared" si="649"/>
        <v>0</v>
      </c>
      <c r="AC5918" s="60">
        <f t="shared" si="650"/>
        <v>0</v>
      </c>
    </row>
    <row r="5919" spans="1:29">
      <c r="A5919" s="83" t="str">
        <f t="shared" si="645"/>
        <v/>
      </c>
      <c r="B5919" s="83" t="str">
        <f t="shared" si="644"/>
        <v/>
      </c>
      <c r="U5919" s="83" t="str">
        <f t="shared" si="646"/>
        <v/>
      </c>
      <c r="V5919" s="83" t="str">
        <f t="shared" si="647"/>
        <v/>
      </c>
      <c r="AA5919" s="60">
        <f t="shared" si="648"/>
        <v>0</v>
      </c>
      <c r="AB5919" s="49">
        <f t="shared" si="649"/>
        <v>0</v>
      </c>
      <c r="AC5919" s="60">
        <f t="shared" si="650"/>
        <v>0</v>
      </c>
    </row>
    <row r="5920" spans="1:29">
      <c r="A5920" s="83" t="str">
        <f t="shared" si="645"/>
        <v/>
      </c>
      <c r="B5920" s="83" t="str">
        <f t="shared" si="644"/>
        <v/>
      </c>
      <c r="U5920" s="83" t="str">
        <f t="shared" si="646"/>
        <v/>
      </c>
      <c r="V5920" s="83" t="str">
        <f t="shared" si="647"/>
        <v/>
      </c>
      <c r="AA5920" s="60">
        <f t="shared" si="648"/>
        <v>0</v>
      </c>
      <c r="AB5920" s="49">
        <f t="shared" si="649"/>
        <v>0</v>
      </c>
      <c r="AC5920" s="60">
        <f t="shared" si="650"/>
        <v>0</v>
      </c>
    </row>
    <row r="5921" spans="1:29">
      <c r="A5921" s="83" t="str">
        <f t="shared" si="645"/>
        <v/>
      </c>
      <c r="B5921" s="83" t="str">
        <f t="shared" ref="B5921:B5984" si="651">IF(C5921&lt;&gt;"",LEFT(C5921,9),"")</f>
        <v/>
      </c>
      <c r="U5921" s="83" t="str">
        <f t="shared" si="646"/>
        <v/>
      </c>
      <c r="V5921" s="83" t="str">
        <f t="shared" si="647"/>
        <v/>
      </c>
      <c r="AA5921" s="60">
        <f t="shared" si="648"/>
        <v>0</v>
      </c>
      <c r="AB5921" s="49">
        <f t="shared" si="649"/>
        <v>0</v>
      </c>
      <c r="AC5921" s="60">
        <f t="shared" si="650"/>
        <v>0</v>
      </c>
    </row>
    <row r="5922" spans="1:29">
      <c r="A5922" s="83" t="str">
        <f t="shared" si="645"/>
        <v/>
      </c>
      <c r="B5922" s="83" t="str">
        <f t="shared" si="651"/>
        <v/>
      </c>
      <c r="U5922" s="83" t="str">
        <f t="shared" si="646"/>
        <v/>
      </c>
      <c r="V5922" s="83" t="str">
        <f t="shared" si="647"/>
        <v/>
      </c>
      <c r="AA5922" s="60">
        <f t="shared" si="648"/>
        <v>0</v>
      </c>
      <c r="AB5922" s="49">
        <f t="shared" si="649"/>
        <v>0</v>
      </c>
      <c r="AC5922" s="60">
        <f t="shared" si="650"/>
        <v>0</v>
      </c>
    </row>
    <row r="5923" spans="1:29">
      <c r="A5923" s="83" t="str">
        <f t="shared" si="645"/>
        <v/>
      </c>
      <c r="B5923" s="83" t="str">
        <f t="shared" si="651"/>
        <v/>
      </c>
      <c r="U5923" s="83" t="str">
        <f t="shared" si="646"/>
        <v/>
      </c>
      <c r="V5923" s="83" t="str">
        <f t="shared" si="647"/>
        <v/>
      </c>
      <c r="AA5923" s="60">
        <f t="shared" si="648"/>
        <v>0</v>
      </c>
      <c r="AB5923" s="49">
        <f t="shared" si="649"/>
        <v>0</v>
      </c>
      <c r="AC5923" s="60">
        <f t="shared" si="650"/>
        <v>0</v>
      </c>
    </row>
    <row r="5924" spans="1:29">
      <c r="A5924" s="83" t="str">
        <f t="shared" si="645"/>
        <v/>
      </c>
      <c r="B5924" s="83" t="str">
        <f t="shared" si="651"/>
        <v/>
      </c>
      <c r="U5924" s="83" t="str">
        <f t="shared" si="646"/>
        <v/>
      </c>
      <c r="V5924" s="83" t="str">
        <f t="shared" si="647"/>
        <v/>
      </c>
      <c r="AA5924" s="60">
        <f t="shared" si="648"/>
        <v>0</v>
      </c>
      <c r="AB5924" s="49">
        <f t="shared" si="649"/>
        <v>0</v>
      </c>
      <c r="AC5924" s="60">
        <f t="shared" si="650"/>
        <v>0</v>
      </c>
    </row>
    <row r="5925" spans="1:29">
      <c r="A5925" s="83" t="str">
        <f t="shared" si="645"/>
        <v/>
      </c>
      <c r="B5925" s="83" t="str">
        <f t="shared" si="651"/>
        <v/>
      </c>
      <c r="U5925" s="83" t="str">
        <f t="shared" si="646"/>
        <v/>
      </c>
      <c r="V5925" s="83" t="str">
        <f t="shared" si="647"/>
        <v/>
      </c>
      <c r="AA5925" s="60">
        <f t="shared" si="648"/>
        <v>0</v>
      </c>
      <c r="AB5925" s="49">
        <f t="shared" si="649"/>
        <v>0</v>
      </c>
      <c r="AC5925" s="60">
        <f t="shared" si="650"/>
        <v>0</v>
      </c>
    </row>
    <row r="5926" spans="1:29">
      <c r="A5926" s="83" t="str">
        <f t="shared" si="645"/>
        <v/>
      </c>
      <c r="B5926" s="83" t="str">
        <f t="shared" si="651"/>
        <v/>
      </c>
      <c r="U5926" s="83" t="str">
        <f t="shared" si="646"/>
        <v/>
      </c>
      <c r="V5926" s="83" t="str">
        <f t="shared" si="647"/>
        <v/>
      </c>
      <c r="AA5926" s="60">
        <f t="shared" si="648"/>
        <v>0</v>
      </c>
      <c r="AB5926" s="49">
        <f t="shared" si="649"/>
        <v>0</v>
      </c>
      <c r="AC5926" s="60">
        <f t="shared" si="650"/>
        <v>0</v>
      </c>
    </row>
    <row r="5927" spans="1:29">
      <c r="A5927" s="83" t="str">
        <f t="shared" si="645"/>
        <v/>
      </c>
      <c r="B5927" s="83" t="str">
        <f t="shared" si="651"/>
        <v/>
      </c>
      <c r="U5927" s="83" t="str">
        <f t="shared" si="646"/>
        <v/>
      </c>
      <c r="V5927" s="83" t="str">
        <f t="shared" si="647"/>
        <v/>
      </c>
      <c r="AA5927" s="60">
        <f t="shared" si="648"/>
        <v>0</v>
      </c>
      <c r="AB5927" s="49">
        <f t="shared" si="649"/>
        <v>0</v>
      </c>
      <c r="AC5927" s="60">
        <f t="shared" si="650"/>
        <v>0</v>
      </c>
    </row>
    <row r="5928" spans="1:29">
      <c r="A5928" s="83" t="str">
        <f t="shared" si="645"/>
        <v/>
      </c>
      <c r="B5928" s="83" t="str">
        <f t="shared" si="651"/>
        <v/>
      </c>
      <c r="U5928" s="83" t="str">
        <f t="shared" si="646"/>
        <v/>
      </c>
      <c r="V5928" s="83" t="str">
        <f t="shared" si="647"/>
        <v/>
      </c>
      <c r="AA5928" s="60">
        <f t="shared" si="648"/>
        <v>0</v>
      </c>
      <c r="AB5928" s="49">
        <f t="shared" si="649"/>
        <v>0</v>
      </c>
      <c r="AC5928" s="60">
        <f t="shared" si="650"/>
        <v>0</v>
      </c>
    </row>
    <row r="5929" spans="1:29">
      <c r="A5929" s="83" t="str">
        <f t="shared" si="645"/>
        <v/>
      </c>
      <c r="B5929" s="83" t="str">
        <f t="shared" si="651"/>
        <v/>
      </c>
      <c r="U5929" s="83" t="str">
        <f t="shared" si="646"/>
        <v/>
      </c>
      <c r="V5929" s="83" t="str">
        <f t="shared" si="647"/>
        <v/>
      </c>
      <c r="AA5929" s="60">
        <f t="shared" si="648"/>
        <v>0</v>
      </c>
      <c r="AB5929" s="49">
        <f t="shared" si="649"/>
        <v>0</v>
      </c>
      <c r="AC5929" s="60">
        <f t="shared" si="650"/>
        <v>0</v>
      </c>
    </row>
    <row r="5930" spans="1:29">
      <c r="A5930" s="83" t="str">
        <f t="shared" si="645"/>
        <v/>
      </c>
      <c r="B5930" s="83" t="str">
        <f t="shared" si="651"/>
        <v/>
      </c>
      <c r="U5930" s="83" t="str">
        <f t="shared" si="646"/>
        <v/>
      </c>
      <c r="V5930" s="83" t="str">
        <f t="shared" si="647"/>
        <v/>
      </c>
      <c r="AA5930" s="60">
        <f t="shared" si="648"/>
        <v>0</v>
      </c>
      <c r="AB5930" s="49">
        <f t="shared" si="649"/>
        <v>0</v>
      </c>
      <c r="AC5930" s="60">
        <f t="shared" si="650"/>
        <v>0</v>
      </c>
    </row>
    <row r="5931" spans="1:29">
      <c r="A5931" s="83" t="str">
        <f t="shared" si="645"/>
        <v/>
      </c>
      <c r="B5931" s="83" t="str">
        <f t="shared" si="651"/>
        <v/>
      </c>
      <c r="U5931" s="83" t="str">
        <f t="shared" si="646"/>
        <v/>
      </c>
      <c r="V5931" s="83" t="str">
        <f t="shared" si="647"/>
        <v/>
      </c>
      <c r="AA5931" s="60">
        <f t="shared" si="648"/>
        <v>0</v>
      </c>
      <c r="AB5931" s="49">
        <f t="shared" si="649"/>
        <v>0</v>
      </c>
      <c r="AC5931" s="60">
        <f t="shared" si="650"/>
        <v>0</v>
      </c>
    </row>
    <row r="5932" spans="1:29">
      <c r="A5932" s="83" t="str">
        <f t="shared" si="645"/>
        <v/>
      </c>
      <c r="B5932" s="83" t="str">
        <f t="shared" si="651"/>
        <v/>
      </c>
      <c r="U5932" s="83" t="str">
        <f t="shared" si="646"/>
        <v/>
      </c>
      <c r="V5932" s="83" t="str">
        <f t="shared" si="647"/>
        <v/>
      </c>
      <c r="AA5932" s="60">
        <f t="shared" si="648"/>
        <v>0</v>
      </c>
      <c r="AB5932" s="49">
        <f t="shared" si="649"/>
        <v>0</v>
      </c>
      <c r="AC5932" s="60">
        <f t="shared" si="650"/>
        <v>0</v>
      </c>
    </row>
    <row r="5933" spans="1:29">
      <c r="A5933" s="83" t="str">
        <f t="shared" si="645"/>
        <v/>
      </c>
      <c r="B5933" s="83" t="str">
        <f t="shared" si="651"/>
        <v/>
      </c>
      <c r="U5933" s="83" t="str">
        <f t="shared" si="646"/>
        <v/>
      </c>
      <c r="V5933" s="83" t="str">
        <f t="shared" si="647"/>
        <v/>
      </c>
      <c r="AA5933" s="60">
        <f t="shared" si="648"/>
        <v>0</v>
      </c>
      <c r="AB5933" s="49">
        <f t="shared" si="649"/>
        <v>0</v>
      </c>
      <c r="AC5933" s="60">
        <f t="shared" si="650"/>
        <v>0</v>
      </c>
    </row>
    <row r="5934" spans="1:29">
      <c r="A5934" s="83" t="str">
        <f t="shared" si="645"/>
        <v/>
      </c>
      <c r="B5934" s="83" t="str">
        <f t="shared" si="651"/>
        <v/>
      </c>
      <c r="U5934" s="83" t="str">
        <f t="shared" si="646"/>
        <v/>
      </c>
      <c r="V5934" s="83" t="str">
        <f t="shared" si="647"/>
        <v/>
      </c>
      <c r="AA5934" s="60">
        <f t="shared" si="648"/>
        <v>0</v>
      </c>
      <c r="AB5934" s="49">
        <f t="shared" si="649"/>
        <v>0</v>
      </c>
      <c r="AC5934" s="60">
        <f t="shared" si="650"/>
        <v>0</v>
      </c>
    </row>
    <row r="5935" spans="1:29">
      <c r="A5935" s="83" t="str">
        <f t="shared" si="645"/>
        <v/>
      </c>
      <c r="B5935" s="83" t="str">
        <f t="shared" si="651"/>
        <v/>
      </c>
      <c r="U5935" s="83" t="str">
        <f t="shared" si="646"/>
        <v/>
      </c>
      <c r="V5935" s="83" t="str">
        <f t="shared" si="647"/>
        <v/>
      </c>
      <c r="AA5935" s="60">
        <f t="shared" si="648"/>
        <v>0</v>
      </c>
      <c r="AB5935" s="49">
        <f t="shared" si="649"/>
        <v>0</v>
      </c>
      <c r="AC5935" s="60">
        <f t="shared" si="650"/>
        <v>0</v>
      </c>
    </row>
    <row r="5936" spans="1:29">
      <c r="A5936" s="83" t="str">
        <f t="shared" si="645"/>
        <v/>
      </c>
      <c r="B5936" s="83" t="str">
        <f t="shared" si="651"/>
        <v/>
      </c>
      <c r="U5936" s="83" t="str">
        <f t="shared" si="646"/>
        <v/>
      </c>
      <c r="V5936" s="83" t="str">
        <f t="shared" si="647"/>
        <v/>
      </c>
      <c r="AA5936" s="60">
        <f t="shared" si="648"/>
        <v>0</v>
      </c>
      <c r="AB5936" s="49">
        <f t="shared" si="649"/>
        <v>0</v>
      </c>
      <c r="AC5936" s="60">
        <f t="shared" si="650"/>
        <v>0</v>
      </c>
    </row>
    <row r="5937" spans="1:29">
      <c r="A5937" s="83" t="str">
        <f t="shared" si="645"/>
        <v/>
      </c>
      <c r="B5937" s="83" t="str">
        <f t="shared" si="651"/>
        <v/>
      </c>
      <c r="U5937" s="83" t="str">
        <f t="shared" si="646"/>
        <v/>
      </c>
      <c r="V5937" s="83" t="str">
        <f t="shared" si="647"/>
        <v/>
      </c>
      <c r="AA5937" s="60">
        <f t="shared" si="648"/>
        <v>0</v>
      </c>
      <c r="AB5937" s="49">
        <f t="shared" si="649"/>
        <v>0</v>
      </c>
      <c r="AC5937" s="60">
        <f t="shared" si="650"/>
        <v>0</v>
      </c>
    </row>
    <row r="5938" spans="1:29">
      <c r="A5938" s="83" t="str">
        <f t="shared" si="645"/>
        <v/>
      </c>
      <c r="B5938" s="83" t="str">
        <f t="shared" si="651"/>
        <v/>
      </c>
      <c r="U5938" s="83" t="str">
        <f t="shared" si="646"/>
        <v/>
      </c>
      <c r="V5938" s="83" t="str">
        <f t="shared" si="647"/>
        <v/>
      </c>
      <c r="AA5938" s="60">
        <f t="shared" si="648"/>
        <v>0</v>
      </c>
      <c r="AB5938" s="49">
        <f t="shared" si="649"/>
        <v>0</v>
      </c>
      <c r="AC5938" s="60">
        <f t="shared" si="650"/>
        <v>0</v>
      </c>
    </row>
    <row r="5939" spans="1:29">
      <c r="A5939" s="83" t="str">
        <f t="shared" si="645"/>
        <v/>
      </c>
      <c r="B5939" s="83" t="str">
        <f t="shared" si="651"/>
        <v/>
      </c>
      <c r="U5939" s="83" t="str">
        <f t="shared" si="646"/>
        <v/>
      </c>
      <c r="V5939" s="83" t="str">
        <f t="shared" si="647"/>
        <v/>
      </c>
      <c r="AA5939" s="60">
        <f t="shared" si="648"/>
        <v>0</v>
      </c>
      <c r="AB5939" s="49">
        <f t="shared" si="649"/>
        <v>0</v>
      </c>
      <c r="AC5939" s="60">
        <f t="shared" si="650"/>
        <v>0</v>
      </c>
    </row>
    <row r="5940" spans="1:29">
      <c r="A5940" s="83" t="str">
        <f t="shared" si="645"/>
        <v/>
      </c>
      <c r="B5940" s="83" t="str">
        <f t="shared" si="651"/>
        <v/>
      </c>
      <c r="U5940" s="83" t="str">
        <f t="shared" si="646"/>
        <v/>
      </c>
      <c r="V5940" s="83" t="str">
        <f t="shared" si="647"/>
        <v/>
      </c>
      <c r="AA5940" s="60">
        <f t="shared" si="648"/>
        <v>0</v>
      </c>
      <c r="AB5940" s="49">
        <f t="shared" si="649"/>
        <v>0</v>
      </c>
      <c r="AC5940" s="60">
        <f t="shared" si="650"/>
        <v>0</v>
      </c>
    </row>
    <row r="5941" spans="1:29">
      <c r="A5941" s="83" t="str">
        <f t="shared" si="645"/>
        <v/>
      </c>
      <c r="B5941" s="83" t="str">
        <f t="shared" si="651"/>
        <v/>
      </c>
      <c r="U5941" s="83" t="str">
        <f t="shared" si="646"/>
        <v/>
      </c>
      <c r="V5941" s="83" t="str">
        <f t="shared" si="647"/>
        <v/>
      </c>
      <c r="AA5941" s="60">
        <f t="shared" si="648"/>
        <v>0</v>
      </c>
      <c r="AB5941" s="49">
        <f t="shared" si="649"/>
        <v>0</v>
      </c>
      <c r="AC5941" s="60">
        <f t="shared" si="650"/>
        <v>0</v>
      </c>
    </row>
    <row r="5942" spans="1:29">
      <c r="A5942" s="83" t="str">
        <f t="shared" si="645"/>
        <v/>
      </c>
      <c r="B5942" s="83" t="str">
        <f t="shared" si="651"/>
        <v/>
      </c>
      <c r="U5942" s="83" t="str">
        <f t="shared" si="646"/>
        <v/>
      </c>
      <c r="V5942" s="83" t="str">
        <f t="shared" si="647"/>
        <v/>
      </c>
      <c r="AA5942" s="60">
        <f t="shared" si="648"/>
        <v>0</v>
      </c>
      <c r="AB5942" s="49">
        <f t="shared" si="649"/>
        <v>0</v>
      </c>
      <c r="AC5942" s="60">
        <f t="shared" si="650"/>
        <v>0</v>
      </c>
    </row>
    <row r="5943" spans="1:29">
      <c r="A5943" s="83" t="str">
        <f t="shared" si="645"/>
        <v/>
      </c>
      <c r="B5943" s="83" t="str">
        <f t="shared" si="651"/>
        <v/>
      </c>
      <c r="U5943" s="83" t="str">
        <f t="shared" si="646"/>
        <v/>
      </c>
      <c r="V5943" s="83" t="str">
        <f t="shared" si="647"/>
        <v/>
      </c>
      <c r="AA5943" s="60">
        <f t="shared" si="648"/>
        <v>0</v>
      </c>
      <c r="AB5943" s="49">
        <f t="shared" si="649"/>
        <v>0</v>
      </c>
      <c r="AC5943" s="60">
        <f t="shared" si="650"/>
        <v>0</v>
      </c>
    </row>
    <row r="5944" spans="1:29">
      <c r="A5944" s="83" t="str">
        <f t="shared" si="645"/>
        <v/>
      </c>
      <c r="B5944" s="83" t="str">
        <f t="shared" si="651"/>
        <v/>
      </c>
      <c r="U5944" s="83" t="str">
        <f t="shared" si="646"/>
        <v/>
      </c>
      <c r="V5944" s="83" t="str">
        <f t="shared" si="647"/>
        <v/>
      </c>
      <c r="AA5944" s="60">
        <f t="shared" si="648"/>
        <v>0</v>
      </c>
      <c r="AB5944" s="49">
        <f t="shared" si="649"/>
        <v>0</v>
      </c>
      <c r="AC5944" s="60">
        <f t="shared" si="650"/>
        <v>0</v>
      </c>
    </row>
    <row r="5945" spans="1:29">
      <c r="A5945" s="83" t="str">
        <f t="shared" si="645"/>
        <v/>
      </c>
      <c r="B5945" s="83" t="str">
        <f t="shared" si="651"/>
        <v/>
      </c>
      <c r="U5945" s="83" t="str">
        <f t="shared" si="646"/>
        <v/>
      </c>
      <c r="V5945" s="83" t="str">
        <f t="shared" si="647"/>
        <v/>
      </c>
      <c r="AA5945" s="60">
        <f t="shared" si="648"/>
        <v>0</v>
      </c>
      <c r="AB5945" s="49">
        <f t="shared" si="649"/>
        <v>0</v>
      </c>
      <c r="AC5945" s="60">
        <f t="shared" si="650"/>
        <v>0</v>
      </c>
    </row>
    <row r="5946" spans="1:29">
      <c r="A5946" s="83" t="str">
        <f t="shared" si="645"/>
        <v/>
      </c>
      <c r="B5946" s="83" t="str">
        <f t="shared" si="651"/>
        <v/>
      </c>
      <c r="U5946" s="83" t="str">
        <f t="shared" si="646"/>
        <v/>
      </c>
      <c r="V5946" s="83" t="str">
        <f t="shared" si="647"/>
        <v/>
      </c>
      <c r="AA5946" s="60">
        <f t="shared" si="648"/>
        <v>0</v>
      </c>
      <c r="AB5946" s="49">
        <f t="shared" si="649"/>
        <v>0</v>
      </c>
      <c r="AC5946" s="60">
        <f t="shared" si="650"/>
        <v>0</v>
      </c>
    </row>
    <row r="5947" spans="1:29">
      <c r="A5947" s="83" t="str">
        <f t="shared" si="645"/>
        <v/>
      </c>
      <c r="B5947" s="83" t="str">
        <f t="shared" si="651"/>
        <v/>
      </c>
      <c r="U5947" s="83" t="str">
        <f t="shared" si="646"/>
        <v/>
      </c>
      <c r="V5947" s="83" t="str">
        <f t="shared" si="647"/>
        <v/>
      </c>
      <c r="AA5947" s="60">
        <f t="shared" si="648"/>
        <v>0</v>
      </c>
      <c r="AB5947" s="49">
        <f t="shared" si="649"/>
        <v>0</v>
      </c>
      <c r="AC5947" s="60">
        <f t="shared" si="650"/>
        <v>0</v>
      </c>
    </row>
    <row r="5948" spans="1:29">
      <c r="A5948" s="83" t="str">
        <f t="shared" si="645"/>
        <v/>
      </c>
      <c r="B5948" s="83" t="str">
        <f t="shared" si="651"/>
        <v/>
      </c>
      <c r="U5948" s="83" t="str">
        <f t="shared" si="646"/>
        <v/>
      </c>
      <c r="V5948" s="83" t="str">
        <f t="shared" si="647"/>
        <v/>
      </c>
      <c r="AA5948" s="60">
        <f t="shared" si="648"/>
        <v>0</v>
      </c>
      <c r="AB5948" s="49">
        <f t="shared" si="649"/>
        <v>0</v>
      </c>
      <c r="AC5948" s="60">
        <f t="shared" si="650"/>
        <v>0</v>
      </c>
    </row>
    <row r="5949" spans="1:29">
      <c r="A5949" s="83" t="str">
        <f t="shared" si="645"/>
        <v/>
      </c>
      <c r="B5949" s="83" t="str">
        <f t="shared" si="651"/>
        <v/>
      </c>
      <c r="U5949" s="83" t="str">
        <f t="shared" si="646"/>
        <v/>
      </c>
      <c r="V5949" s="83" t="str">
        <f t="shared" si="647"/>
        <v/>
      </c>
      <c r="AA5949" s="60">
        <f t="shared" si="648"/>
        <v>0</v>
      </c>
      <c r="AB5949" s="49">
        <f t="shared" si="649"/>
        <v>0</v>
      </c>
      <c r="AC5949" s="60">
        <f t="shared" si="650"/>
        <v>0</v>
      </c>
    </row>
    <row r="5950" spans="1:29">
      <c r="A5950" s="83" t="str">
        <f t="shared" si="645"/>
        <v/>
      </c>
      <c r="B5950" s="83" t="str">
        <f t="shared" si="651"/>
        <v/>
      </c>
      <c r="U5950" s="83" t="str">
        <f t="shared" si="646"/>
        <v/>
      </c>
      <c r="V5950" s="83" t="str">
        <f t="shared" si="647"/>
        <v/>
      </c>
      <c r="AA5950" s="60">
        <f t="shared" si="648"/>
        <v>0</v>
      </c>
      <c r="AB5950" s="49">
        <f t="shared" si="649"/>
        <v>0</v>
      </c>
      <c r="AC5950" s="60">
        <f t="shared" si="650"/>
        <v>0</v>
      </c>
    </row>
    <row r="5951" spans="1:29">
      <c r="A5951" s="83" t="str">
        <f t="shared" si="645"/>
        <v/>
      </c>
      <c r="B5951" s="83" t="str">
        <f t="shared" si="651"/>
        <v/>
      </c>
      <c r="U5951" s="83" t="str">
        <f t="shared" si="646"/>
        <v/>
      </c>
      <c r="V5951" s="83" t="str">
        <f t="shared" si="647"/>
        <v/>
      </c>
      <c r="AA5951" s="60">
        <f t="shared" si="648"/>
        <v>0</v>
      </c>
      <c r="AB5951" s="49">
        <f t="shared" si="649"/>
        <v>0</v>
      </c>
      <c r="AC5951" s="60">
        <f t="shared" si="650"/>
        <v>0</v>
      </c>
    </row>
    <row r="5952" spans="1:29">
      <c r="A5952" s="83" t="str">
        <f t="shared" si="645"/>
        <v/>
      </c>
      <c r="B5952" s="83" t="str">
        <f t="shared" si="651"/>
        <v/>
      </c>
      <c r="U5952" s="83" t="str">
        <f t="shared" si="646"/>
        <v/>
      </c>
      <c r="V5952" s="83" t="str">
        <f t="shared" si="647"/>
        <v/>
      </c>
      <c r="AA5952" s="60">
        <f t="shared" si="648"/>
        <v>0</v>
      </c>
      <c r="AB5952" s="49">
        <f t="shared" si="649"/>
        <v>0</v>
      </c>
      <c r="AC5952" s="60">
        <f t="shared" si="650"/>
        <v>0</v>
      </c>
    </row>
    <row r="5953" spans="1:29">
      <c r="A5953" s="83" t="str">
        <f t="shared" si="645"/>
        <v/>
      </c>
      <c r="B5953" s="83" t="str">
        <f t="shared" si="651"/>
        <v/>
      </c>
      <c r="U5953" s="83" t="str">
        <f t="shared" si="646"/>
        <v/>
      </c>
      <c r="V5953" s="83" t="str">
        <f t="shared" si="647"/>
        <v/>
      </c>
      <c r="AA5953" s="60">
        <f t="shared" si="648"/>
        <v>0</v>
      </c>
      <c r="AB5953" s="49">
        <f t="shared" si="649"/>
        <v>0</v>
      </c>
      <c r="AC5953" s="60">
        <f t="shared" si="650"/>
        <v>0</v>
      </c>
    </row>
    <row r="5954" spans="1:29">
      <c r="A5954" s="83" t="str">
        <f t="shared" si="645"/>
        <v/>
      </c>
      <c r="B5954" s="83" t="str">
        <f t="shared" si="651"/>
        <v/>
      </c>
      <c r="U5954" s="83" t="str">
        <f t="shared" si="646"/>
        <v/>
      </c>
      <c r="V5954" s="83" t="str">
        <f t="shared" si="647"/>
        <v/>
      </c>
      <c r="AA5954" s="60">
        <f t="shared" si="648"/>
        <v>0</v>
      </c>
      <c r="AB5954" s="49">
        <f t="shared" si="649"/>
        <v>0</v>
      </c>
      <c r="AC5954" s="60">
        <f t="shared" si="650"/>
        <v>0</v>
      </c>
    </row>
    <row r="5955" spans="1:29">
      <c r="A5955" s="83" t="str">
        <f t="shared" ref="A5955:A6000" si="652">IF(G5955&amp;Q5955&lt;&gt;"",U5955&amp;Q5955,"")</f>
        <v/>
      </c>
      <c r="B5955" s="83" t="str">
        <f t="shared" si="651"/>
        <v/>
      </c>
      <c r="U5955" s="83" t="str">
        <f t="shared" ref="U5955:U6000" si="653">IF(G5955&lt;&gt;"",IF(StyleSpaceSplit,IFERROR(IF(FIND(" ",G5955)&gt;=1,MID(G5955,1,FIND(" ",G5955)-1),G5955),G5955),G5955),"")</f>
        <v/>
      </c>
      <c r="V5955" s="83" t="str">
        <f t="shared" ref="V5955:V6000" si="654">IF(A5955&lt;&gt;"",IFERROR(IF(FIND(" ",G5955)&gt;=1,MID(G5955,FIND(" ",G5955)+1,LEN(G5955)),""),G5955),"")</f>
        <v/>
      </c>
      <c r="AA5955" s="60">
        <f t="shared" ref="AA5955:AA6000" si="655">IFERROR(VALUE(MID($C5955,1,2)),0)</f>
        <v>0</v>
      </c>
      <c r="AB5955" s="49">
        <f t="shared" ref="AB5955:AB6000" si="656">IFERROR(VALUE(MID($C5955,4,3)),0)</f>
        <v>0</v>
      </c>
      <c r="AC5955" s="60">
        <f t="shared" ref="AC5955:AC6000" si="657">VALUE(RIGHT("00"&amp;AA5955,2)&amp;RIGHT("000"&amp;AB5955,3))</f>
        <v>0</v>
      </c>
    </row>
    <row r="5956" spans="1:29">
      <c r="A5956" s="83" t="str">
        <f t="shared" si="652"/>
        <v/>
      </c>
      <c r="B5956" s="83" t="str">
        <f t="shared" si="651"/>
        <v/>
      </c>
      <c r="U5956" s="83" t="str">
        <f t="shared" si="653"/>
        <v/>
      </c>
      <c r="V5956" s="83" t="str">
        <f t="shared" si="654"/>
        <v/>
      </c>
      <c r="AA5956" s="60">
        <f t="shared" si="655"/>
        <v>0</v>
      </c>
      <c r="AB5956" s="49">
        <f t="shared" si="656"/>
        <v>0</v>
      </c>
      <c r="AC5956" s="60">
        <f t="shared" si="657"/>
        <v>0</v>
      </c>
    </row>
    <row r="5957" spans="1:29">
      <c r="A5957" s="83" t="str">
        <f t="shared" si="652"/>
        <v/>
      </c>
      <c r="B5957" s="83" t="str">
        <f t="shared" si="651"/>
        <v/>
      </c>
      <c r="U5957" s="83" t="str">
        <f t="shared" si="653"/>
        <v/>
      </c>
      <c r="V5957" s="83" t="str">
        <f t="shared" si="654"/>
        <v/>
      </c>
      <c r="AA5957" s="60">
        <f t="shared" si="655"/>
        <v>0</v>
      </c>
      <c r="AB5957" s="49">
        <f t="shared" si="656"/>
        <v>0</v>
      </c>
      <c r="AC5957" s="60">
        <f t="shared" si="657"/>
        <v>0</v>
      </c>
    </row>
    <row r="5958" spans="1:29">
      <c r="A5958" s="83" t="str">
        <f t="shared" si="652"/>
        <v/>
      </c>
      <c r="B5958" s="83" t="str">
        <f t="shared" si="651"/>
        <v/>
      </c>
      <c r="U5958" s="83" t="str">
        <f t="shared" si="653"/>
        <v/>
      </c>
      <c r="V5958" s="83" t="str">
        <f t="shared" si="654"/>
        <v/>
      </c>
      <c r="AA5958" s="60">
        <f t="shared" si="655"/>
        <v>0</v>
      </c>
      <c r="AB5958" s="49">
        <f t="shared" si="656"/>
        <v>0</v>
      </c>
      <c r="AC5958" s="60">
        <f t="shared" si="657"/>
        <v>0</v>
      </c>
    </row>
    <row r="5959" spans="1:29">
      <c r="A5959" s="83" t="str">
        <f t="shared" si="652"/>
        <v/>
      </c>
      <c r="B5959" s="83" t="str">
        <f t="shared" si="651"/>
        <v/>
      </c>
      <c r="U5959" s="83" t="str">
        <f t="shared" si="653"/>
        <v/>
      </c>
      <c r="V5959" s="83" t="str">
        <f t="shared" si="654"/>
        <v/>
      </c>
      <c r="AA5959" s="60">
        <f t="shared" si="655"/>
        <v>0</v>
      </c>
      <c r="AB5959" s="49">
        <f t="shared" si="656"/>
        <v>0</v>
      </c>
      <c r="AC5959" s="60">
        <f t="shared" si="657"/>
        <v>0</v>
      </c>
    </row>
    <row r="5960" spans="1:29">
      <c r="A5960" s="83" t="str">
        <f t="shared" si="652"/>
        <v/>
      </c>
      <c r="B5960" s="83" t="str">
        <f t="shared" si="651"/>
        <v/>
      </c>
      <c r="U5960" s="83" t="str">
        <f t="shared" si="653"/>
        <v/>
      </c>
      <c r="V5960" s="83" t="str">
        <f t="shared" si="654"/>
        <v/>
      </c>
      <c r="AA5960" s="60">
        <f t="shared" si="655"/>
        <v>0</v>
      </c>
      <c r="AB5960" s="49">
        <f t="shared" si="656"/>
        <v>0</v>
      </c>
      <c r="AC5960" s="60">
        <f t="shared" si="657"/>
        <v>0</v>
      </c>
    </row>
    <row r="5961" spans="1:29">
      <c r="A5961" s="83" t="str">
        <f t="shared" si="652"/>
        <v/>
      </c>
      <c r="B5961" s="83" t="str">
        <f t="shared" si="651"/>
        <v/>
      </c>
      <c r="U5961" s="83" t="str">
        <f t="shared" si="653"/>
        <v/>
      </c>
      <c r="V5961" s="83" t="str">
        <f t="shared" si="654"/>
        <v/>
      </c>
      <c r="AA5961" s="60">
        <f t="shared" si="655"/>
        <v>0</v>
      </c>
      <c r="AB5961" s="49">
        <f t="shared" si="656"/>
        <v>0</v>
      </c>
      <c r="AC5961" s="60">
        <f t="shared" si="657"/>
        <v>0</v>
      </c>
    </row>
    <row r="5962" spans="1:29">
      <c r="A5962" s="83" t="str">
        <f t="shared" si="652"/>
        <v/>
      </c>
      <c r="B5962" s="83" t="str">
        <f t="shared" si="651"/>
        <v/>
      </c>
      <c r="U5962" s="83" t="str">
        <f t="shared" si="653"/>
        <v/>
      </c>
      <c r="V5962" s="83" t="str">
        <f t="shared" si="654"/>
        <v/>
      </c>
      <c r="AA5962" s="60">
        <f t="shared" si="655"/>
        <v>0</v>
      </c>
      <c r="AB5962" s="49">
        <f t="shared" si="656"/>
        <v>0</v>
      </c>
      <c r="AC5962" s="60">
        <f t="shared" si="657"/>
        <v>0</v>
      </c>
    </row>
    <row r="5963" spans="1:29">
      <c r="A5963" s="83" t="str">
        <f t="shared" si="652"/>
        <v/>
      </c>
      <c r="B5963" s="83" t="str">
        <f t="shared" si="651"/>
        <v/>
      </c>
      <c r="U5963" s="83" t="str">
        <f t="shared" si="653"/>
        <v/>
      </c>
      <c r="V5963" s="83" t="str">
        <f t="shared" si="654"/>
        <v/>
      </c>
      <c r="AA5963" s="60">
        <f t="shared" si="655"/>
        <v>0</v>
      </c>
      <c r="AB5963" s="49">
        <f t="shared" si="656"/>
        <v>0</v>
      </c>
      <c r="AC5963" s="60">
        <f t="shared" si="657"/>
        <v>0</v>
      </c>
    </row>
    <row r="5964" spans="1:29">
      <c r="A5964" s="83" t="str">
        <f t="shared" si="652"/>
        <v/>
      </c>
      <c r="B5964" s="83" t="str">
        <f t="shared" si="651"/>
        <v/>
      </c>
      <c r="U5964" s="83" t="str">
        <f t="shared" si="653"/>
        <v/>
      </c>
      <c r="V5964" s="83" t="str">
        <f t="shared" si="654"/>
        <v/>
      </c>
      <c r="AA5964" s="60">
        <f t="shared" si="655"/>
        <v>0</v>
      </c>
      <c r="AB5964" s="49">
        <f t="shared" si="656"/>
        <v>0</v>
      </c>
      <c r="AC5964" s="60">
        <f t="shared" si="657"/>
        <v>0</v>
      </c>
    </row>
    <row r="5965" spans="1:29">
      <c r="A5965" s="83" t="str">
        <f t="shared" si="652"/>
        <v/>
      </c>
      <c r="B5965" s="83" t="str">
        <f t="shared" si="651"/>
        <v/>
      </c>
      <c r="U5965" s="83" t="str">
        <f t="shared" si="653"/>
        <v/>
      </c>
      <c r="V5965" s="83" t="str">
        <f t="shared" si="654"/>
        <v/>
      </c>
      <c r="AA5965" s="60">
        <f t="shared" si="655"/>
        <v>0</v>
      </c>
      <c r="AB5965" s="49">
        <f t="shared" si="656"/>
        <v>0</v>
      </c>
      <c r="AC5965" s="60">
        <f t="shared" si="657"/>
        <v>0</v>
      </c>
    </row>
    <row r="5966" spans="1:29">
      <c r="A5966" s="83" t="str">
        <f t="shared" si="652"/>
        <v/>
      </c>
      <c r="B5966" s="83" t="str">
        <f t="shared" si="651"/>
        <v/>
      </c>
      <c r="U5966" s="83" t="str">
        <f t="shared" si="653"/>
        <v/>
      </c>
      <c r="V5966" s="83" t="str">
        <f t="shared" si="654"/>
        <v/>
      </c>
      <c r="AA5966" s="60">
        <f t="shared" si="655"/>
        <v>0</v>
      </c>
      <c r="AB5966" s="49">
        <f t="shared" si="656"/>
        <v>0</v>
      </c>
      <c r="AC5966" s="60">
        <f t="shared" si="657"/>
        <v>0</v>
      </c>
    </row>
    <row r="5967" spans="1:29">
      <c r="A5967" s="83" t="str">
        <f t="shared" si="652"/>
        <v/>
      </c>
      <c r="B5967" s="83" t="str">
        <f t="shared" si="651"/>
        <v/>
      </c>
      <c r="U5967" s="83" t="str">
        <f t="shared" si="653"/>
        <v/>
      </c>
      <c r="V5967" s="83" t="str">
        <f t="shared" si="654"/>
        <v/>
      </c>
      <c r="AA5967" s="60">
        <f t="shared" si="655"/>
        <v>0</v>
      </c>
      <c r="AB5967" s="49">
        <f t="shared" si="656"/>
        <v>0</v>
      </c>
      <c r="AC5967" s="60">
        <f t="shared" si="657"/>
        <v>0</v>
      </c>
    </row>
    <row r="5968" spans="1:29">
      <c r="A5968" s="83" t="str">
        <f t="shared" si="652"/>
        <v/>
      </c>
      <c r="B5968" s="83" t="str">
        <f t="shared" si="651"/>
        <v/>
      </c>
      <c r="U5968" s="83" t="str">
        <f t="shared" si="653"/>
        <v/>
      </c>
      <c r="V5968" s="83" t="str">
        <f t="shared" si="654"/>
        <v/>
      </c>
      <c r="AA5968" s="60">
        <f t="shared" si="655"/>
        <v>0</v>
      </c>
      <c r="AB5968" s="49">
        <f t="shared" si="656"/>
        <v>0</v>
      </c>
      <c r="AC5968" s="60">
        <f t="shared" si="657"/>
        <v>0</v>
      </c>
    </row>
    <row r="5969" spans="1:29">
      <c r="A5969" s="83" t="str">
        <f t="shared" si="652"/>
        <v/>
      </c>
      <c r="B5969" s="83" t="str">
        <f t="shared" si="651"/>
        <v/>
      </c>
      <c r="U5969" s="83" t="str">
        <f t="shared" si="653"/>
        <v/>
      </c>
      <c r="V5969" s="83" t="str">
        <f t="shared" si="654"/>
        <v/>
      </c>
      <c r="AA5969" s="60">
        <f t="shared" si="655"/>
        <v>0</v>
      </c>
      <c r="AB5969" s="49">
        <f t="shared" si="656"/>
        <v>0</v>
      </c>
      <c r="AC5969" s="60">
        <f t="shared" si="657"/>
        <v>0</v>
      </c>
    </row>
    <row r="5970" spans="1:29">
      <c r="A5970" s="83" t="str">
        <f t="shared" si="652"/>
        <v/>
      </c>
      <c r="B5970" s="83" t="str">
        <f t="shared" si="651"/>
        <v/>
      </c>
      <c r="U5970" s="83" t="str">
        <f t="shared" si="653"/>
        <v/>
      </c>
      <c r="V5970" s="83" t="str">
        <f t="shared" si="654"/>
        <v/>
      </c>
      <c r="AA5970" s="60">
        <f t="shared" si="655"/>
        <v>0</v>
      </c>
      <c r="AB5970" s="49">
        <f t="shared" si="656"/>
        <v>0</v>
      </c>
      <c r="AC5970" s="60">
        <f t="shared" si="657"/>
        <v>0</v>
      </c>
    </row>
    <row r="5971" spans="1:29">
      <c r="A5971" s="83" t="str">
        <f t="shared" si="652"/>
        <v/>
      </c>
      <c r="B5971" s="83" t="str">
        <f t="shared" si="651"/>
        <v/>
      </c>
      <c r="U5971" s="83" t="str">
        <f t="shared" si="653"/>
        <v/>
      </c>
      <c r="V5971" s="83" t="str">
        <f t="shared" si="654"/>
        <v/>
      </c>
      <c r="AA5971" s="60">
        <f t="shared" si="655"/>
        <v>0</v>
      </c>
      <c r="AB5971" s="49">
        <f t="shared" si="656"/>
        <v>0</v>
      </c>
      <c r="AC5971" s="60">
        <f t="shared" si="657"/>
        <v>0</v>
      </c>
    </row>
    <row r="5972" spans="1:29">
      <c r="A5972" s="83" t="str">
        <f t="shared" si="652"/>
        <v/>
      </c>
      <c r="B5972" s="83" t="str">
        <f t="shared" si="651"/>
        <v/>
      </c>
      <c r="U5972" s="83" t="str">
        <f t="shared" si="653"/>
        <v/>
      </c>
      <c r="V5972" s="83" t="str">
        <f t="shared" si="654"/>
        <v/>
      </c>
      <c r="AA5972" s="60">
        <f t="shared" si="655"/>
        <v>0</v>
      </c>
      <c r="AB5972" s="49">
        <f t="shared" si="656"/>
        <v>0</v>
      </c>
      <c r="AC5972" s="60">
        <f t="shared" si="657"/>
        <v>0</v>
      </c>
    </row>
    <row r="5973" spans="1:29">
      <c r="A5973" s="83" t="str">
        <f t="shared" si="652"/>
        <v/>
      </c>
      <c r="B5973" s="83" t="str">
        <f t="shared" si="651"/>
        <v/>
      </c>
      <c r="U5973" s="83" t="str">
        <f t="shared" si="653"/>
        <v/>
      </c>
      <c r="V5973" s="83" t="str">
        <f t="shared" si="654"/>
        <v/>
      </c>
      <c r="AA5973" s="60">
        <f t="shared" si="655"/>
        <v>0</v>
      </c>
      <c r="AB5973" s="49">
        <f t="shared" si="656"/>
        <v>0</v>
      </c>
      <c r="AC5973" s="60">
        <f t="shared" si="657"/>
        <v>0</v>
      </c>
    </row>
    <row r="5974" spans="1:29">
      <c r="A5974" s="83" t="str">
        <f t="shared" si="652"/>
        <v/>
      </c>
      <c r="B5974" s="83" t="str">
        <f t="shared" si="651"/>
        <v/>
      </c>
      <c r="U5974" s="83" t="str">
        <f t="shared" si="653"/>
        <v/>
      </c>
      <c r="V5974" s="83" t="str">
        <f t="shared" si="654"/>
        <v/>
      </c>
      <c r="AA5974" s="60">
        <f t="shared" si="655"/>
        <v>0</v>
      </c>
      <c r="AB5974" s="49">
        <f t="shared" si="656"/>
        <v>0</v>
      </c>
      <c r="AC5974" s="60">
        <f t="shared" si="657"/>
        <v>0</v>
      </c>
    </row>
    <row r="5975" spans="1:29">
      <c r="A5975" s="83" t="str">
        <f t="shared" si="652"/>
        <v/>
      </c>
      <c r="B5975" s="83" t="str">
        <f t="shared" si="651"/>
        <v/>
      </c>
      <c r="U5975" s="83" t="str">
        <f t="shared" si="653"/>
        <v/>
      </c>
      <c r="V5975" s="83" t="str">
        <f t="shared" si="654"/>
        <v/>
      </c>
      <c r="AA5975" s="60">
        <f t="shared" si="655"/>
        <v>0</v>
      </c>
      <c r="AB5975" s="49">
        <f t="shared" si="656"/>
        <v>0</v>
      </c>
      <c r="AC5975" s="60">
        <f t="shared" si="657"/>
        <v>0</v>
      </c>
    </row>
    <row r="5976" spans="1:29">
      <c r="A5976" s="83" t="str">
        <f t="shared" si="652"/>
        <v/>
      </c>
      <c r="B5976" s="83" t="str">
        <f t="shared" si="651"/>
        <v/>
      </c>
      <c r="U5976" s="83" t="str">
        <f t="shared" si="653"/>
        <v/>
      </c>
      <c r="V5976" s="83" t="str">
        <f t="shared" si="654"/>
        <v/>
      </c>
      <c r="AA5976" s="60">
        <f t="shared" si="655"/>
        <v>0</v>
      </c>
      <c r="AB5976" s="49">
        <f t="shared" si="656"/>
        <v>0</v>
      </c>
      <c r="AC5976" s="60">
        <f t="shared" si="657"/>
        <v>0</v>
      </c>
    </row>
    <row r="5977" spans="1:29">
      <c r="A5977" s="83" t="str">
        <f t="shared" si="652"/>
        <v/>
      </c>
      <c r="B5977" s="83" t="str">
        <f t="shared" si="651"/>
        <v/>
      </c>
      <c r="U5977" s="83" t="str">
        <f t="shared" si="653"/>
        <v/>
      </c>
      <c r="V5977" s="83" t="str">
        <f t="shared" si="654"/>
        <v/>
      </c>
      <c r="AA5977" s="60">
        <f t="shared" si="655"/>
        <v>0</v>
      </c>
      <c r="AB5977" s="49">
        <f t="shared" si="656"/>
        <v>0</v>
      </c>
      <c r="AC5977" s="60">
        <f t="shared" si="657"/>
        <v>0</v>
      </c>
    </row>
    <row r="5978" spans="1:29">
      <c r="A5978" s="83" t="str">
        <f t="shared" si="652"/>
        <v/>
      </c>
      <c r="B5978" s="83" t="str">
        <f t="shared" si="651"/>
        <v/>
      </c>
      <c r="U5978" s="83" t="str">
        <f t="shared" si="653"/>
        <v/>
      </c>
      <c r="V5978" s="83" t="str">
        <f t="shared" si="654"/>
        <v/>
      </c>
      <c r="AA5978" s="60">
        <f t="shared" si="655"/>
        <v>0</v>
      </c>
      <c r="AB5978" s="49">
        <f t="shared" si="656"/>
        <v>0</v>
      </c>
      <c r="AC5978" s="60">
        <f t="shared" si="657"/>
        <v>0</v>
      </c>
    </row>
    <row r="5979" spans="1:29">
      <c r="A5979" s="83" t="str">
        <f t="shared" si="652"/>
        <v/>
      </c>
      <c r="B5979" s="83" t="str">
        <f t="shared" si="651"/>
        <v/>
      </c>
      <c r="U5979" s="83" t="str">
        <f t="shared" si="653"/>
        <v/>
      </c>
      <c r="V5979" s="83" t="str">
        <f t="shared" si="654"/>
        <v/>
      </c>
      <c r="AA5979" s="60">
        <f t="shared" si="655"/>
        <v>0</v>
      </c>
      <c r="AB5979" s="49">
        <f t="shared" si="656"/>
        <v>0</v>
      </c>
      <c r="AC5979" s="60">
        <f t="shared" si="657"/>
        <v>0</v>
      </c>
    </row>
    <row r="5980" spans="1:29">
      <c r="A5980" s="83" t="str">
        <f t="shared" si="652"/>
        <v/>
      </c>
      <c r="B5980" s="83" t="str">
        <f t="shared" si="651"/>
        <v/>
      </c>
      <c r="U5980" s="83" t="str">
        <f t="shared" si="653"/>
        <v/>
      </c>
      <c r="V5980" s="83" t="str">
        <f t="shared" si="654"/>
        <v/>
      </c>
      <c r="AA5980" s="60">
        <f t="shared" si="655"/>
        <v>0</v>
      </c>
      <c r="AB5980" s="49">
        <f t="shared" si="656"/>
        <v>0</v>
      </c>
      <c r="AC5980" s="60">
        <f t="shared" si="657"/>
        <v>0</v>
      </c>
    </row>
    <row r="5981" spans="1:29">
      <c r="A5981" s="83" t="str">
        <f t="shared" si="652"/>
        <v/>
      </c>
      <c r="B5981" s="83" t="str">
        <f t="shared" si="651"/>
        <v/>
      </c>
      <c r="U5981" s="83" t="str">
        <f t="shared" si="653"/>
        <v/>
      </c>
      <c r="V5981" s="83" t="str">
        <f t="shared" si="654"/>
        <v/>
      </c>
      <c r="AA5981" s="60">
        <f t="shared" si="655"/>
        <v>0</v>
      </c>
      <c r="AB5981" s="49">
        <f t="shared" si="656"/>
        <v>0</v>
      </c>
      <c r="AC5981" s="60">
        <f t="shared" si="657"/>
        <v>0</v>
      </c>
    </row>
    <row r="5982" spans="1:29">
      <c r="A5982" s="83" t="str">
        <f t="shared" si="652"/>
        <v/>
      </c>
      <c r="B5982" s="83" t="str">
        <f t="shared" si="651"/>
        <v/>
      </c>
      <c r="U5982" s="83" t="str">
        <f t="shared" si="653"/>
        <v/>
      </c>
      <c r="V5982" s="83" t="str">
        <f t="shared" si="654"/>
        <v/>
      </c>
      <c r="AA5982" s="60">
        <f t="shared" si="655"/>
        <v>0</v>
      </c>
      <c r="AB5982" s="49">
        <f t="shared" si="656"/>
        <v>0</v>
      </c>
      <c r="AC5982" s="60">
        <f t="shared" si="657"/>
        <v>0</v>
      </c>
    </row>
    <row r="5983" spans="1:29">
      <c r="A5983" s="83" t="str">
        <f t="shared" si="652"/>
        <v/>
      </c>
      <c r="B5983" s="83" t="str">
        <f t="shared" si="651"/>
        <v/>
      </c>
      <c r="U5983" s="83" t="str">
        <f t="shared" si="653"/>
        <v/>
      </c>
      <c r="V5983" s="83" t="str">
        <f t="shared" si="654"/>
        <v/>
      </c>
      <c r="AA5983" s="60">
        <f t="shared" si="655"/>
        <v>0</v>
      </c>
      <c r="AB5983" s="49">
        <f t="shared" si="656"/>
        <v>0</v>
      </c>
      <c r="AC5983" s="60">
        <f t="shared" si="657"/>
        <v>0</v>
      </c>
    </row>
    <row r="5984" spans="1:29">
      <c r="A5984" s="83" t="str">
        <f t="shared" si="652"/>
        <v/>
      </c>
      <c r="B5984" s="83" t="str">
        <f t="shared" si="651"/>
        <v/>
      </c>
      <c r="U5984" s="83" t="str">
        <f t="shared" si="653"/>
        <v/>
      </c>
      <c r="V5984" s="83" t="str">
        <f t="shared" si="654"/>
        <v/>
      </c>
      <c r="AA5984" s="60">
        <f t="shared" si="655"/>
        <v>0</v>
      </c>
      <c r="AB5984" s="49">
        <f t="shared" si="656"/>
        <v>0</v>
      </c>
      <c r="AC5984" s="60">
        <f t="shared" si="657"/>
        <v>0</v>
      </c>
    </row>
    <row r="5985" spans="1:41">
      <c r="A5985" s="83" t="str">
        <f t="shared" si="652"/>
        <v/>
      </c>
      <c r="B5985" s="83" t="str">
        <f t="shared" ref="B5985:B6000" si="658">IF(C5985&lt;&gt;"",LEFT(C5985,9),"")</f>
        <v/>
      </c>
      <c r="U5985" s="83" t="str">
        <f t="shared" si="653"/>
        <v/>
      </c>
      <c r="V5985" s="83" t="str">
        <f t="shared" si="654"/>
        <v/>
      </c>
      <c r="AA5985" s="60">
        <f t="shared" si="655"/>
        <v>0</v>
      </c>
      <c r="AB5985" s="49">
        <f t="shared" si="656"/>
        <v>0</v>
      </c>
      <c r="AC5985" s="60">
        <f t="shared" si="657"/>
        <v>0</v>
      </c>
    </row>
    <row r="5986" spans="1:41">
      <c r="A5986" s="83" t="str">
        <f t="shared" si="652"/>
        <v/>
      </c>
      <c r="B5986" s="83" t="str">
        <f t="shared" si="658"/>
        <v/>
      </c>
      <c r="U5986" s="83" t="str">
        <f t="shared" si="653"/>
        <v/>
      </c>
      <c r="V5986" s="83" t="str">
        <f t="shared" si="654"/>
        <v/>
      </c>
      <c r="AA5986" s="60">
        <f t="shared" si="655"/>
        <v>0</v>
      </c>
      <c r="AB5986" s="49">
        <f t="shared" si="656"/>
        <v>0</v>
      </c>
      <c r="AC5986" s="60">
        <f t="shared" si="657"/>
        <v>0</v>
      </c>
    </row>
    <row r="5987" spans="1:41">
      <c r="A5987" s="83" t="str">
        <f t="shared" si="652"/>
        <v/>
      </c>
      <c r="B5987" s="83" t="str">
        <f t="shared" si="658"/>
        <v/>
      </c>
      <c r="U5987" s="83" t="str">
        <f t="shared" si="653"/>
        <v/>
      </c>
      <c r="V5987" s="83" t="str">
        <f t="shared" si="654"/>
        <v/>
      </c>
      <c r="AA5987" s="60">
        <f t="shared" si="655"/>
        <v>0</v>
      </c>
      <c r="AB5987" s="49">
        <f t="shared" si="656"/>
        <v>0</v>
      </c>
      <c r="AC5987" s="60">
        <f t="shared" si="657"/>
        <v>0</v>
      </c>
    </row>
    <row r="5988" spans="1:41">
      <c r="A5988" s="83" t="str">
        <f t="shared" si="652"/>
        <v/>
      </c>
      <c r="B5988" s="83" t="str">
        <f t="shared" si="658"/>
        <v/>
      </c>
      <c r="U5988" s="83" t="str">
        <f t="shared" si="653"/>
        <v/>
      </c>
      <c r="V5988" s="83" t="str">
        <f t="shared" si="654"/>
        <v/>
      </c>
      <c r="AA5988" s="60">
        <f t="shared" si="655"/>
        <v>0</v>
      </c>
      <c r="AB5988" s="49">
        <f t="shared" si="656"/>
        <v>0</v>
      </c>
      <c r="AC5988" s="60">
        <f t="shared" si="657"/>
        <v>0</v>
      </c>
    </row>
    <row r="5989" spans="1:41">
      <c r="A5989" s="83" t="str">
        <f t="shared" si="652"/>
        <v/>
      </c>
      <c r="B5989" s="83" t="str">
        <f t="shared" si="658"/>
        <v/>
      </c>
      <c r="U5989" s="83" t="str">
        <f t="shared" si="653"/>
        <v/>
      </c>
      <c r="V5989" s="83" t="str">
        <f t="shared" si="654"/>
        <v/>
      </c>
      <c r="AA5989" s="60">
        <f t="shared" si="655"/>
        <v>0</v>
      </c>
      <c r="AB5989" s="49">
        <f t="shared" si="656"/>
        <v>0</v>
      </c>
      <c r="AC5989" s="60">
        <f t="shared" si="657"/>
        <v>0</v>
      </c>
    </row>
    <row r="5990" spans="1:41">
      <c r="A5990" s="83" t="str">
        <f t="shared" si="652"/>
        <v/>
      </c>
      <c r="B5990" s="83" t="str">
        <f t="shared" si="658"/>
        <v/>
      </c>
      <c r="U5990" s="83" t="str">
        <f t="shared" si="653"/>
        <v/>
      </c>
      <c r="V5990" s="83" t="str">
        <f t="shared" si="654"/>
        <v/>
      </c>
      <c r="AA5990" s="60">
        <f t="shared" si="655"/>
        <v>0</v>
      </c>
      <c r="AB5990" s="49">
        <f t="shared" si="656"/>
        <v>0</v>
      </c>
      <c r="AC5990" s="60">
        <f t="shared" si="657"/>
        <v>0</v>
      </c>
    </row>
    <row r="5991" spans="1:41">
      <c r="A5991" s="83" t="str">
        <f t="shared" si="652"/>
        <v/>
      </c>
      <c r="B5991" s="83" t="str">
        <f t="shared" si="658"/>
        <v/>
      </c>
      <c r="U5991" s="83" t="str">
        <f t="shared" si="653"/>
        <v/>
      </c>
      <c r="V5991" s="83" t="str">
        <f t="shared" si="654"/>
        <v/>
      </c>
      <c r="AA5991" s="60">
        <f t="shared" si="655"/>
        <v>0</v>
      </c>
      <c r="AB5991" s="49">
        <f t="shared" si="656"/>
        <v>0</v>
      </c>
      <c r="AC5991" s="60">
        <f t="shared" si="657"/>
        <v>0</v>
      </c>
    </row>
    <row r="5992" spans="1:41">
      <c r="A5992" s="83" t="str">
        <f t="shared" si="652"/>
        <v/>
      </c>
      <c r="B5992" s="83" t="str">
        <f t="shared" si="658"/>
        <v/>
      </c>
      <c r="U5992" s="83" t="str">
        <f t="shared" si="653"/>
        <v/>
      </c>
      <c r="V5992" s="83" t="str">
        <f t="shared" si="654"/>
        <v/>
      </c>
      <c r="AA5992" s="60">
        <f t="shared" si="655"/>
        <v>0</v>
      </c>
      <c r="AB5992" s="49">
        <f t="shared" si="656"/>
        <v>0</v>
      </c>
      <c r="AC5992" s="60">
        <f t="shared" si="657"/>
        <v>0</v>
      </c>
    </row>
    <row r="5993" spans="1:41">
      <c r="A5993" s="83" t="str">
        <f t="shared" si="652"/>
        <v/>
      </c>
      <c r="B5993" s="83" t="str">
        <f t="shared" si="658"/>
        <v/>
      </c>
      <c r="U5993" s="83" t="str">
        <f t="shared" si="653"/>
        <v/>
      </c>
      <c r="V5993" s="83" t="str">
        <f t="shared" si="654"/>
        <v/>
      </c>
      <c r="AA5993" s="60">
        <f t="shared" si="655"/>
        <v>0</v>
      </c>
      <c r="AB5993" s="49">
        <f t="shared" si="656"/>
        <v>0</v>
      </c>
      <c r="AC5993" s="60">
        <f t="shared" si="657"/>
        <v>0</v>
      </c>
    </row>
    <row r="5994" spans="1:41">
      <c r="A5994" s="83" t="str">
        <f t="shared" si="652"/>
        <v/>
      </c>
      <c r="B5994" s="83" t="str">
        <f t="shared" si="658"/>
        <v/>
      </c>
      <c r="U5994" s="83" t="str">
        <f t="shared" si="653"/>
        <v/>
      </c>
      <c r="V5994" s="83" t="str">
        <f t="shared" si="654"/>
        <v/>
      </c>
      <c r="AA5994" s="60">
        <f t="shared" si="655"/>
        <v>0</v>
      </c>
      <c r="AB5994" s="49">
        <f t="shared" si="656"/>
        <v>0</v>
      </c>
      <c r="AC5994" s="60">
        <f t="shared" si="657"/>
        <v>0</v>
      </c>
    </row>
    <row r="5995" spans="1:41">
      <c r="A5995" s="83" t="str">
        <f t="shared" si="652"/>
        <v/>
      </c>
      <c r="B5995" s="83" t="str">
        <f t="shared" si="658"/>
        <v/>
      </c>
      <c r="U5995" s="83" t="str">
        <f t="shared" si="653"/>
        <v/>
      </c>
      <c r="V5995" s="83" t="str">
        <f t="shared" si="654"/>
        <v/>
      </c>
      <c r="AA5995" s="60">
        <f t="shared" si="655"/>
        <v>0</v>
      </c>
      <c r="AB5995" s="49">
        <f t="shared" si="656"/>
        <v>0</v>
      </c>
      <c r="AC5995" s="60">
        <f t="shared" si="657"/>
        <v>0</v>
      </c>
    </row>
    <row r="5996" spans="1:41">
      <c r="A5996" s="83" t="str">
        <f t="shared" si="652"/>
        <v/>
      </c>
      <c r="B5996" s="83" t="str">
        <f t="shared" si="658"/>
        <v/>
      </c>
      <c r="U5996" s="83" t="str">
        <f t="shared" si="653"/>
        <v/>
      </c>
      <c r="V5996" s="83" t="str">
        <f t="shared" si="654"/>
        <v/>
      </c>
      <c r="AA5996" s="60">
        <f t="shared" si="655"/>
        <v>0</v>
      </c>
      <c r="AB5996" s="49">
        <f t="shared" si="656"/>
        <v>0</v>
      </c>
      <c r="AC5996" s="60">
        <f t="shared" si="657"/>
        <v>0</v>
      </c>
    </row>
    <row r="5997" spans="1:41">
      <c r="A5997" s="83" t="str">
        <f t="shared" si="652"/>
        <v/>
      </c>
      <c r="B5997" s="83" t="str">
        <f t="shared" si="658"/>
        <v/>
      </c>
      <c r="U5997" s="83" t="str">
        <f t="shared" si="653"/>
        <v/>
      </c>
      <c r="V5997" s="83" t="str">
        <f t="shared" si="654"/>
        <v/>
      </c>
      <c r="AA5997" s="60">
        <f t="shared" si="655"/>
        <v>0</v>
      </c>
      <c r="AB5997" s="49">
        <f t="shared" si="656"/>
        <v>0</v>
      </c>
      <c r="AC5997" s="60">
        <f t="shared" si="657"/>
        <v>0</v>
      </c>
    </row>
    <row r="5998" spans="1:41">
      <c r="A5998" s="83" t="str">
        <f t="shared" si="652"/>
        <v/>
      </c>
      <c r="B5998" s="83" t="str">
        <f t="shared" si="658"/>
        <v/>
      </c>
      <c r="U5998" s="83" t="str">
        <f t="shared" si="653"/>
        <v/>
      </c>
      <c r="V5998" s="83" t="str">
        <f t="shared" si="654"/>
        <v/>
      </c>
      <c r="AA5998" s="60">
        <f t="shared" si="655"/>
        <v>0</v>
      </c>
      <c r="AB5998" s="49">
        <f t="shared" si="656"/>
        <v>0</v>
      </c>
      <c r="AC5998" s="60">
        <f t="shared" si="657"/>
        <v>0</v>
      </c>
    </row>
    <row r="5999" spans="1:41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123"/>
      <c r="T5999" s="123"/>
      <c r="U5999" s="83" t="str">
        <f t="shared" si="653"/>
        <v/>
      </c>
      <c r="V5999" s="83" t="str">
        <f t="shared" si="654"/>
        <v/>
      </c>
      <c r="AA5999" s="60">
        <f t="shared" si="655"/>
        <v>0</v>
      </c>
      <c r="AB5999" s="49">
        <f t="shared" si="656"/>
        <v>0</v>
      </c>
      <c r="AC5999" s="60">
        <f t="shared" si="657"/>
        <v>0</v>
      </c>
    </row>
    <row r="6000" spans="1:41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123"/>
      <c r="T6000" s="123"/>
      <c r="U6000" s="83" t="str">
        <f t="shared" si="653"/>
        <v/>
      </c>
      <c r="V6000" s="83" t="str">
        <f t="shared" si="654"/>
        <v/>
      </c>
      <c r="W6000" s="113"/>
      <c r="X6000" s="113"/>
      <c r="Y6000" s="113"/>
      <c r="Z6000" s="113"/>
      <c r="AA6000" s="125">
        <f t="shared" si="655"/>
        <v>0</v>
      </c>
      <c r="AB6000" s="113">
        <f t="shared" si="656"/>
        <v>0</v>
      </c>
      <c r="AC6000" s="125">
        <f t="shared" si="657"/>
        <v>0</v>
      </c>
      <c r="AD6000" s="113"/>
      <c r="AE6000" s="113"/>
      <c r="AF6000" s="113"/>
      <c r="AG6000" s="125"/>
      <c r="AH6000" s="125"/>
      <c r="AI6000" s="113"/>
      <c r="AJ6000" s="113"/>
      <c r="AK6000" s="113"/>
      <c r="AL6000" s="113"/>
      <c r="AM6000" s="113"/>
      <c r="AN6000" s="113"/>
      <c r="AO6000" s="113"/>
    </row>
    <row r="6001" spans="1:41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9"/>
      <c r="T6001" s="129"/>
      <c r="U6001" s="128"/>
      <c r="V6001" s="128"/>
      <c r="AA6001" s="125"/>
      <c r="AC6001" s="125"/>
      <c r="AG6001" s="125"/>
      <c r="AH6001" s="125"/>
    </row>
    <row r="6002" spans="1:41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108"/>
      <c r="T6002" s="108"/>
      <c r="U6002" s="89"/>
      <c r="V6002" s="89"/>
      <c r="W6002" s="113"/>
      <c r="X6002" s="113"/>
      <c r="Y6002" s="113"/>
      <c r="Z6002" s="113"/>
      <c r="AA6002" s="125"/>
      <c r="AB6002" s="113"/>
      <c r="AC6002" s="125"/>
      <c r="AD6002" s="113"/>
      <c r="AE6002" s="113"/>
      <c r="AF6002" s="113"/>
      <c r="AG6002" s="125"/>
      <c r="AH6002" s="125"/>
      <c r="AI6002" s="113"/>
      <c r="AJ6002" s="113"/>
      <c r="AK6002" s="113"/>
      <c r="AL6002" s="113"/>
      <c r="AM6002" s="113"/>
      <c r="AN6002" s="113"/>
      <c r="AO6002" s="113"/>
    </row>
  </sheetData>
  <sheetProtection sheet="1" objects="1" scenarios="1"/>
  <dataValidations count="2">
    <dataValidation type="list" allowBlank="1" showInputMessage="1" showErrorMessage="1" sqref="AH1" xr:uid="{00000000-0002-0000-0600-000000000000}">
      <formula1>Производители</formula1>
    </dataValidation>
    <dataValidation type="list" allowBlank="1" showInputMessage="1" showErrorMessage="1" sqref="AJ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22</xdr:col>
                    <xdr:colOff>19050</xdr:colOff>
                    <xdr:row>0</xdr:row>
                    <xdr:rowOff>28575</xdr:rowOff>
                  </from>
                  <to>
                    <xdr:col>22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22</xdr:col>
                    <xdr:colOff>971550</xdr:colOff>
                    <xdr:row>0</xdr:row>
                    <xdr:rowOff>28575</xdr:rowOff>
                  </from>
                  <to>
                    <xdr:col>22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2022-03-02T12:38:38Z</dcterms:modified>
</cp:coreProperties>
</file>