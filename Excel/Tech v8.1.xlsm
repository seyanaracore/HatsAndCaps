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89E8432-0FCD-433B-BE1E-2BB00D44C0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<sst xmlns="http://schemas.openxmlformats.org/spreadsheetml/2006/main" count="2327" uniqueCount="836">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</sst>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R4" sqref="R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8" bestFit="1" customWidth="1"/>
    <col min="52" max="52" width="16.5703125" style="14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823</v>
      </c>
      <c r="AH1" s="143" t="s">
        <v>824</v>
      </c>
      <c r="AI1" s="143" t="s">
        <v>825</v>
      </c>
      <c r="AJ1" s="143" t="s">
        <v>826</v>
      </c>
      <c r="AK1" s="143" t="s">
        <v>827</v>
      </c>
      <c r="AL1" s="143" t="s">
        <v>828</v>
      </c>
      <c r="AM1" s="143" t="s">
        <v>829</v>
      </c>
      <c r="AN1" s="143" t="s">
        <v>830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4" t="s">
        <v>499</v>
      </c>
      <c r="AZ1" s="14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e">
        <f>'1C'!$AF$1</f>
        <v>#VALUE!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ca="1">IF(AR2&lt;&gt;"",VLOOKUP(AR2,INDIRECT(SUBSTITUTE($J2," ","")&amp;"Manufactures"),3,0),"Требуется код страны")</f>
        <v>Требуется код страны</v>
      </c>
      <c r="AT2" s="56" t="str">
        <f ca="1">IF(AR2&lt;&gt;"",VLOOKUP(AR2,INDIRECT(SUBSTITUTE($J2," ","")&amp;"Manufactures"),2,0),"Требуется код страны")</f>
        <v>Требуется код страны</v>
      </c>
      <c r="AU2" s="75">
        <f t="shared" ref="AU2" si="2">0.05+0.05</f>
        <v>0.1</v>
      </c>
      <c r="AV2" s="56">
        <f t="shared" ref="AV2" si="3">IF(AU2&lt;&gt;"",AU2*1.5,"Требуется нетто")</f>
        <v>0.15000000000000002</v>
      </c>
      <c r="AW2" s="56" t="str">
        <f t="shared" ref="AW2" si="4">+IF(AU2&lt;&gt;"",IFERROR(AQ2*AU2,"Требуются кол-во и нетто"),"Требуются кол-во и нетто")</f>
        <v>Требуются кол-во и нетто</v>
      </c>
      <c r="AX2" s="56" t="str">
        <f t="shared" ref="AX2" si="5">IF(AV2&lt;&gt;"",IFERROR(AQ2*AV2,"Требуются кол-во и брутто"),"Требуются кол-во и брутто")</f>
        <v>Требуются кол-во и брутто</v>
      </c>
      <c r="AY2" s="146"/>
      <c r="AZ2" s="147" t="str">
        <f t="shared" ref="AZ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" si="7">IFERROR(IF(BB2,"-",IFERROR(IF(BA2&gt;0,0,1),"")),"")</f>
        <v/>
      </c>
      <c r="BD2" s="91"/>
    </row>
    <row r="3" spans="1:56" ht="98.1" customHeight="1">
      <c r="C3" s="61"/>
      <c r="G3" s="56"/>
      <c r="I3" s="150"/>
      <c r="J3" s="65"/>
      <c r="K3" s="102"/>
      <c r="L3" s="66"/>
      <c r="M3" s="66"/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/>
      <c r="AR3" s="66"/>
      <c r="AS3" s="56"/>
      <c r="AT3" s="56"/>
      <c r="BB3" s="105"/>
      <c r="BC3" s="73"/>
    </row>
    <row r="4" spans="1:56" ht="98.1" customHeight="1">
      <c r="C4" s="61"/>
      <c r="G4" s="56"/>
      <c r="J4" s="65"/>
      <c r="K4" s="101"/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/>
      <c r="AR4" s="66"/>
      <c r="AS4" s="56"/>
      <c r="AT4" s="56"/>
      <c r="BB4" s="105"/>
      <c r="BC4" s="73"/>
    </row>
    <row r="5" spans="1:56" ht="98.1" customHeight="1">
      <c r="C5" s="61"/>
      <c r="G5" s="56"/>
      <c r="J5" s="65"/>
      <c r="K5" s="101"/>
      <c r="M5" s="66"/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/>
      <c r="AR5" s="66"/>
      <c r="AS5" s="56"/>
      <c r="AT5" s="56"/>
      <c r="BB5" s="105"/>
      <c r="BC5" s="73"/>
    </row>
    <row r="6" spans="1:56" ht="98.1" customHeight="1">
      <c r="G6" s="56"/>
      <c r="J6" s="65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BB6" s="105"/>
      <c r="BC6" s="73"/>
    </row>
    <row r="7" spans="1:56" ht="98.1" customHeight="1">
      <c r="G7" s="56"/>
      <c r="J7" s="65"/>
      <c r="K7" s="103"/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/>
      <c r="AR7" s="66"/>
      <c r="AS7" s="56"/>
      <c r="AT7" s="56"/>
      <c r="BB7" s="105"/>
      <c r="BC7" s="73"/>
    </row>
    <row r="8" spans="1:56" ht="98.1" customHeight="1">
      <c r="G8" s="56"/>
      <c r="J8" s="65"/>
      <c r="K8" s="103"/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/>
      <c r="AR8" s="66"/>
      <c r="AS8" s="56"/>
      <c r="AT8" s="56"/>
      <c r="BB8" s="105"/>
      <c r="BC8" s="73"/>
    </row>
    <row r="9" spans="1:56" ht="98.1" customHeight="1">
      <c r="G9" s="56"/>
      <c r="J9" s="65"/>
      <c r="K9" s="103"/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/>
      <c r="AR9" s="66"/>
      <c r="AS9" s="56"/>
      <c r="AT9" s="56"/>
      <c r="BB9" s="105"/>
      <c r="BC9" s="73"/>
    </row>
    <row r="10" spans="1:56" ht="98.1" customHeight="1">
      <c r="G10" s="56"/>
      <c r="J10" s="65"/>
      <c r="K10" s="103"/>
      <c r="M10" s="66"/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/>
      <c r="AR10" s="66"/>
      <c r="AS10" s="56"/>
      <c r="AT10" s="56"/>
      <c r="BB10" s="105"/>
      <c r="BC10" s="73"/>
    </row>
    <row r="11" spans="1:56" ht="98.1" customHeight="1">
      <c r="G11" s="56"/>
      <c r="J11" s="65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BB11" s="105"/>
      <c r="BC11" s="73"/>
    </row>
    <row r="12" spans="1:56" ht="98.1" customHeight="1">
      <c r="G12" s="56"/>
      <c r="J12" s="65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BB12" s="105"/>
      <c r="BC12" s="73"/>
    </row>
    <row r="13" spans="1:56" ht="98.1" customHeight="1">
      <c r="G13" s="56"/>
      <c r="J13" s="65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BB13" s="105"/>
      <c r="BC13" s="73"/>
    </row>
    <row r="14" spans="1:56" ht="98.1" customHeight="1">
      <c r="G14" s="56"/>
      <c r="J14" s="65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98.1" customHeight="1">
      <c r="G15" s="56"/>
      <c r="J15" s="65"/>
      <c r="K15" s="103"/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98.1" customHeight="1">
      <c r="G16" s="56"/>
      <c r="J16" s="65"/>
      <c r="K16" s="103"/>
      <c r="M16" s="66"/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98.1" customHeight="1">
      <c r="G17" s="56"/>
      <c r="J17" s="65"/>
      <c r="K17" s="103"/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98.1" customHeight="1">
      <c r="G18" s="56"/>
      <c r="J18" s="65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98.1" customHeight="1">
      <c r="G19" s="56"/>
      <c r="J19" s="65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98.1" customHeight="1">
      <c r="G20" s="56"/>
      <c r="J20" s="65"/>
      <c r="K20" s="103"/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98.1" customHeight="1">
      <c r="G21" s="56"/>
      <c r="J21" s="65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98.1" customHeight="1">
      <c r="G22" s="56"/>
      <c r="J22" s="65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98.1" customHeight="1">
      <c r="G23" s="56"/>
      <c r="J23" s="65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98.1" customHeight="1">
      <c r="G24" s="56"/>
      <c r="J24" s="65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98.1" customHeight="1">
      <c r="G25" s="56"/>
      <c r="J25" s="65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98.1" customHeight="1">
      <c r="G26" s="56"/>
      <c r="J26" s="65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98.1" customHeight="1">
      <c r="G27" s="56"/>
      <c r="J27" s="65"/>
      <c r="K27" s="103"/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98.1" customHeight="1">
      <c r="G28" s="56"/>
      <c r="J28" s="65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98.1" customHeight="1">
      <c r="G29" s="56"/>
      <c r="J29" s="65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98.1" customHeight="1">
      <c r="G30" s="56"/>
      <c r="J30" s="58"/>
      <c r="K30" s="103"/>
      <c r="M30" s="66"/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98.1" customHeight="1">
      <c r="G31" s="56"/>
      <c r="J31" s="58"/>
      <c r="K31" s="103"/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98.1" customHeight="1">
      <c r="G32" s="56"/>
      <c r="J32" s="58"/>
      <c r="K32" s="103"/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98.1" customHeight="1">
      <c r="G33" s="56"/>
      <c r="J33" s="58"/>
      <c r="K33" s="103"/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98.1" customHeight="1">
      <c r="G34" s="56"/>
      <c r="J34" s="58"/>
      <c r="K34" s="103"/>
      <c r="M34" s="66"/>
      <c r="N34" s="141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98.1" customHeight="1">
      <c r="G35" s="56"/>
      <c r="J35" s="58"/>
      <c r="K35" s="103"/>
      <c r="M35" s="66"/>
      <c r="N35" s="141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98.1" customHeight="1">
      <c r="G36" s="56"/>
      <c r="J36" s="58"/>
      <c r="K36" s="103"/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98.1" customHeight="1">
      <c r="G37" s="56"/>
      <c r="M37" s="66"/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98.1" customHeight="1">
      <c r="G38" s="56"/>
      <c r="M38" s="66"/>
      <c r="N38" s="141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98.1" customHeight="1">
      <c r="G39" s="56"/>
      <c r="M39" s="66"/>
      <c r="N39" s="141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98.1" customHeight="1">
      <c r="G40" s="56"/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98.1" customHeight="1">
      <c r="G41" s="56"/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98.1" customHeight="1">
      <c r="G42" s="56"/>
      <c r="M42" s="66"/>
      <c r="N42" s="141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98.1" customHeight="1">
      <c r="G43" s="56"/>
      <c r="M43" s="66"/>
      <c r="N43" s="141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98.1" customHeight="1">
      <c r="G44" s="56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98.1" customHeight="1">
      <c r="G45" s="56"/>
      <c r="M45" s="66"/>
      <c r="N45" s="141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98.1" customHeight="1">
      <c r="G46" s="56"/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98.1" customHeight="1">
      <c r="G47" s="56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98.1" customHeight="1">
      <c r="G48" s="56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98.1" customHeight="1">
      <c r="G49" s="56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98.1" customHeight="1">
      <c r="G50" s="56"/>
      <c r="M50" s="66"/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1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2"/>
      <c r="AS52" s="56"/>
      <c r="AT52" s="56"/>
      <c r="BB52" s="105"/>
      <c r="BC52" s="73"/>
    </row>
    <row r="53" spans="7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1" t="s">
        <v>573</v>
      </c>
      <c r="C9" s="162"/>
      <c r="D9" s="163"/>
      <c r="E9" s="38" t="s">
        <v>806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807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787</v>
      </c>
      <c r="C1" s="16" t="s">
        <v>788</v>
      </c>
      <c r="D1" s="16" t="s">
        <v>786</v>
      </c>
      <c r="E1" s="137" t="s">
        <v>789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790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790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790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791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792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791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793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794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795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796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796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797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798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799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800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791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801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801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802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803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804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805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811</v>
      </c>
      <c r="C24" s="21" t="s">
        <v>812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813</v>
      </c>
      <c r="C25" s="21" t="s">
        <v>797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819</v>
      </c>
      <c r="C26" s="21" t="s">
        <v>804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820</v>
      </c>
      <c r="C27" s="21" t="s">
        <v>822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821</v>
      </c>
      <c r="C28" s="21" t="s">
        <v>834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835</v>
      </c>
      <c r="C29" s="21" t="s">
        <v>799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805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812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832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833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817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831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818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815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816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808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809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785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1474" activePane="bottomLeft" state="frozen"/>
      <selection pane="bottomLeft" activeCell="I1483" sqref="I148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0</v>
      </c>
      <c r="Z1" s="77"/>
      <c r="AA1" s="77" t="str">
        <f>RIGHT(TEXT(MAX(AA2:AA6000),"###"),3)</f>
        <v/>
      </c>
      <c r="AB1" s="78" t="str">
        <f>RIGHT("000"&amp;Y1,2)&amp;"-"&amp;RIGHT("000"&amp;AA1,3)</f>
        <v>00-000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Введите данные</v>
      </c>
      <c r="AE1" s="80" t="s">
        <v>583</v>
      </c>
      <c r="AF1" s="110" t="e">
        <f>_xlfn.LET(_xlpm.START,FIND(" ",D2)+1,_xlpm.END,FIND(" ",D2,_xlpm.START+1),MID(D2,_xlpm.START,_xlpm.END-_xlpm.START))</f>
        <v>#VALUE!</v>
      </c>
      <c r="AG1" s="80" t="s">
        <v>814</v>
      </c>
      <c r="AH1" s="149">
        <v>1</v>
      </c>
    </row>
    <row r="2" spans="1:34">
      <c r="A2" s="83" t="str">
        <f>IF(G2&amp;Q2&lt;&gt;"",S2&amp;Q2,"")</f>
        <v/>
      </c>
      <c r="B2" s="83" t="str">
        <f>IF(C2&lt;&gt;"",LEFT(C2,9),"")</f>
        <v/>
      </c>
      <c r="S2" s="83" t="str">
        <f>IF(G2&lt;&gt;"",IF(StyleSpaceSplit,IFERROR(IF(FIND(" ",G2)&gt;=1,MID(G2,1,FIND(" ",G2)-1),G2),G2),G2),"")</f>
        <v/>
      </c>
      <c r="T2" s="83" t="str">
        <f>IF(A2&lt;&gt;"",IFERROR(IF(FIND(" ",G2)&gt;=1,MID(G2,FIND(" ",G2)+1,LEN(G2)),""),G2),"")</f>
        <v/>
      </c>
      <c r="Y2" s="60">
        <f>IFERROR(VALUE(MID($C2,1,2)),0)</f>
        <v>0</v>
      </c>
      <c r="Z2" s="49">
        <f t="shared" ref="Z2:Z66" si="0">IFERROR(VALUE(MID($C2,4,3)),0)</f>
        <v>0</v>
      </c>
      <c r="AA2" s="60">
        <f>VALUE(RIGHT("00"&amp;Y2,2)&amp;RIGHT("000"&amp;Z2,3))</f>
        <v>0</v>
      </c>
    </row>
    <row r="3" spans="1:34">
      <c r="A3" s="83" t="str">
        <f t="shared" ref="A3:A66" si="1">IF(G3&amp;Q3&lt;&gt;"",S3&amp;Q3,"")</f>
        <v/>
      </c>
      <c r="B3" s="83" t="str">
        <f t="shared" ref="B3:B66" si="2">IF(C3&lt;&gt;"",LEFT(C3,9),"")</f>
        <v/>
      </c>
      <c r="S3" s="83" t="str">
        <f t="shared" ref="S3:S66" si="3">IF(G3&lt;&gt;"",IF(StyleSpaceSplit,IFERROR(IF(FIND(" ",G3)&gt;=1,MID(G3,1,FIND(" ",G3)-1),G3),G3),G3),"")</f>
        <v/>
      </c>
      <c r="T3" s="83" t="str">
        <f t="shared" ref="T3:T66" si="4">IF(A3&lt;&gt;"",IFERROR(IF(FIND(" ",G3)&gt;=1,MID(G3,FIND(" ",G3)+1,LEN(G3)),""),G3),"")</f>
        <v/>
      </c>
      <c r="Y3" s="60">
        <f t="shared" ref="Y3:Y66" si="5">IFERROR(VALUE(MID($C3,1,2)),0)</f>
        <v>0</v>
      </c>
      <c r="Z3" s="49">
        <f t="shared" si="0"/>
        <v>0</v>
      </c>
      <c r="AA3" s="60">
        <f t="shared" ref="AA3:AA66" si="6">VALUE(RIGHT("00"&amp;Y3,2)&amp;RIGHT("000"&amp;Z3,3))</f>
        <v>0</v>
      </c>
    </row>
    <row r="4" spans="1:34">
      <c r="A4" s="83" t="str">
        <f t="shared" si="1"/>
        <v/>
      </c>
      <c r="B4" s="83" t="str">
        <f t="shared" si="2"/>
        <v/>
      </c>
      <c r="S4" s="83" t="str">
        <f t="shared" si="3"/>
        <v/>
      </c>
      <c r="T4" s="83" t="str">
        <f t="shared" si="4"/>
        <v/>
      </c>
      <c r="Y4" s="60">
        <f t="shared" si="5"/>
        <v>0</v>
      </c>
      <c r="Z4" s="49">
        <f t="shared" si="0"/>
        <v>0</v>
      </c>
      <c r="AA4" s="60">
        <f t="shared" si="6"/>
        <v>0</v>
      </c>
    </row>
    <row r="5" spans="1:34">
      <c r="A5" s="83" t="str">
        <f t="shared" si="1"/>
        <v/>
      </c>
      <c r="B5" s="83" t="str">
        <f t="shared" si="2"/>
        <v/>
      </c>
      <c r="S5" s="83" t="str">
        <f t="shared" si="3"/>
        <v/>
      </c>
      <c r="T5" s="83" t="str">
        <f t="shared" si="4"/>
        <v/>
      </c>
      <c r="Y5" s="60">
        <f t="shared" si="5"/>
        <v>0</v>
      </c>
      <c r="Z5" s="49">
        <f t="shared" si="0"/>
        <v>0</v>
      </c>
      <c r="AA5" s="60">
        <f t="shared" si="6"/>
        <v>0</v>
      </c>
    </row>
    <row r="6" spans="1:34">
      <c r="A6" s="83" t="str">
        <f t="shared" si="1"/>
        <v/>
      </c>
      <c r="B6" s="83" t="str">
        <f t="shared" si="2"/>
        <v/>
      </c>
      <c r="S6" s="83" t="str">
        <f t="shared" si="3"/>
        <v/>
      </c>
      <c r="T6" s="83" t="str">
        <f t="shared" si="4"/>
        <v/>
      </c>
      <c r="Y6" s="60">
        <f t="shared" si="5"/>
        <v>0</v>
      </c>
      <c r="Z6" s="49">
        <f t="shared" si="0"/>
        <v>0</v>
      </c>
      <c r="AA6" s="60">
        <f t="shared" si="6"/>
        <v>0</v>
      </c>
    </row>
    <row r="7" spans="1:34">
      <c r="A7" s="83" t="str">
        <f t="shared" si="1"/>
        <v/>
      </c>
      <c r="B7" s="83" t="str">
        <f t="shared" si="2"/>
        <v/>
      </c>
      <c r="S7" s="83" t="str">
        <f t="shared" si="3"/>
        <v/>
      </c>
      <c r="T7" s="83" t="str">
        <f t="shared" si="4"/>
        <v/>
      </c>
      <c r="Y7" s="60">
        <f t="shared" si="5"/>
        <v>0</v>
      </c>
      <c r="Z7" s="49">
        <f t="shared" si="0"/>
        <v>0</v>
      </c>
      <c r="AA7" s="60">
        <f t="shared" si="6"/>
        <v>0</v>
      </c>
    </row>
    <row r="8" spans="1:34">
      <c r="A8" s="83" t="str">
        <f t="shared" si="1"/>
        <v/>
      </c>
      <c r="B8" s="83" t="str">
        <f t="shared" si="2"/>
        <v/>
      </c>
      <c r="S8" s="83" t="str">
        <f t="shared" si="3"/>
        <v/>
      </c>
      <c r="T8" s="83" t="str">
        <f t="shared" si="4"/>
        <v/>
      </c>
      <c r="Y8" s="60">
        <f t="shared" si="5"/>
        <v>0</v>
      </c>
      <c r="Z8" s="49">
        <f t="shared" si="0"/>
        <v>0</v>
      </c>
      <c r="AA8" s="60">
        <f t="shared" si="6"/>
        <v>0</v>
      </c>
    </row>
    <row r="9" spans="1:34">
      <c r="A9" s="83" t="str">
        <f t="shared" si="1"/>
        <v/>
      </c>
      <c r="B9" s="83" t="str">
        <f t="shared" si="2"/>
        <v/>
      </c>
      <c r="S9" s="83" t="str">
        <f t="shared" si="3"/>
        <v/>
      </c>
      <c r="T9" s="83" t="str">
        <f t="shared" si="4"/>
        <v/>
      </c>
      <c r="Y9" s="60">
        <f t="shared" si="5"/>
        <v>0</v>
      </c>
      <c r="Z9" s="49">
        <f t="shared" si="0"/>
        <v>0</v>
      </c>
      <c r="AA9" s="60">
        <f t="shared" si="6"/>
        <v>0</v>
      </c>
    </row>
    <row r="10" spans="1:34">
      <c r="A10" s="83" t="str">
        <f t="shared" si="1"/>
        <v/>
      </c>
      <c r="B10" s="83" t="str">
        <f t="shared" si="2"/>
        <v/>
      </c>
      <c r="S10" s="83" t="str">
        <f t="shared" si="3"/>
        <v/>
      </c>
      <c r="T10" s="83" t="str">
        <f t="shared" si="4"/>
        <v/>
      </c>
      <c r="Y10" s="60">
        <f t="shared" si="5"/>
        <v>0</v>
      </c>
      <c r="Z10" s="49">
        <f t="shared" si="0"/>
        <v>0</v>
      </c>
      <c r="AA10" s="60">
        <f t="shared" si="6"/>
        <v>0</v>
      </c>
    </row>
    <row r="11" spans="1:34">
      <c r="A11" s="83" t="str">
        <f t="shared" si="1"/>
        <v/>
      </c>
      <c r="B11" s="83" t="str">
        <f t="shared" si="2"/>
        <v/>
      </c>
      <c r="S11" s="83" t="str">
        <f t="shared" si="3"/>
        <v/>
      </c>
      <c r="T11" s="83" t="str">
        <f t="shared" si="4"/>
        <v/>
      </c>
      <c r="Y11" s="60">
        <f t="shared" si="5"/>
        <v>0</v>
      </c>
      <c r="Z11" s="49">
        <f t="shared" si="0"/>
        <v>0</v>
      </c>
      <c r="AA11" s="60">
        <f t="shared" si="6"/>
        <v>0</v>
      </c>
    </row>
    <row r="12" spans="1:34">
      <c r="A12" s="83" t="str">
        <f t="shared" si="1"/>
        <v/>
      </c>
      <c r="B12" s="83" t="str">
        <f t="shared" si="2"/>
        <v/>
      </c>
      <c r="S12" s="83" t="str">
        <f t="shared" si="3"/>
        <v/>
      </c>
      <c r="T12" s="83" t="str">
        <f t="shared" si="4"/>
        <v/>
      </c>
      <c r="Y12" s="60">
        <f t="shared" si="5"/>
        <v>0</v>
      </c>
      <c r="Z12" s="49">
        <f t="shared" si="0"/>
        <v>0</v>
      </c>
      <c r="AA12" s="60">
        <f t="shared" si="6"/>
        <v>0</v>
      </c>
    </row>
    <row r="13" spans="1:34">
      <c r="A13" s="83" t="str">
        <f t="shared" si="1"/>
        <v/>
      </c>
      <c r="B13" s="83" t="str">
        <f t="shared" si="2"/>
        <v/>
      </c>
      <c r="S13" s="83" t="str">
        <f t="shared" si="3"/>
        <v/>
      </c>
      <c r="T13" s="83" t="str">
        <f t="shared" si="4"/>
        <v/>
      </c>
      <c r="Y13" s="60">
        <f t="shared" si="5"/>
        <v>0</v>
      </c>
      <c r="Z13" s="49">
        <f t="shared" si="0"/>
        <v>0</v>
      </c>
      <c r="AA13" s="60">
        <f t="shared" si="6"/>
        <v>0</v>
      </c>
    </row>
    <row r="14" spans="1:34">
      <c r="A14" s="83" t="str">
        <f t="shared" si="1"/>
        <v/>
      </c>
      <c r="B14" s="83" t="str">
        <f t="shared" si="2"/>
        <v/>
      </c>
      <c r="S14" s="83" t="str">
        <f t="shared" si="3"/>
        <v/>
      </c>
      <c r="T14" s="83" t="str">
        <f t="shared" si="4"/>
        <v/>
      </c>
      <c r="Y14" s="60">
        <f t="shared" si="5"/>
        <v>0</v>
      </c>
      <c r="Z14" s="49">
        <f t="shared" si="0"/>
        <v>0</v>
      </c>
      <c r="AA14" s="60">
        <f t="shared" si="6"/>
        <v>0</v>
      </c>
    </row>
    <row r="15" spans="1:34">
      <c r="A15" s="83" t="str">
        <f t="shared" si="1"/>
        <v/>
      </c>
      <c r="B15" s="83" t="str">
        <f t="shared" si="2"/>
        <v/>
      </c>
      <c r="S15" s="83" t="str">
        <f t="shared" si="3"/>
        <v/>
      </c>
      <c r="T15" s="83" t="str">
        <f t="shared" si="4"/>
        <v/>
      </c>
      <c r="Y15" s="60">
        <f t="shared" si="5"/>
        <v>0</v>
      </c>
      <c r="Z15" s="49">
        <f t="shared" si="0"/>
        <v>0</v>
      </c>
      <c r="AA15" s="60">
        <f t="shared" si="6"/>
        <v>0</v>
      </c>
    </row>
    <row r="16" spans="1:34">
      <c r="A16" s="83" t="str">
        <f t="shared" si="1"/>
        <v/>
      </c>
      <c r="B16" s="83" t="str">
        <f t="shared" si="2"/>
        <v/>
      </c>
      <c r="S16" s="83" t="str">
        <f t="shared" si="3"/>
        <v/>
      </c>
      <c r="T16" s="83" t="str">
        <f t="shared" si="4"/>
        <v/>
      </c>
      <c r="Y16" s="60">
        <f t="shared" si="5"/>
        <v>0</v>
      </c>
      <c r="Z16" s="49">
        <f t="shared" si="0"/>
        <v>0</v>
      </c>
      <c r="AA16" s="60">
        <f t="shared" si="6"/>
        <v>0</v>
      </c>
    </row>
    <row r="17" spans="1:27">
      <c r="A17" s="83" t="str">
        <f t="shared" si="1"/>
        <v/>
      </c>
      <c r="B17" s="83" t="str">
        <f t="shared" si="2"/>
        <v/>
      </c>
      <c r="S17" s="83" t="str">
        <f t="shared" si="3"/>
        <v/>
      </c>
      <c r="T17" s="83" t="str">
        <f t="shared" si="4"/>
        <v/>
      </c>
      <c r="Y17" s="60">
        <f t="shared" si="5"/>
        <v>0</v>
      </c>
      <c r="Z17" s="49">
        <f t="shared" si="0"/>
        <v>0</v>
      </c>
      <c r="AA17" s="60">
        <f t="shared" si="6"/>
        <v>0</v>
      </c>
    </row>
    <row r="18" spans="1:27">
      <c r="A18" s="83" t="str">
        <f t="shared" si="1"/>
        <v/>
      </c>
      <c r="B18" s="83" t="str">
        <f t="shared" si="2"/>
        <v/>
      </c>
      <c r="S18" s="83" t="str">
        <f t="shared" si="3"/>
        <v/>
      </c>
      <c r="T18" s="83" t="str">
        <f t="shared" si="4"/>
        <v/>
      </c>
      <c r="Y18" s="60">
        <f t="shared" si="5"/>
        <v>0</v>
      </c>
      <c r="Z18" s="49">
        <f t="shared" si="0"/>
        <v>0</v>
      </c>
      <c r="AA18" s="60">
        <f t="shared" si="6"/>
        <v>0</v>
      </c>
    </row>
    <row r="19" spans="1:27">
      <c r="A19" s="83" t="str">
        <f t="shared" si="1"/>
        <v/>
      </c>
      <c r="B19" s="83" t="str">
        <f t="shared" si="2"/>
        <v/>
      </c>
      <c r="S19" s="83" t="str">
        <f t="shared" si="3"/>
        <v/>
      </c>
      <c r="T19" s="83" t="str">
        <f t="shared" si="4"/>
        <v/>
      </c>
      <c r="Y19" s="60">
        <f t="shared" si="5"/>
        <v>0</v>
      </c>
      <c r="Z19" s="49">
        <f t="shared" si="0"/>
        <v>0</v>
      </c>
      <c r="AA19" s="60">
        <f t="shared" si="6"/>
        <v>0</v>
      </c>
    </row>
    <row r="20" spans="1:27">
      <c r="A20" s="83" t="str">
        <f t="shared" si="1"/>
        <v/>
      </c>
      <c r="B20" s="83" t="str">
        <f t="shared" si="2"/>
        <v/>
      </c>
      <c r="S20" s="83" t="str">
        <f t="shared" si="3"/>
        <v/>
      </c>
      <c r="T20" s="83" t="str">
        <f t="shared" si="4"/>
        <v/>
      </c>
      <c r="Y20" s="60">
        <f t="shared" si="5"/>
        <v>0</v>
      </c>
      <c r="Z20" s="49">
        <f t="shared" si="0"/>
        <v>0</v>
      </c>
      <c r="AA20" s="60">
        <f t="shared" si="6"/>
        <v>0</v>
      </c>
    </row>
    <row r="21" spans="1:27">
      <c r="A21" s="83" t="str">
        <f t="shared" si="1"/>
        <v/>
      </c>
      <c r="B21" s="83" t="str">
        <f t="shared" si="2"/>
        <v/>
      </c>
      <c r="S21" s="83" t="str">
        <f t="shared" si="3"/>
        <v/>
      </c>
      <c r="T21" s="83" t="str">
        <f t="shared" si="4"/>
        <v/>
      </c>
      <c r="Y21" s="60">
        <f t="shared" si="5"/>
        <v>0</v>
      </c>
      <c r="Z21" s="49">
        <f t="shared" si="0"/>
        <v>0</v>
      </c>
      <c r="AA21" s="60">
        <f t="shared" si="6"/>
        <v>0</v>
      </c>
    </row>
    <row r="22" spans="1:27">
      <c r="A22" s="83" t="str">
        <f t="shared" si="1"/>
        <v/>
      </c>
      <c r="B22" s="83" t="str">
        <f t="shared" si="2"/>
        <v/>
      </c>
      <c r="S22" s="83" t="str">
        <f t="shared" si="3"/>
        <v/>
      </c>
      <c r="T22" s="83" t="str">
        <f t="shared" si="4"/>
        <v/>
      </c>
      <c r="Y22" s="60">
        <f t="shared" si="5"/>
        <v>0</v>
      </c>
      <c r="Z22" s="49">
        <f t="shared" si="0"/>
        <v>0</v>
      </c>
      <c r="AA22" s="60">
        <f t="shared" si="6"/>
        <v>0</v>
      </c>
    </row>
    <row r="23" spans="1:27">
      <c r="A23" s="83" t="str">
        <f t="shared" si="1"/>
        <v/>
      </c>
      <c r="B23" s="83" t="str">
        <f t="shared" si="2"/>
        <v/>
      </c>
      <c r="S23" s="83" t="str">
        <f t="shared" si="3"/>
        <v/>
      </c>
      <c r="T23" s="83" t="str">
        <f t="shared" si="4"/>
        <v/>
      </c>
      <c r="Y23" s="60">
        <f t="shared" si="5"/>
        <v>0</v>
      </c>
      <c r="Z23" s="49">
        <f t="shared" si="0"/>
        <v>0</v>
      </c>
      <c r="AA23" s="60">
        <f t="shared" si="6"/>
        <v>0</v>
      </c>
    </row>
    <row r="24" spans="1:27">
      <c r="A24" s="83" t="str">
        <f t="shared" si="1"/>
        <v/>
      </c>
      <c r="B24" s="83" t="str">
        <f t="shared" si="2"/>
        <v/>
      </c>
      <c r="S24" s="83" t="str">
        <f t="shared" si="3"/>
        <v/>
      </c>
      <c r="T24" s="83" t="str">
        <f t="shared" si="4"/>
        <v/>
      </c>
      <c r="Y24" s="60">
        <f t="shared" si="5"/>
        <v>0</v>
      </c>
      <c r="Z24" s="49">
        <f t="shared" si="0"/>
        <v>0</v>
      </c>
      <c r="AA24" s="60">
        <f t="shared" si="6"/>
        <v>0</v>
      </c>
    </row>
    <row r="25" spans="1:27">
      <c r="A25" s="83" t="str">
        <f t="shared" si="1"/>
        <v/>
      </c>
      <c r="B25" s="83" t="str">
        <f t="shared" si="2"/>
        <v/>
      </c>
      <c r="S25" s="83" t="str">
        <f t="shared" si="3"/>
        <v/>
      </c>
      <c r="T25" s="83" t="str">
        <f t="shared" si="4"/>
        <v/>
      </c>
      <c r="Y25" s="60">
        <f t="shared" si="5"/>
        <v>0</v>
      </c>
      <c r="Z25" s="49">
        <f t="shared" si="0"/>
        <v>0</v>
      </c>
      <c r="AA25" s="60">
        <f t="shared" si="6"/>
        <v>0</v>
      </c>
    </row>
    <row r="26" spans="1:27">
      <c r="A26" s="83" t="str">
        <f t="shared" si="1"/>
        <v/>
      </c>
      <c r="B26" s="83" t="str">
        <f t="shared" si="2"/>
        <v/>
      </c>
      <c r="S26" s="83" t="str">
        <f t="shared" si="3"/>
        <v/>
      </c>
      <c r="T26" s="83" t="str">
        <f t="shared" si="4"/>
        <v/>
      </c>
      <c r="Y26" s="60">
        <f t="shared" si="5"/>
        <v>0</v>
      </c>
      <c r="Z26" s="49">
        <f t="shared" si="0"/>
        <v>0</v>
      </c>
      <c r="AA26" s="60">
        <f t="shared" si="6"/>
        <v>0</v>
      </c>
    </row>
    <row r="27" spans="1:27">
      <c r="A27" s="83" t="str">
        <f t="shared" si="1"/>
        <v/>
      </c>
      <c r="B27" s="83" t="str">
        <f t="shared" si="2"/>
        <v/>
      </c>
      <c r="S27" s="83" t="str">
        <f t="shared" si="3"/>
        <v/>
      </c>
      <c r="T27" s="83" t="str">
        <f t="shared" si="4"/>
        <v/>
      </c>
      <c r="Y27" s="60">
        <f t="shared" si="5"/>
        <v>0</v>
      </c>
      <c r="Z27" s="49">
        <f t="shared" si="0"/>
        <v>0</v>
      </c>
      <c r="AA27" s="60">
        <f t="shared" si="6"/>
        <v>0</v>
      </c>
    </row>
    <row r="28" spans="1:27">
      <c r="A28" s="83" t="str">
        <f t="shared" si="1"/>
        <v/>
      </c>
      <c r="B28" s="83" t="str">
        <f t="shared" si="2"/>
        <v/>
      </c>
      <c r="S28" s="83" t="str">
        <f t="shared" si="3"/>
        <v/>
      </c>
      <c r="T28" s="83" t="str">
        <f t="shared" si="4"/>
        <v/>
      </c>
      <c r="Y28" s="60">
        <f t="shared" si="5"/>
        <v>0</v>
      </c>
      <c r="Z28" s="49">
        <f t="shared" si="0"/>
        <v>0</v>
      </c>
      <c r="AA28" s="60">
        <f t="shared" si="6"/>
        <v>0</v>
      </c>
    </row>
    <row r="29" spans="1:27">
      <c r="A29" s="83" t="str">
        <f t="shared" si="1"/>
        <v/>
      </c>
      <c r="B29" s="83" t="str">
        <f t="shared" si="2"/>
        <v/>
      </c>
      <c r="S29" s="83" t="str">
        <f t="shared" si="3"/>
        <v/>
      </c>
      <c r="T29" s="83" t="str">
        <f t="shared" si="4"/>
        <v/>
      </c>
      <c r="Y29" s="60">
        <f t="shared" si="5"/>
        <v>0</v>
      </c>
      <c r="Z29" s="49">
        <f t="shared" si="0"/>
        <v>0</v>
      </c>
      <c r="AA29" s="60">
        <f t="shared" si="6"/>
        <v>0</v>
      </c>
    </row>
    <row r="30" spans="1:27">
      <c r="A30" s="83" t="str">
        <f t="shared" si="1"/>
        <v/>
      </c>
      <c r="B30" s="83" t="str">
        <f t="shared" si="2"/>
        <v/>
      </c>
      <c r="S30" s="83" t="str">
        <f t="shared" si="3"/>
        <v/>
      </c>
      <c r="T30" s="83" t="str">
        <f t="shared" si="4"/>
        <v/>
      </c>
      <c r="Y30" s="60">
        <f t="shared" si="5"/>
        <v>0</v>
      </c>
      <c r="Z30" s="49">
        <f t="shared" si="0"/>
        <v>0</v>
      </c>
      <c r="AA30" s="60">
        <f t="shared" si="6"/>
        <v>0</v>
      </c>
    </row>
    <row r="31" spans="1:27">
      <c r="A31" s="83" t="str">
        <f t="shared" si="1"/>
        <v/>
      </c>
      <c r="B31" s="83" t="str">
        <f t="shared" si="2"/>
        <v/>
      </c>
      <c r="S31" s="83" t="str">
        <f t="shared" si="3"/>
        <v/>
      </c>
      <c r="T31" s="83" t="str">
        <f t="shared" si="4"/>
        <v/>
      </c>
      <c r="Y31" s="60">
        <f t="shared" si="5"/>
        <v>0</v>
      </c>
      <c r="Z31" s="49">
        <f t="shared" si="0"/>
        <v>0</v>
      </c>
      <c r="AA31" s="60">
        <f t="shared" si="6"/>
        <v>0</v>
      </c>
    </row>
    <row r="32" spans="1:27">
      <c r="A32" s="83" t="str">
        <f t="shared" si="1"/>
        <v/>
      </c>
      <c r="B32" s="83" t="str">
        <f t="shared" si="2"/>
        <v/>
      </c>
      <c r="S32" s="83" t="str">
        <f t="shared" si="3"/>
        <v/>
      </c>
      <c r="T32" s="83" t="str">
        <f t="shared" si="4"/>
        <v/>
      </c>
      <c r="Y32" s="60">
        <f t="shared" si="5"/>
        <v>0</v>
      </c>
      <c r="Z32" s="49">
        <f t="shared" si="0"/>
        <v>0</v>
      </c>
      <c r="AA32" s="60">
        <f t="shared" si="6"/>
        <v>0</v>
      </c>
    </row>
    <row r="33" spans="1:27">
      <c r="A33" s="83" t="str">
        <f t="shared" si="1"/>
        <v/>
      </c>
      <c r="B33" s="83" t="str">
        <f t="shared" si="2"/>
        <v/>
      </c>
      <c r="S33" s="83" t="str">
        <f t="shared" si="3"/>
        <v/>
      </c>
      <c r="T33" s="83" t="str">
        <f t="shared" si="4"/>
        <v/>
      </c>
      <c r="Y33" s="60">
        <f t="shared" si="5"/>
        <v>0</v>
      </c>
      <c r="Z33" s="49">
        <f t="shared" si="0"/>
        <v>0</v>
      </c>
      <c r="AA33" s="60">
        <f t="shared" si="6"/>
        <v>0</v>
      </c>
    </row>
    <row r="34" spans="1:27">
      <c r="A34" s="83" t="str">
        <f t="shared" si="1"/>
        <v/>
      </c>
      <c r="B34" s="83" t="str">
        <f t="shared" si="2"/>
        <v/>
      </c>
      <c r="S34" s="83" t="str">
        <f t="shared" si="3"/>
        <v/>
      </c>
      <c r="T34" s="83" t="str">
        <f t="shared" si="4"/>
        <v/>
      </c>
      <c r="Y34" s="60">
        <f t="shared" si="5"/>
        <v>0</v>
      </c>
      <c r="Z34" s="49">
        <f t="shared" si="0"/>
        <v>0</v>
      </c>
      <c r="AA34" s="60">
        <f t="shared" si="6"/>
        <v>0</v>
      </c>
    </row>
    <row r="35" spans="1:27">
      <c r="A35" s="83" t="str">
        <f t="shared" si="1"/>
        <v/>
      </c>
      <c r="B35" s="83" t="str">
        <f t="shared" si="2"/>
        <v/>
      </c>
      <c r="S35" s="83" t="str">
        <f t="shared" si="3"/>
        <v/>
      </c>
      <c r="T35" s="83" t="str">
        <f t="shared" si="4"/>
        <v/>
      </c>
      <c r="Y35" s="60">
        <f t="shared" si="5"/>
        <v>0</v>
      </c>
      <c r="Z35" s="49">
        <f t="shared" si="0"/>
        <v>0</v>
      </c>
      <c r="AA35" s="60">
        <f t="shared" si="6"/>
        <v>0</v>
      </c>
    </row>
    <row r="36" spans="1:27">
      <c r="A36" s="83" t="str">
        <f t="shared" si="1"/>
        <v/>
      </c>
      <c r="B36" s="83" t="str">
        <f t="shared" si="2"/>
        <v/>
      </c>
      <c r="S36" s="83" t="str">
        <f t="shared" si="3"/>
        <v/>
      </c>
      <c r="T36" s="83" t="str">
        <f t="shared" si="4"/>
        <v/>
      </c>
      <c r="Y36" s="60">
        <f t="shared" si="5"/>
        <v>0</v>
      </c>
      <c r="Z36" s="49">
        <f t="shared" si="0"/>
        <v>0</v>
      </c>
      <c r="AA36" s="60">
        <f t="shared" si="6"/>
        <v>0</v>
      </c>
    </row>
    <row r="37" spans="1:27">
      <c r="A37" s="83" t="str">
        <f t="shared" si="1"/>
        <v/>
      </c>
      <c r="B37" s="83" t="str">
        <f t="shared" si="2"/>
        <v/>
      </c>
      <c r="S37" s="83" t="str">
        <f t="shared" si="3"/>
        <v/>
      </c>
      <c r="T37" s="83" t="str">
        <f t="shared" si="4"/>
        <v/>
      </c>
      <c r="Y37" s="60">
        <f t="shared" si="5"/>
        <v>0</v>
      </c>
      <c r="Z37" s="49">
        <f t="shared" si="0"/>
        <v>0</v>
      </c>
      <c r="AA37" s="60">
        <f t="shared" si="6"/>
        <v>0</v>
      </c>
    </row>
    <row r="38" spans="1:27">
      <c r="A38" s="83" t="str">
        <f t="shared" si="1"/>
        <v/>
      </c>
      <c r="B38" s="83" t="str">
        <f t="shared" si="2"/>
        <v/>
      </c>
      <c r="S38" s="83" t="str">
        <f t="shared" si="3"/>
        <v/>
      </c>
      <c r="T38" s="83" t="str">
        <f t="shared" si="4"/>
        <v/>
      </c>
      <c r="Y38" s="60">
        <f t="shared" si="5"/>
        <v>0</v>
      </c>
      <c r="Z38" s="49">
        <f t="shared" si="0"/>
        <v>0</v>
      </c>
      <c r="AA38" s="60">
        <f t="shared" si="6"/>
        <v>0</v>
      </c>
    </row>
    <row r="39" spans="1:27">
      <c r="A39" s="83" t="str">
        <f t="shared" si="1"/>
        <v/>
      </c>
      <c r="B39" s="83" t="str">
        <f t="shared" si="2"/>
        <v/>
      </c>
      <c r="S39" s="83" t="str">
        <f t="shared" si="3"/>
        <v/>
      </c>
      <c r="T39" s="83" t="str">
        <f t="shared" si="4"/>
        <v/>
      </c>
      <c r="Y39" s="60">
        <f t="shared" si="5"/>
        <v>0</v>
      </c>
      <c r="Z39" s="49">
        <f t="shared" si="0"/>
        <v>0</v>
      </c>
      <c r="AA39" s="60">
        <f t="shared" si="6"/>
        <v>0</v>
      </c>
    </row>
    <row r="40" spans="1:27">
      <c r="A40" s="83" t="str">
        <f t="shared" si="1"/>
        <v/>
      </c>
      <c r="B40" s="83" t="str">
        <f t="shared" si="2"/>
        <v/>
      </c>
      <c r="S40" s="83" t="str">
        <f t="shared" si="3"/>
        <v/>
      </c>
      <c r="T40" s="83" t="str">
        <f t="shared" si="4"/>
        <v/>
      </c>
      <c r="Y40" s="60">
        <f t="shared" si="5"/>
        <v>0</v>
      </c>
      <c r="Z40" s="49">
        <f t="shared" si="0"/>
        <v>0</v>
      </c>
      <c r="AA40" s="60">
        <f t="shared" si="6"/>
        <v>0</v>
      </c>
    </row>
    <row r="41" spans="1:27">
      <c r="A41" s="83" t="str">
        <f t="shared" si="1"/>
        <v/>
      </c>
      <c r="B41" s="83" t="str">
        <f t="shared" si="2"/>
        <v/>
      </c>
      <c r="S41" s="83" t="str">
        <f t="shared" si="3"/>
        <v/>
      </c>
      <c r="T41" s="83" t="str">
        <f t="shared" si="4"/>
        <v/>
      </c>
      <c r="Y41" s="60">
        <f t="shared" si="5"/>
        <v>0</v>
      </c>
      <c r="Z41" s="49">
        <f t="shared" si="0"/>
        <v>0</v>
      </c>
      <c r="AA41" s="60">
        <f t="shared" si="6"/>
        <v>0</v>
      </c>
    </row>
    <row r="42" spans="1:27">
      <c r="A42" s="83" t="str">
        <f t="shared" si="1"/>
        <v/>
      </c>
      <c r="B42" s="83" t="str">
        <f t="shared" si="2"/>
        <v/>
      </c>
      <c r="S42" s="83" t="str">
        <f t="shared" si="3"/>
        <v/>
      </c>
      <c r="T42" s="83" t="str">
        <f t="shared" si="4"/>
        <v/>
      </c>
      <c r="Y42" s="60">
        <f t="shared" si="5"/>
        <v>0</v>
      </c>
      <c r="Z42" s="49">
        <f t="shared" si="0"/>
        <v>0</v>
      </c>
      <c r="AA42" s="60">
        <f t="shared" si="6"/>
        <v>0</v>
      </c>
    </row>
    <row r="43" spans="1:27">
      <c r="A43" s="83" t="str">
        <f t="shared" si="1"/>
        <v/>
      </c>
      <c r="B43" s="83" t="str">
        <f t="shared" si="2"/>
        <v/>
      </c>
      <c r="S43" s="83" t="str">
        <f t="shared" si="3"/>
        <v/>
      </c>
      <c r="T43" s="83" t="str">
        <f t="shared" si="4"/>
        <v/>
      </c>
      <c r="Y43" s="60">
        <f t="shared" si="5"/>
        <v>0</v>
      </c>
      <c r="Z43" s="49">
        <f t="shared" si="0"/>
        <v>0</v>
      </c>
      <c r="AA43" s="60">
        <f t="shared" si="6"/>
        <v>0</v>
      </c>
    </row>
    <row r="44" spans="1:27">
      <c r="A44" s="83" t="str">
        <f t="shared" si="1"/>
        <v/>
      </c>
      <c r="B44" s="83" t="str">
        <f t="shared" si="2"/>
        <v/>
      </c>
      <c r="S44" s="83" t="str">
        <f t="shared" si="3"/>
        <v/>
      </c>
      <c r="T44" s="83" t="str">
        <f t="shared" si="4"/>
        <v/>
      </c>
      <c r="Y44" s="60">
        <f t="shared" si="5"/>
        <v>0</v>
      </c>
      <c r="Z44" s="49">
        <f t="shared" si="0"/>
        <v>0</v>
      </c>
      <c r="AA44" s="60">
        <f t="shared" si="6"/>
        <v>0</v>
      </c>
    </row>
    <row r="45" spans="1:27">
      <c r="A45" s="83" t="str">
        <f t="shared" si="1"/>
        <v/>
      </c>
      <c r="B45" s="83" t="str">
        <f t="shared" si="2"/>
        <v/>
      </c>
      <c r="S45" s="83" t="str">
        <f t="shared" si="3"/>
        <v/>
      </c>
      <c r="T45" s="83" t="str">
        <f t="shared" si="4"/>
        <v/>
      </c>
      <c r="Y45" s="60">
        <f t="shared" si="5"/>
        <v>0</v>
      </c>
      <c r="Z45" s="49">
        <f t="shared" si="0"/>
        <v>0</v>
      </c>
      <c r="AA45" s="60">
        <f t="shared" si="6"/>
        <v>0</v>
      </c>
    </row>
    <row r="46" spans="1:27">
      <c r="A46" s="83" t="str">
        <f t="shared" si="1"/>
        <v/>
      </c>
      <c r="B46" s="83" t="str">
        <f t="shared" si="2"/>
        <v/>
      </c>
      <c r="S46" s="83" t="str">
        <f t="shared" si="3"/>
        <v/>
      </c>
      <c r="T46" s="83" t="str">
        <f t="shared" si="4"/>
        <v/>
      </c>
      <c r="Y46" s="60">
        <f t="shared" si="5"/>
        <v>0</v>
      </c>
      <c r="Z46" s="49">
        <f t="shared" si="0"/>
        <v>0</v>
      </c>
      <c r="AA46" s="60">
        <f t="shared" si="6"/>
        <v>0</v>
      </c>
    </row>
    <row r="47" spans="1:27">
      <c r="A47" s="83" t="str">
        <f t="shared" si="1"/>
        <v/>
      </c>
      <c r="B47" s="83" t="str">
        <f t="shared" si="2"/>
        <v/>
      </c>
      <c r="S47" s="83" t="str">
        <f t="shared" si="3"/>
        <v/>
      </c>
      <c r="T47" s="83" t="str">
        <f t="shared" si="4"/>
        <v/>
      </c>
      <c r="Y47" s="60">
        <f t="shared" si="5"/>
        <v>0</v>
      </c>
      <c r="Z47" s="49">
        <f t="shared" si="0"/>
        <v>0</v>
      </c>
      <c r="AA47" s="60">
        <f t="shared" si="6"/>
        <v>0</v>
      </c>
    </row>
    <row r="48" spans="1:27">
      <c r="A48" s="83" t="str">
        <f t="shared" si="1"/>
        <v/>
      </c>
      <c r="B48" s="83" t="str">
        <f t="shared" si="2"/>
        <v/>
      </c>
      <c r="S48" s="83" t="str">
        <f t="shared" si="3"/>
        <v/>
      </c>
      <c r="T48" s="83" t="str">
        <f t="shared" si="4"/>
        <v/>
      </c>
      <c r="Y48" s="60">
        <f t="shared" si="5"/>
        <v>0</v>
      </c>
      <c r="Z48" s="49">
        <f t="shared" si="0"/>
        <v>0</v>
      </c>
      <c r="AA48" s="60">
        <f t="shared" si="6"/>
        <v>0</v>
      </c>
    </row>
    <row r="49" spans="1:27">
      <c r="A49" s="83" t="str">
        <f t="shared" si="1"/>
        <v/>
      </c>
      <c r="B49" s="83" t="str">
        <f t="shared" si="2"/>
        <v/>
      </c>
      <c r="S49" s="83" t="str">
        <f t="shared" si="3"/>
        <v/>
      </c>
      <c r="T49" s="83" t="str">
        <f t="shared" si="4"/>
        <v/>
      </c>
      <c r="Y49" s="60">
        <f t="shared" si="5"/>
        <v>0</v>
      </c>
      <c r="Z49" s="49">
        <f t="shared" si="0"/>
        <v>0</v>
      </c>
      <c r="AA49" s="60">
        <f t="shared" si="6"/>
        <v>0</v>
      </c>
    </row>
    <row r="50" spans="1:27">
      <c r="A50" s="83" t="str">
        <f t="shared" si="1"/>
        <v/>
      </c>
      <c r="B50" s="83" t="str">
        <f t="shared" si="2"/>
        <v/>
      </c>
      <c r="S50" s="83" t="str">
        <f t="shared" si="3"/>
        <v/>
      </c>
      <c r="T50" s="83" t="str">
        <f t="shared" si="4"/>
        <v/>
      </c>
      <c r="Y50" s="60">
        <f t="shared" si="5"/>
        <v>0</v>
      </c>
      <c r="Z50" s="49">
        <f t="shared" si="0"/>
        <v>0</v>
      </c>
      <c r="AA50" s="60">
        <f t="shared" si="6"/>
        <v>0</v>
      </c>
    </row>
    <row r="51" spans="1:27">
      <c r="A51" s="83" t="str">
        <f t="shared" si="1"/>
        <v/>
      </c>
      <c r="B51" s="83" t="str">
        <f t="shared" si="2"/>
        <v/>
      </c>
      <c r="S51" s="83" t="str">
        <f t="shared" si="3"/>
        <v/>
      </c>
      <c r="T51" s="83" t="str">
        <f t="shared" si="4"/>
        <v/>
      </c>
      <c r="Y51" s="60">
        <f t="shared" si="5"/>
        <v>0</v>
      </c>
      <c r="Z51" s="49">
        <f t="shared" si="0"/>
        <v>0</v>
      </c>
      <c r="AA51" s="60">
        <f t="shared" si="6"/>
        <v>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2022-02-25T08:03:05Z</dcterms:modified>
</cp:coreProperties>
</file>